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Ex4.xml" ContentType="application/vnd.ms-office.chartex+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Vipul\Desktop\excel_projects\excel_dashboards\retail_clothes_sales_advanced\02_excel_files\"/>
    </mc:Choice>
  </mc:AlternateContent>
  <xr:revisionPtr revIDLastSave="0" documentId="13_ncr:1_{C83A96D5-9040-405B-B668-F25E4DAC040A}" xr6:coauthVersionLast="47" xr6:coauthVersionMax="47" xr10:uidLastSave="{00000000-0000-0000-0000-000000000000}"/>
  <bookViews>
    <workbookView xWindow="28680" yWindow="-120" windowWidth="29040" windowHeight="15720" xr2:uid="{346724B3-1C49-40AE-AA36-C77CF5D6DD09}"/>
  </bookViews>
  <sheets>
    <sheet name="Dashboard" sheetId="6" r:id="rId1"/>
    <sheet name="Data" sheetId="1" r:id="rId2"/>
    <sheet name="Resources" sheetId="17" r:id="rId3"/>
    <sheet name="KPI Cards" sheetId="5" state="hidden" r:id="rId4"/>
    <sheet name="KPI 2" sheetId="16" state="hidden" r:id="rId5"/>
    <sheet name="Trends" sheetId="7" state="hidden" r:id="rId6"/>
    <sheet name="Customer preference" sheetId="8" state="hidden" r:id="rId7"/>
    <sheet name="How Many" sheetId="9" state="hidden" r:id="rId8"/>
    <sheet name="Popular Products" sheetId="10" state="hidden" r:id="rId9"/>
    <sheet name="Gender Split" sheetId="11" state="hidden" r:id="rId10"/>
    <sheet name="Map" sheetId="12" state="hidden" r:id="rId11"/>
    <sheet name="time to ship" sheetId="13" state="hidden" r:id="rId12"/>
    <sheet name="cust satisfaction" sheetId="14" state="hidden" r:id="rId13"/>
    <sheet name="Questions &amp; KPIs" sheetId="2" state="hidden" r:id="rId14"/>
    <sheet name="Logo &amp; Colors" sheetId="4" state="hidden" r:id="rId15"/>
  </sheets>
  <definedNames>
    <definedName name="_xlchart.v5.0" hidden="1">Map!$J$3:$K$3</definedName>
    <definedName name="_xlchart.v5.1" hidden="1">Map!$J$4:$K$61</definedName>
    <definedName name="_xlchart.v5.10" hidden="1">Map!$H$3</definedName>
    <definedName name="_xlchart.v5.11" hidden="1">Map!$H$4:$H$61</definedName>
    <definedName name="_xlchart.v5.12" hidden="1">Map!$J$3:$K$3</definedName>
    <definedName name="_xlchart.v5.13" hidden="1">Map!$J$4:$K$61</definedName>
    <definedName name="_xlchart.v5.14" hidden="1">Map!$L$3</definedName>
    <definedName name="_xlchart.v5.15" hidden="1">Map!$L$4:$L$61</definedName>
    <definedName name="_xlchart.v5.2" hidden="1">Map!$L$3</definedName>
    <definedName name="_xlchart.v5.3" hidden="1">Map!$L$4:$L$61</definedName>
    <definedName name="_xlchart.v5.4" hidden="1">Map!$F$3:$G$3</definedName>
    <definedName name="_xlchart.v5.5" hidden="1">Map!$F$4:$G$61</definedName>
    <definedName name="_xlchart.v5.6" hidden="1">Map!$H$3</definedName>
    <definedName name="_xlchart.v5.7" hidden="1">Map!$H$4:$H$61</definedName>
    <definedName name="_xlchart.v5.8" hidden="1">Map!$F$3:$G$3</definedName>
    <definedName name="_xlchart.v5.9" hidden="1">Map!$F$4:$G$61</definedName>
    <definedName name="Slicer_Gender_Value">#N/A</definedName>
    <definedName name="Slicer_Order_Mode">#N/A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 i="16" l="1"/>
  <c r="D6" i="16"/>
  <c r="C6" i="16"/>
  <c r="B6" i="16"/>
  <c r="A6" i="16"/>
  <c r="L8" i="12"/>
  <c r="L5" i="12"/>
  <c r="L6" i="12"/>
  <c r="L7" i="12"/>
  <c r="L9" i="12"/>
  <c r="L10" i="12"/>
  <c r="L11" i="12"/>
  <c r="L12" i="12"/>
  <c r="L13" i="12"/>
  <c r="L14" i="12"/>
  <c r="L15" i="12"/>
  <c r="L16" i="12"/>
  <c r="L17" i="12"/>
  <c r="L18" i="12"/>
  <c r="L19" i="12"/>
  <c r="L20" i="12"/>
  <c r="L21" i="12"/>
  <c r="L22" i="12"/>
  <c r="L23" i="12"/>
  <c r="L24" i="12"/>
  <c r="L25" i="12"/>
  <c r="L26" i="12"/>
  <c r="L27" i="12"/>
  <c r="L28" i="12"/>
  <c r="L29" i="12"/>
  <c r="L30" i="12"/>
  <c r="L31" i="12"/>
  <c r="L32" i="12"/>
  <c r="L33" i="12"/>
  <c r="L34" i="12"/>
  <c r="L35" i="12"/>
  <c r="L36" i="12"/>
  <c r="L37" i="12"/>
  <c r="L38" i="12"/>
  <c r="L39" i="12"/>
  <c r="L40" i="12"/>
  <c r="L41" i="12"/>
  <c r="L42" i="12"/>
  <c r="L43" i="12"/>
  <c r="L44" i="12"/>
  <c r="L45" i="12"/>
  <c r="L46" i="12"/>
  <c r="L47" i="12"/>
  <c r="L48" i="12"/>
  <c r="L49" i="12"/>
  <c r="L50" i="12"/>
  <c r="L51" i="12"/>
  <c r="L52" i="12"/>
  <c r="L53" i="12"/>
  <c r="L54" i="12"/>
  <c r="L55" i="12"/>
  <c r="L56" i="12"/>
  <c r="L57" i="12"/>
  <c r="L58" i="12"/>
  <c r="L59" i="12"/>
  <c r="L60" i="12"/>
  <c r="L61" i="12"/>
  <c r="L4" i="12"/>
  <c r="J5" i="12"/>
  <c r="K5" i="12"/>
  <c r="J6" i="12"/>
  <c r="K6" i="12"/>
  <c r="J7" i="12"/>
  <c r="K7" i="12"/>
  <c r="J8" i="12"/>
  <c r="K8" i="12"/>
  <c r="J9" i="12"/>
  <c r="K9" i="12"/>
  <c r="J10" i="12"/>
  <c r="K10" i="12"/>
  <c r="J11" i="12"/>
  <c r="K11" i="12"/>
  <c r="J12" i="12"/>
  <c r="K12" i="12"/>
  <c r="J13" i="12"/>
  <c r="K13" i="12"/>
  <c r="J14" i="12"/>
  <c r="K14" i="12"/>
  <c r="J15" i="12"/>
  <c r="K15" i="12"/>
  <c r="J16" i="12"/>
  <c r="K16" i="12"/>
  <c r="J17" i="12"/>
  <c r="K17" i="12"/>
  <c r="J18" i="12"/>
  <c r="K18" i="12"/>
  <c r="J19" i="12"/>
  <c r="K19" i="12"/>
  <c r="J20" i="12"/>
  <c r="K20" i="12"/>
  <c r="J21" i="12"/>
  <c r="K21" i="12"/>
  <c r="J22" i="12"/>
  <c r="K22" i="12"/>
  <c r="J23" i="12"/>
  <c r="K23" i="12"/>
  <c r="J24" i="12"/>
  <c r="K24" i="12"/>
  <c r="J25" i="12"/>
  <c r="K25" i="12"/>
  <c r="J26" i="12"/>
  <c r="K26" i="12"/>
  <c r="J27" i="12"/>
  <c r="K27" i="12"/>
  <c r="J28" i="12"/>
  <c r="K28" i="12"/>
  <c r="J29" i="12"/>
  <c r="K29" i="12"/>
  <c r="J30" i="12"/>
  <c r="K30" i="12"/>
  <c r="J31" i="12"/>
  <c r="K31" i="12"/>
  <c r="J32" i="12"/>
  <c r="K32" i="12"/>
  <c r="J33" i="12"/>
  <c r="K33" i="12"/>
  <c r="J34" i="12"/>
  <c r="K34" i="12"/>
  <c r="J35" i="12"/>
  <c r="K35" i="12"/>
  <c r="J36" i="12"/>
  <c r="K36" i="12"/>
  <c r="J37" i="12"/>
  <c r="K37" i="12"/>
  <c r="J38" i="12"/>
  <c r="K38" i="12"/>
  <c r="J39" i="12"/>
  <c r="K39" i="12"/>
  <c r="J40" i="12"/>
  <c r="K40" i="12"/>
  <c r="J41" i="12"/>
  <c r="K41" i="12"/>
  <c r="J42" i="12"/>
  <c r="K42" i="12"/>
  <c r="J43" i="12"/>
  <c r="K43" i="12"/>
  <c r="J44" i="12"/>
  <c r="K44" i="12"/>
  <c r="J45" i="12"/>
  <c r="K45" i="12"/>
  <c r="J46" i="12"/>
  <c r="K46" i="12"/>
  <c r="J47" i="12"/>
  <c r="K47" i="12"/>
  <c r="J48" i="12"/>
  <c r="K48" i="12"/>
  <c r="J49" i="12"/>
  <c r="K49" i="12"/>
  <c r="J50" i="12"/>
  <c r="K50" i="12"/>
  <c r="J51" i="12"/>
  <c r="K51" i="12"/>
  <c r="J52" i="12"/>
  <c r="K52" i="12"/>
  <c r="J53" i="12"/>
  <c r="K53" i="12"/>
  <c r="J54" i="12"/>
  <c r="K54" i="12"/>
  <c r="J55" i="12"/>
  <c r="K55" i="12"/>
  <c r="J56" i="12"/>
  <c r="K56" i="12"/>
  <c r="J57" i="12"/>
  <c r="K57" i="12"/>
  <c r="J58" i="12"/>
  <c r="K58" i="12"/>
  <c r="J59" i="12"/>
  <c r="K59" i="12"/>
  <c r="J60" i="12"/>
  <c r="K60" i="12"/>
  <c r="J61" i="12"/>
  <c r="K61" i="12"/>
  <c r="K4" i="12"/>
  <c r="J4" i="12"/>
  <c r="F5" i="12"/>
  <c r="G5" i="12"/>
  <c r="H5" i="12"/>
  <c r="F6" i="12"/>
  <c r="G6" i="12"/>
  <c r="H6" i="12"/>
  <c r="F7" i="12"/>
  <c r="G7" i="12"/>
  <c r="H7" i="12"/>
  <c r="F8" i="12"/>
  <c r="G8" i="12"/>
  <c r="H8" i="12"/>
  <c r="F9" i="12"/>
  <c r="G9" i="12"/>
  <c r="H9" i="12"/>
  <c r="F10" i="12"/>
  <c r="G10" i="12"/>
  <c r="H10" i="12"/>
  <c r="F11" i="12"/>
  <c r="G11" i="12"/>
  <c r="H11" i="12"/>
  <c r="F12" i="12"/>
  <c r="G12" i="12"/>
  <c r="H12" i="12"/>
  <c r="F13" i="12"/>
  <c r="G13" i="12"/>
  <c r="H13" i="12"/>
  <c r="F14" i="12"/>
  <c r="G14" i="12"/>
  <c r="H14" i="12"/>
  <c r="F15" i="12"/>
  <c r="G15" i="12"/>
  <c r="H15" i="12"/>
  <c r="F16" i="12"/>
  <c r="G16" i="12"/>
  <c r="H16" i="12"/>
  <c r="F17" i="12"/>
  <c r="G17" i="12"/>
  <c r="H17" i="12"/>
  <c r="F18" i="12"/>
  <c r="G18" i="12"/>
  <c r="H18" i="12"/>
  <c r="F19" i="12"/>
  <c r="G19" i="12"/>
  <c r="H19" i="12"/>
  <c r="F20" i="12"/>
  <c r="G20" i="12"/>
  <c r="H20" i="12"/>
  <c r="F21" i="12"/>
  <c r="G21" i="12"/>
  <c r="H21" i="12"/>
  <c r="F22" i="12"/>
  <c r="G22" i="12"/>
  <c r="H22" i="12"/>
  <c r="F23" i="12"/>
  <c r="G23" i="12"/>
  <c r="H23" i="12"/>
  <c r="F24" i="12"/>
  <c r="G24" i="12"/>
  <c r="H24" i="12"/>
  <c r="F25" i="12"/>
  <c r="G25" i="12"/>
  <c r="H25" i="12"/>
  <c r="F26" i="12"/>
  <c r="G26" i="12"/>
  <c r="H26" i="12"/>
  <c r="F27" i="12"/>
  <c r="G27" i="12"/>
  <c r="H27" i="12"/>
  <c r="F28" i="12"/>
  <c r="G28" i="12"/>
  <c r="H28" i="12"/>
  <c r="F29" i="12"/>
  <c r="G29" i="12"/>
  <c r="H29" i="12"/>
  <c r="F30" i="12"/>
  <c r="G30" i="12"/>
  <c r="H30" i="12"/>
  <c r="F31" i="12"/>
  <c r="G31" i="12"/>
  <c r="H31" i="12"/>
  <c r="F32" i="12"/>
  <c r="G32" i="12"/>
  <c r="H32" i="12"/>
  <c r="F33" i="12"/>
  <c r="G33" i="12"/>
  <c r="H33" i="12"/>
  <c r="F34" i="12"/>
  <c r="G34" i="12"/>
  <c r="H34" i="12"/>
  <c r="F35" i="12"/>
  <c r="G35" i="12"/>
  <c r="H35" i="12"/>
  <c r="F36" i="12"/>
  <c r="G36" i="12"/>
  <c r="H36" i="12"/>
  <c r="F37" i="12"/>
  <c r="G37" i="12"/>
  <c r="H37" i="12"/>
  <c r="F38" i="12"/>
  <c r="G38" i="12"/>
  <c r="H38" i="12"/>
  <c r="F39" i="12"/>
  <c r="G39" i="12"/>
  <c r="H39" i="12"/>
  <c r="F40" i="12"/>
  <c r="G40" i="12"/>
  <c r="H40" i="12"/>
  <c r="F41" i="12"/>
  <c r="G41" i="12"/>
  <c r="H41" i="12"/>
  <c r="F42" i="12"/>
  <c r="G42" i="12"/>
  <c r="H42" i="12"/>
  <c r="F43" i="12"/>
  <c r="G43" i="12"/>
  <c r="H43" i="12"/>
  <c r="F44" i="12"/>
  <c r="G44" i="12"/>
  <c r="H44" i="12"/>
  <c r="F45" i="12"/>
  <c r="G45" i="12"/>
  <c r="H45" i="12"/>
  <c r="F46" i="12"/>
  <c r="G46" i="12"/>
  <c r="H46" i="12"/>
  <c r="F47" i="12"/>
  <c r="G47" i="12"/>
  <c r="H47" i="12"/>
  <c r="F48" i="12"/>
  <c r="G48" i="12"/>
  <c r="H48" i="12"/>
  <c r="F49" i="12"/>
  <c r="G49" i="12"/>
  <c r="H49" i="12"/>
  <c r="F50" i="12"/>
  <c r="G50" i="12"/>
  <c r="H50" i="12"/>
  <c r="F51" i="12"/>
  <c r="G51" i="12"/>
  <c r="H51" i="12"/>
  <c r="F52" i="12"/>
  <c r="G52" i="12"/>
  <c r="H52" i="12"/>
  <c r="F53" i="12"/>
  <c r="G53" i="12"/>
  <c r="H53" i="12"/>
  <c r="F54" i="12"/>
  <c r="G54" i="12"/>
  <c r="H54" i="12"/>
  <c r="F55" i="12"/>
  <c r="G55" i="12"/>
  <c r="H55" i="12"/>
  <c r="F56" i="12"/>
  <c r="G56" i="12"/>
  <c r="H56" i="12"/>
  <c r="F57" i="12"/>
  <c r="G57" i="12"/>
  <c r="H57" i="12"/>
  <c r="F58" i="12"/>
  <c r="G58" i="12"/>
  <c r="H58" i="12"/>
  <c r="F59" i="12"/>
  <c r="G59" i="12"/>
  <c r="H59" i="12"/>
  <c r="F60" i="12"/>
  <c r="G60" i="12"/>
  <c r="H60" i="12"/>
  <c r="F61" i="12"/>
  <c r="G61" i="12"/>
  <c r="H61" i="12"/>
  <c r="G4" i="12"/>
  <c r="H4" i="12"/>
  <c r="F4" i="12"/>
  <c r="K3" i="12"/>
  <c r="J3" i="12"/>
  <c r="G3" i="12"/>
  <c r="F3" i="12"/>
  <c r="J5" i="8"/>
  <c r="K5" i="8"/>
  <c r="L5" i="8"/>
  <c r="I5" i="8"/>
  <c r="I6" i="8"/>
  <c r="J6" i="8"/>
  <c r="K6" i="8"/>
  <c r="L6" i="8"/>
  <c r="I7" i="8"/>
  <c r="J7" i="8"/>
  <c r="K7" i="8"/>
  <c r="L7" i="8"/>
  <c r="I8" i="8"/>
  <c r="J8" i="8"/>
  <c r="K8" i="8"/>
  <c r="L8" i="8"/>
  <c r="I9" i="8"/>
  <c r="J9" i="8"/>
  <c r="K9" i="8"/>
  <c r="L9" i="8"/>
  <c r="I10" i="8"/>
  <c r="J10" i="8"/>
  <c r="K10" i="8"/>
  <c r="L10" i="8"/>
  <c r="H7" i="8"/>
  <c r="H8" i="8"/>
  <c r="H9" i="8"/>
  <c r="H10" i="8"/>
  <c r="H6" i="8"/>
  <c r="E6" i="5"/>
  <c r="D6" i="5"/>
  <c r="C6" i="5"/>
  <c r="B6" i="5"/>
  <c r="A6" i="5"/>
  <c r="O2401" i="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a="1"/>
  <c r="O2390" i="1" s="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a="1"/>
  <c r="O2384" i="1" s="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a="1"/>
  <c r="O2377" i="1" s="1"/>
  <c r="N2377" i="1"/>
  <c r="M2377" i="1"/>
  <c r="O2376" i="1" a="1"/>
  <c r="O2376" i="1" s="1"/>
  <c r="N2376" i="1"/>
  <c r="M2376" i="1"/>
  <c r="O2375" i="1" a="1"/>
  <c r="O2375" i="1" s="1"/>
  <c r="N2375" i="1"/>
  <c r="M2375" i="1"/>
  <c r="O2374" i="1" a="1"/>
  <c r="O2374" i="1" s="1"/>
  <c r="N2374" i="1"/>
  <c r="M2374" i="1"/>
  <c r="O2373" i="1" a="1"/>
  <c r="O2373" i="1" s="1"/>
  <c r="N2373" i="1"/>
  <c r="M2373" i="1"/>
  <c r="O2372" i="1" a="1"/>
  <c r="O2372" i="1" s="1"/>
  <c r="N2372" i="1"/>
  <c r="M2372" i="1"/>
  <c r="O2371" i="1" a="1"/>
  <c r="O2371" i="1" s="1"/>
  <c r="N2371" i="1"/>
  <c r="M2371" i="1"/>
  <c r="O2370" i="1" a="1"/>
  <c r="O2370" i="1" s="1"/>
  <c r="N2370" i="1"/>
  <c r="M2370" i="1"/>
  <c r="O2369" i="1" a="1"/>
  <c r="O2369" i="1" s="1"/>
  <c r="N2369" i="1"/>
  <c r="M2369" i="1"/>
  <c r="O2368" i="1" a="1"/>
  <c r="O2368" i="1" s="1"/>
  <c r="N2368" i="1"/>
  <c r="M2368" i="1"/>
  <c r="O2367" i="1" a="1"/>
  <c r="O2367" i="1" s="1"/>
  <c r="N2367" i="1"/>
  <c r="M2367" i="1"/>
  <c r="O2366" i="1" a="1"/>
  <c r="O2366" i="1" s="1"/>
  <c r="N2366" i="1"/>
  <c r="M2366" i="1"/>
  <c r="O2365" i="1" a="1"/>
  <c r="O2365" i="1" s="1"/>
  <c r="N2365" i="1"/>
  <c r="M2365" i="1"/>
  <c r="O2364" i="1" a="1"/>
  <c r="O2364" i="1" s="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a="1"/>
  <c r="O2358" i="1" s="1"/>
  <c r="N2358" i="1"/>
  <c r="M2358" i="1"/>
  <c r="O2357" i="1" a="1"/>
  <c r="O2357" i="1" s="1"/>
  <c r="N2357" i="1"/>
  <c r="M2357" i="1"/>
  <c r="O2356" i="1" a="1"/>
  <c r="O2356" i="1" s="1"/>
  <c r="N2356" i="1"/>
  <c r="M2356" i="1"/>
  <c r="O2355" i="1" a="1"/>
  <c r="O2355" i="1" s="1"/>
  <c r="N2355" i="1"/>
  <c r="M2355" i="1"/>
  <c r="O2354" i="1" a="1"/>
  <c r="O2354" i="1" s="1"/>
  <c r="N2354" i="1"/>
  <c r="M2354" i="1"/>
  <c r="O2353" i="1" a="1"/>
  <c r="O2353" i="1" s="1"/>
  <c r="N2353" i="1"/>
  <c r="M2353" i="1"/>
  <c r="O2352" i="1" a="1"/>
  <c r="O2352" i="1" s="1"/>
  <c r="N2352" i="1"/>
  <c r="M2352" i="1"/>
  <c r="O2351" i="1" a="1"/>
  <c r="O2351" i="1" s="1"/>
  <c r="N2351" i="1"/>
  <c r="M2351" i="1"/>
  <c r="O2350" i="1" a="1"/>
  <c r="O2350" i="1" s="1"/>
  <c r="N2350" i="1"/>
  <c r="M2350" i="1"/>
  <c r="O2349" i="1" a="1"/>
  <c r="O2349" i="1" s="1"/>
  <c r="N2349" i="1"/>
  <c r="M2349" i="1"/>
  <c r="O2348" i="1" a="1"/>
  <c r="O2348" i="1" s="1"/>
  <c r="N2348" i="1"/>
  <c r="M2348" i="1"/>
  <c r="O2347" i="1" a="1"/>
  <c r="O2347" i="1" s="1"/>
  <c r="N2347" i="1"/>
  <c r="M2347" i="1"/>
  <c r="O2346" i="1" a="1"/>
  <c r="O2346" i="1" s="1"/>
  <c r="N2346" i="1"/>
  <c r="M2346" i="1"/>
  <c r="O2345" i="1" a="1"/>
  <c r="O2345" i="1" s="1"/>
  <c r="N2345" i="1"/>
  <c r="M2345" i="1"/>
  <c r="O2344" i="1" a="1"/>
  <c r="O2344" i="1" s="1"/>
  <c r="N2344" i="1"/>
  <c r="M2344" i="1"/>
  <c r="O2343" i="1" a="1"/>
  <c r="O2343" i="1" s="1"/>
  <c r="N2343" i="1"/>
  <c r="M2343" i="1"/>
  <c r="O2342" i="1" a="1"/>
  <c r="O2342" i="1" s="1"/>
  <c r="N2342" i="1"/>
  <c r="M2342" i="1"/>
  <c r="O2341" i="1" a="1"/>
  <c r="O2341" i="1" s="1"/>
  <c r="N2341" i="1"/>
  <c r="M2341" i="1"/>
  <c r="O2340" i="1" a="1"/>
  <c r="O2340" i="1" s="1"/>
  <c r="N2340" i="1"/>
  <c r="M2340" i="1"/>
  <c r="O2339" i="1" a="1"/>
  <c r="O2339" i="1" s="1"/>
  <c r="N2339" i="1"/>
  <c r="M2339" i="1"/>
  <c r="O2338" i="1" a="1"/>
  <c r="O2338" i="1" s="1"/>
  <c r="N2338" i="1"/>
  <c r="M2338" i="1"/>
  <c r="O2337" i="1" a="1"/>
  <c r="O2337" i="1" s="1"/>
  <c r="N2337" i="1"/>
  <c r="M2337" i="1"/>
  <c r="O2336" i="1" a="1"/>
  <c r="O2336" i="1" s="1"/>
  <c r="N2336" i="1"/>
  <c r="M2336" i="1"/>
  <c r="O2335" i="1" a="1"/>
  <c r="O2335" i="1" s="1"/>
  <c r="N2335" i="1"/>
  <c r="M2335" i="1"/>
  <c r="O2334" i="1" a="1"/>
  <c r="O2334" i="1" s="1"/>
  <c r="N2334" i="1"/>
  <c r="M2334" i="1"/>
  <c r="O2333" i="1" a="1"/>
  <c r="O2333" i="1" s="1"/>
  <c r="N2333" i="1"/>
  <c r="M2333" i="1"/>
  <c r="O2332" i="1" a="1"/>
  <c r="O2332" i="1" s="1"/>
  <c r="N2332" i="1"/>
  <c r="M2332" i="1"/>
  <c r="O2331" i="1" a="1"/>
  <c r="O2331" i="1" s="1"/>
  <c r="N2331" i="1"/>
  <c r="M2331" i="1"/>
  <c r="O2330" i="1" a="1"/>
  <c r="O2330" i="1" s="1"/>
  <c r="N2330" i="1"/>
  <c r="M2330" i="1"/>
  <c r="O2329" i="1" a="1"/>
  <c r="O2329" i="1" s="1"/>
  <c r="N2329" i="1"/>
  <c r="M2329" i="1"/>
  <c r="O2328" i="1" a="1"/>
  <c r="O2328" i="1" s="1"/>
  <c r="N2328" i="1"/>
  <c r="M2328" i="1"/>
  <c r="O2327" i="1" a="1"/>
  <c r="O2327" i="1" s="1"/>
  <c r="N2327" i="1"/>
  <c r="M2327" i="1"/>
  <c r="O2326" i="1" a="1"/>
  <c r="O2326" i="1" s="1"/>
  <c r="N2326" i="1"/>
  <c r="M2326" i="1"/>
  <c r="O2325" i="1" a="1"/>
  <c r="O2325" i="1" s="1"/>
  <c r="N2325" i="1"/>
  <c r="M2325" i="1"/>
  <c r="O2324" i="1" a="1"/>
  <c r="O2324" i="1" s="1"/>
  <c r="N2324" i="1"/>
  <c r="M2324" i="1"/>
  <c r="O2323" i="1" a="1"/>
  <c r="O2323" i="1" s="1"/>
  <c r="N2323" i="1"/>
  <c r="M2323" i="1"/>
  <c r="O2322" i="1" a="1"/>
  <c r="O2322" i="1" s="1"/>
  <c r="N2322" i="1"/>
  <c r="M2322" i="1"/>
  <c r="O2321" i="1"/>
  <c r="O2321" i="1" a="1"/>
  <c r="N2321" i="1"/>
  <c r="M2321" i="1"/>
  <c r="O2320" i="1" a="1"/>
  <c r="O2320" i="1" s="1"/>
  <c r="N2320" i="1"/>
  <c r="M2320" i="1"/>
  <c r="O2319" i="1" a="1"/>
  <c r="O2319" i="1" s="1"/>
  <c r="N2319" i="1"/>
  <c r="M2319" i="1"/>
  <c r="O2318" i="1" a="1"/>
  <c r="O2318" i="1" s="1"/>
  <c r="N2318" i="1"/>
  <c r="M2318" i="1"/>
  <c r="O2317" i="1" a="1"/>
  <c r="O2317" i="1" s="1"/>
  <c r="N2317" i="1"/>
  <c r="M2317" i="1"/>
  <c r="O2316" i="1" a="1"/>
  <c r="O2316" i="1" s="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a="1"/>
  <c r="O2308" i="1" s="1"/>
  <c r="N2308" i="1"/>
  <c r="M2308" i="1"/>
  <c r="O2307" i="1" a="1"/>
  <c r="O2307" i="1" s="1"/>
  <c r="N2307" i="1"/>
  <c r="M2307" i="1"/>
  <c r="O2306" i="1" a="1"/>
  <c r="O2306" i="1" s="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a="1"/>
  <c r="O2298" i="1" s="1"/>
  <c r="N2298" i="1"/>
  <c r="M2298" i="1"/>
  <c r="O2297" i="1" a="1"/>
  <c r="O2297" i="1" s="1"/>
  <c r="N2297" i="1"/>
  <c r="M2297" i="1"/>
  <c r="O2296" i="1" a="1"/>
  <c r="O2296" i="1" s="1"/>
  <c r="N2296" i="1"/>
  <c r="M2296" i="1"/>
  <c r="O2295" i="1" a="1"/>
  <c r="O2295" i="1" s="1"/>
  <c r="N2295" i="1"/>
  <c r="M2295" i="1"/>
  <c r="O2294" i="1" a="1"/>
  <c r="O2294" i="1" s="1"/>
  <c r="N2294" i="1"/>
  <c r="M2294" i="1"/>
  <c r="O2293" i="1" a="1"/>
  <c r="O2293" i="1" s="1"/>
  <c r="N2293" i="1"/>
  <c r="M2293" i="1"/>
  <c r="O2292" i="1" a="1"/>
  <c r="O2292" i="1" s="1"/>
  <c r="N2292" i="1"/>
  <c r="M2292" i="1"/>
  <c r="O2291" i="1" a="1"/>
  <c r="O2291" i="1" s="1"/>
  <c r="N2291" i="1"/>
  <c r="M2291" i="1"/>
  <c r="O2290" i="1"/>
  <c r="O2290" i="1" a="1"/>
  <c r="N2290" i="1"/>
  <c r="M2290" i="1"/>
  <c r="O2289" i="1" a="1"/>
  <c r="O2289" i="1" s="1"/>
  <c r="N2289" i="1"/>
  <c r="M2289" i="1"/>
  <c r="O2288" i="1" a="1"/>
  <c r="O2288" i="1" s="1"/>
  <c r="N2288" i="1"/>
  <c r="M2288" i="1"/>
  <c r="O2287" i="1"/>
  <c r="O2287" i="1" a="1"/>
  <c r="N2287" i="1"/>
  <c r="M2287" i="1"/>
  <c r="O2286" i="1" a="1"/>
  <c r="O2286" i="1" s="1"/>
  <c r="N2286" i="1"/>
  <c r="M2286" i="1"/>
  <c r="O2285" i="1" a="1"/>
  <c r="O2285" i="1" s="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a="1"/>
  <c r="O2279" i="1" s="1"/>
  <c r="N2279" i="1"/>
  <c r="M2279" i="1"/>
  <c r="O2278" i="1" a="1"/>
  <c r="O2278" i="1" s="1"/>
  <c r="N2278" i="1"/>
  <c r="M2278" i="1"/>
  <c r="O2277" i="1" a="1"/>
  <c r="O2277" i="1" s="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a="1"/>
  <c r="O2269" i="1" s="1"/>
  <c r="N2269" i="1"/>
  <c r="M2269" i="1"/>
  <c r="O2268" i="1" a="1"/>
  <c r="O2268" i="1" s="1"/>
  <c r="N2268" i="1"/>
  <c r="M2268" i="1"/>
  <c r="O2267" i="1" a="1"/>
  <c r="O2267" i="1" s="1"/>
  <c r="N2267" i="1"/>
  <c r="M2267" i="1"/>
  <c r="O2266" i="1" a="1"/>
  <c r="O2266" i="1" s="1"/>
  <c r="N2266" i="1"/>
  <c r="M2266" i="1"/>
  <c r="O2265" i="1" a="1"/>
  <c r="O2265" i="1" s="1"/>
  <c r="N2265" i="1"/>
  <c r="M2265" i="1"/>
  <c r="O2264" i="1" a="1"/>
  <c r="O2264" i="1" s="1"/>
  <c r="N2264" i="1"/>
  <c r="M2264" i="1"/>
  <c r="O2263" i="1" a="1"/>
  <c r="O2263" i="1" s="1"/>
  <c r="N2263" i="1"/>
  <c r="M2263" i="1"/>
  <c r="O2262" i="1" a="1"/>
  <c r="O2262" i="1" s="1"/>
  <c r="N2262" i="1"/>
  <c r="M2262" i="1"/>
  <c r="O2261" i="1" a="1"/>
  <c r="O2261" i="1" s="1"/>
  <c r="N2261" i="1"/>
  <c r="M2261" i="1"/>
  <c r="O2260" i="1" a="1"/>
  <c r="O2260" i="1" s="1"/>
  <c r="N2260" i="1"/>
  <c r="M2260" i="1"/>
  <c r="O2259" i="1" a="1"/>
  <c r="O2259" i="1" s="1"/>
  <c r="N2259" i="1"/>
  <c r="M2259" i="1"/>
  <c r="O2258" i="1" a="1"/>
  <c r="O2258" i="1" s="1"/>
  <c r="N2258" i="1"/>
  <c r="M2258" i="1"/>
  <c r="O2257" i="1" a="1"/>
  <c r="O2257" i="1" s="1"/>
  <c r="N2257" i="1"/>
  <c r="M2257" i="1"/>
  <c r="O2256" i="1" a="1"/>
  <c r="O2256" i="1" s="1"/>
  <c r="N2256" i="1"/>
  <c r="M2256" i="1"/>
  <c r="O2255" i="1" a="1"/>
  <c r="O2255" i="1" s="1"/>
  <c r="N2255" i="1"/>
  <c r="M2255" i="1"/>
  <c r="O2254" i="1" a="1"/>
  <c r="O2254" i="1" s="1"/>
  <c r="N2254" i="1"/>
  <c r="M2254" i="1"/>
  <c r="O2253" i="1" a="1"/>
  <c r="O2253" i="1" s="1"/>
  <c r="N2253" i="1"/>
  <c r="M2253" i="1"/>
  <c r="O2252" i="1" a="1"/>
  <c r="O2252" i="1" s="1"/>
  <c r="N2252" i="1"/>
  <c r="M2252" i="1"/>
  <c r="O2251" i="1" a="1"/>
  <c r="O2251" i="1" s="1"/>
  <c r="N2251" i="1"/>
  <c r="M2251" i="1"/>
  <c r="O2250" i="1" a="1"/>
  <c r="O2250" i="1" s="1"/>
  <c r="N2250" i="1"/>
  <c r="M2250" i="1"/>
  <c r="O2249" i="1" a="1"/>
  <c r="O2249" i="1" s="1"/>
  <c r="N2249" i="1"/>
  <c r="M2249" i="1"/>
  <c r="O2248" i="1"/>
  <c r="O2248" i="1" a="1"/>
  <c r="N2248" i="1"/>
  <c r="M2248" i="1"/>
  <c r="O2247" i="1" a="1"/>
  <c r="O2247" i="1" s="1"/>
  <c r="N2247" i="1"/>
  <c r="M2247" i="1"/>
  <c r="O2246" i="1" a="1"/>
  <c r="O2246" i="1" s="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a="1"/>
  <c r="O2239" i="1" s="1"/>
  <c r="N2239" i="1"/>
  <c r="M2239" i="1"/>
  <c r="O2238" i="1" a="1"/>
  <c r="O2238" i="1" s="1"/>
  <c r="N2238" i="1"/>
  <c r="M2238" i="1"/>
  <c r="O2237" i="1"/>
  <c r="O2237" i="1" a="1"/>
  <c r="N2237" i="1"/>
  <c r="M2237" i="1"/>
  <c r="O2236" i="1" a="1"/>
  <c r="O2236" i="1" s="1"/>
  <c r="N2236" i="1"/>
  <c r="M2236" i="1"/>
  <c r="O2235" i="1" a="1"/>
  <c r="O2235" i="1" s="1"/>
  <c r="N2235" i="1"/>
  <c r="M2235" i="1"/>
  <c r="O2234" i="1" a="1"/>
  <c r="O2234" i="1" s="1"/>
  <c r="N2234" i="1"/>
  <c r="M2234" i="1"/>
  <c r="O2233" i="1" a="1"/>
  <c r="O2233" i="1" s="1"/>
  <c r="N2233" i="1"/>
  <c r="M2233" i="1"/>
  <c r="O2232" i="1" a="1"/>
  <c r="O2232" i="1" s="1"/>
  <c r="N2232" i="1"/>
  <c r="M2232" i="1"/>
  <c r="O2231" i="1" a="1"/>
  <c r="O2231" i="1" s="1"/>
  <c r="N2231" i="1"/>
  <c r="M2231" i="1"/>
  <c r="O2230" i="1" a="1"/>
  <c r="O2230" i="1" s="1"/>
  <c r="N2230" i="1"/>
  <c r="M2230" i="1"/>
  <c r="O2229" i="1" a="1"/>
  <c r="O2229" i="1" s="1"/>
  <c r="N2229" i="1"/>
  <c r="M2229" i="1"/>
  <c r="O2228" i="1" a="1"/>
  <c r="O2228" i="1" s="1"/>
  <c r="N2228" i="1"/>
  <c r="M2228" i="1"/>
  <c r="O2227" i="1" a="1"/>
  <c r="O2227" i="1" s="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a="1"/>
  <c r="O2220" i="1" s="1"/>
  <c r="N2220" i="1"/>
  <c r="M2220" i="1"/>
  <c r="O2219" i="1" a="1"/>
  <c r="O2219" i="1" s="1"/>
  <c r="N2219" i="1"/>
  <c r="M2219" i="1"/>
  <c r="O2218" i="1" a="1"/>
  <c r="O2218" i="1" s="1"/>
  <c r="N2218" i="1"/>
  <c r="M2218" i="1"/>
  <c r="O2217" i="1" a="1"/>
  <c r="O2217" i="1" s="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a="1"/>
  <c r="O2209" i="1" s="1"/>
  <c r="N2209" i="1"/>
  <c r="M2209" i="1"/>
  <c r="O2208" i="1" a="1"/>
  <c r="O2208" i="1" s="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a="1"/>
  <c r="O2200" i="1" s="1"/>
  <c r="N2200" i="1"/>
  <c r="M2200" i="1"/>
  <c r="O2199" i="1" a="1"/>
  <c r="O2199" i="1" s="1"/>
  <c r="N2199" i="1"/>
  <c r="M2199" i="1"/>
  <c r="O2198" i="1" a="1"/>
  <c r="O2198" i="1" s="1"/>
  <c r="N2198" i="1"/>
  <c r="M2198" i="1"/>
  <c r="O2197" i="1" a="1"/>
  <c r="O2197" i="1" s="1"/>
  <c r="N2197" i="1"/>
  <c r="M2197" i="1"/>
  <c r="O2196" i="1" a="1"/>
  <c r="O2196" i="1" s="1"/>
  <c r="N2196" i="1"/>
  <c r="M2196" i="1"/>
  <c r="O2195" i="1" a="1"/>
  <c r="O2195" i="1" s="1"/>
  <c r="N2195" i="1"/>
  <c r="M2195" i="1"/>
  <c r="O2194" i="1" a="1"/>
  <c r="O2194" i="1" s="1"/>
  <c r="N2194" i="1"/>
  <c r="M2194" i="1"/>
  <c r="O2193" i="1" a="1"/>
  <c r="O2193" i="1" s="1"/>
  <c r="N2193" i="1"/>
  <c r="M2193" i="1"/>
  <c r="O2192" i="1" a="1"/>
  <c r="O2192" i="1" s="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a="1"/>
  <c r="O2179" i="1" s="1"/>
  <c r="N2179" i="1"/>
  <c r="M2179" i="1"/>
  <c r="O2178" i="1" a="1"/>
  <c r="O2178" i="1" s="1"/>
  <c r="N2178" i="1"/>
  <c r="M2178" i="1"/>
  <c r="O2177" i="1" a="1"/>
  <c r="O2177" i="1" s="1"/>
  <c r="N2177" i="1"/>
  <c r="M2177" i="1"/>
  <c r="O2176" i="1" a="1"/>
  <c r="O2176" i="1" s="1"/>
  <c r="N2176" i="1"/>
  <c r="M2176" i="1"/>
  <c r="O2175" i="1" a="1"/>
  <c r="O2175" i="1" s="1"/>
  <c r="N2175" i="1"/>
  <c r="M2175" i="1"/>
  <c r="O2174" i="1" a="1"/>
  <c r="O2174" i="1" s="1"/>
  <c r="N2174" i="1"/>
  <c r="M2174" i="1"/>
  <c r="O2173" i="1" a="1"/>
  <c r="O2173" i="1" s="1"/>
  <c r="N2173" i="1"/>
  <c r="M2173" i="1"/>
  <c r="O2172" i="1" a="1"/>
  <c r="O2172" i="1" s="1"/>
  <c r="N2172" i="1"/>
  <c r="M2172" i="1"/>
  <c r="O2171" i="1" a="1"/>
  <c r="O2171" i="1" s="1"/>
  <c r="N2171" i="1"/>
  <c r="M2171" i="1"/>
  <c r="O2170" i="1" a="1"/>
  <c r="O2170" i="1" s="1"/>
  <c r="N2170" i="1"/>
  <c r="M2170" i="1"/>
  <c r="O2169" i="1" a="1"/>
  <c r="O2169" i="1" s="1"/>
  <c r="N2169" i="1"/>
  <c r="M2169" i="1"/>
  <c r="O2168" i="1" a="1"/>
  <c r="O2168" i="1" s="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a="1"/>
  <c r="O2159" i="1" s="1"/>
  <c r="N2159" i="1"/>
  <c r="M2159" i="1"/>
  <c r="O2158" i="1" a="1"/>
  <c r="O2158" i="1" s="1"/>
  <c r="N2158" i="1"/>
  <c r="M2158" i="1"/>
  <c r="O2157" i="1" a="1"/>
  <c r="O2157" i="1" s="1"/>
  <c r="N2157" i="1"/>
  <c r="M2157" i="1"/>
  <c r="O2156" i="1" a="1"/>
  <c r="O2156" i="1" s="1"/>
  <c r="N2156" i="1"/>
  <c r="M2156" i="1"/>
  <c r="O2155" i="1" a="1"/>
  <c r="O2155" i="1" s="1"/>
  <c r="N2155" i="1"/>
  <c r="M2155" i="1"/>
  <c r="O2154" i="1" a="1"/>
  <c r="O2154" i="1" s="1"/>
  <c r="N2154" i="1"/>
  <c r="M2154" i="1"/>
  <c r="O2153" i="1" a="1"/>
  <c r="O2153" i="1" s="1"/>
  <c r="N2153" i="1"/>
  <c r="M2153" i="1"/>
  <c r="O2152" i="1" a="1"/>
  <c r="O2152" i="1" s="1"/>
  <c r="N2152" i="1"/>
  <c r="M2152" i="1"/>
  <c r="O2151" i="1" a="1"/>
  <c r="O2151" i="1" s="1"/>
  <c r="N2151" i="1"/>
  <c r="M2151" i="1"/>
  <c r="O2150" i="1" a="1"/>
  <c r="O2150" i="1" s="1"/>
  <c r="N2150" i="1"/>
  <c r="M2150" i="1"/>
  <c r="O2149" i="1" a="1"/>
  <c r="O2149" i="1" s="1"/>
  <c r="N2149" i="1"/>
  <c r="M2149" i="1"/>
  <c r="O2148" i="1"/>
  <c r="O2148" i="1" a="1"/>
  <c r="N2148" i="1"/>
  <c r="M2148" i="1"/>
  <c r="O2147" i="1" a="1"/>
  <c r="O2147" i="1" s="1"/>
  <c r="N2147" i="1"/>
  <c r="M2147" i="1"/>
  <c r="O2146" i="1" a="1"/>
  <c r="O2146" i="1" s="1"/>
  <c r="N2146" i="1"/>
  <c r="M2146" i="1"/>
  <c r="O2145" i="1" a="1"/>
  <c r="O2145" i="1" s="1"/>
  <c r="N2145" i="1"/>
  <c r="M2145" i="1"/>
  <c r="O2144" i="1" a="1"/>
  <c r="O2144" i="1" s="1"/>
  <c r="N2144" i="1"/>
  <c r="M2144" i="1"/>
  <c r="O2143" i="1" a="1"/>
  <c r="O2143" i="1" s="1"/>
  <c r="N2143" i="1"/>
  <c r="M2143" i="1"/>
  <c r="O2142" i="1" a="1"/>
  <c r="O2142" i="1" s="1"/>
  <c r="N2142" i="1"/>
  <c r="M2142" i="1"/>
  <c r="O2141" i="1" a="1"/>
  <c r="O2141" i="1" s="1"/>
  <c r="N2141" i="1"/>
  <c r="M2141" i="1"/>
  <c r="O2140" i="1" a="1"/>
  <c r="O2140" i="1" s="1"/>
  <c r="N2140" i="1"/>
  <c r="M2140" i="1"/>
  <c r="O2139" i="1" a="1"/>
  <c r="O2139" i="1" s="1"/>
  <c r="N2139" i="1"/>
  <c r="M2139" i="1"/>
  <c r="O2138" i="1" a="1"/>
  <c r="O2138" i="1" s="1"/>
  <c r="N2138" i="1"/>
  <c r="M2138" i="1"/>
  <c r="O2137" i="1" a="1"/>
  <c r="O2137" i="1" s="1"/>
  <c r="N2137" i="1"/>
  <c r="M2137" i="1"/>
  <c r="O2136" i="1" a="1"/>
  <c r="O2136" i="1" s="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a="1"/>
  <c r="O2130" i="1" s="1"/>
  <c r="N2130" i="1"/>
  <c r="M2130" i="1"/>
  <c r="O2129" i="1" a="1"/>
  <c r="O2129" i="1" s="1"/>
  <c r="N2129" i="1"/>
  <c r="M2129" i="1"/>
  <c r="O2128" i="1" a="1"/>
  <c r="O2128" i="1" s="1"/>
  <c r="N2128" i="1"/>
  <c r="M2128" i="1"/>
  <c r="O2127" i="1" a="1"/>
  <c r="O2127" i="1" s="1"/>
  <c r="N2127" i="1"/>
  <c r="M2127" i="1"/>
  <c r="O2126" i="1" a="1"/>
  <c r="O2126" i="1" s="1"/>
  <c r="N2126" i="1"/>
  <c r="M2126" i="1"/>
  <c r="O2125" i="1" a="1"/>
  <c r="O2125" i="1" s="1"/>
  <c r="N2125" i="1"/>
  <c r="M2125" i="1"/>
  <c r="O2124" i="1" a="1"/>
  <c r="O2124" i="1" s="1"/>
  <c r="N2124" i="1"/>
  <c r="M2124" i="1"/>
  <c r="O2123" i="1" a="1"/>
  <c r="O2123" i="1" s="1"/>
  <c r="N2123" i="1"/>
  <c r="M2123" i="1"/>
  <c r="O2122" i="1" a="1"/>
  <c r="O2122" i="1" s="1"/>
  <c r="N2122" i="1"/>
  <c r="M2122" i="1"/>
  <c r="O2121" i="1" a="1"/>
  <c r="O2121" i="1" s="1"/>
  <c r="N2121" i="1"/>
  <c r="M2121" i="1"/>
  <c r="O2120" i="1"/>
  <c r="O2120" i="1" a="1"/>
  <c r="N2120" i="1"/>
  <c r="M2120" i="1"/>
  <c r="O2119" i="1" a="1"/>
  <c r="O2119" i="1" s="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a="1"/>
  <c r="O2112" i="1" s="1"/>
  <c r="N2112" i="1"/>
  <c r="M2112" i="1"/>
  <c r="O2111" i="1" a="1"/>
  <c r="O2111" i="1" s="1"/>
  <c r="N2111" i="1"/>
  <c r="M2111" i="1"/>
  <c r="O2110" i="1" a="1"/>
  <c r="O2110" i="1" s="1"/>
  <c r="N2110" i="1"/>
  <c r="M2110" i="1"/>
  <c r="O2109" i="1" a="1"/>
  <c r="O2109" i="1" s="1"/>
  <c r="N2109" i="1"/>
  <c r="M2109" i="1"/>
  <c r="O2108" i="1" a="1"/>
  <c r="O2108" i="1" s="1"/>
  <c r="N2108" i="1"/>
  <c r="M2108" i="1"/>
  <c r="O2107" i="1" a="1"/>
  <c r="O2107" i="1" s="1"/>
  <c r="N2107" i="1"/>
  <c r="M2107" i="1"/>
  <c r="O2106" i="1" a="1"/>
  <c r="O2106" i="1" s="1"/>
  <c r="N2106" i="1"/>
  <c r="M2106" i="1"/>
  <c r="O2105" i="1" a="1"/>
  <c r="O2105" i="1" s="1"/>
  <c r="N2105" i="1"/>
  <c r="M2105" i="1"/>
  <c r="O2104" i="1" a="1"/>
  <c r="O2104" i="1" s="1"/>
  <c r="N2104" i="1"/>
  <c r="M2104" i="1"/>
  <c r="O2103" i="1" a="1"/>
  <c r="O2103" i="1" s="1"/>
  <c r="N2103" i="1"/>
  <c r="M2103" i="1"/>
  <c r="O2102" i="1" a="1"/>
  <c r="O2102" i="1" s="1"/>
  <c r="N2102" i="1"/>
  <c r="M2102" i="1"/>
  <c r="O2101" i="1" a="1"/>
  <c r="O2101" i="1" s="1"/>
  <c r="N2101" i="1"/>
  <c r="M2101" i="1"/>
  <c r="O2100" i="1" a="1"/>
  <c r="O2100" i="1" s="1"/>
  <c r="N2100" i="1"/>
  <c r="M2100" i="1"/>
  <c r="O2099" i="1" a="1"/>
  <c r="O2099" i="1" s="1"/>
  <c r="N2099" i="1"/>
  <c r="M2099" i="1"/>
  <c r="O2098" i="1" a="1"/>
  <c r="O2098" i="1" s="1"/>
  <c r="N2098" i="1"/>
  <c r="M2098" i="1"/>
  <c r="O2097" i="1" a="1"/>
  <c r="O2097" i="1" s="1"/>
  <c r="N2097" i="1"/>
  <c r="M2097" i="1"/>
  <c r="O2096" i="1" a="1"/>
  <c r="O2096" i="1" s="1"/>
  <c r="N2096" i="1"/>
  <c r="M2096" i="1"/>
  <c r="O2095" i="1" a="1"/>
  <c r="O2095" i="1" s="1"/>
  <c r="N2095" i="1"/>
  <c r="M2095" i="1"/>
  <c r="O2094" i="1" a="1"/>
  <c r="O2094" i="1" s="1"/>
  <c r="N2094" i="1"/>
  <c r="M2094" i="1"/>
  <c r="O2093" i="1" a="1"/>
  <c r="O2093" i="1" s="1"/>
  <c r="N2093" i="1"/>
  <c r="M2093" i="1"/>
  <c r="O2092" i="1"/>
  <c r="O2092" i="1" a="1"/>
  <c r="N2092" i="1"/>
  <c r="M2092" i="1"/>
  <c r="O2091" i="1" a="1"/>
  <c r="O2091" i="1" s="1"/>
  <c r="N2091" i="1"/>
  <c r="M2091" i="1"/>
  <c r="O2090" i="1"/>
  <c r="O2090" i="1" a="1"/>
  <c r="N2090" i="1"/>
  <c r="M2090" i="1"/>
  <c r="O2089" i="1" a="1"/>
  <c r="O2089" i="1" s="1"/>
  <c r="N2089" i="1"/>
  <c r="M2089" i="1"/>
  <c r="O2088" i="1" a="1"/>
  <c r="O2088" i="1" s="1"/>
  <c r="N2088" i="1"/>
  <c r="M2088" i="1"/>
  <c r="O2087" i="1" a="1"/>
  <c r="O2087" i="1" s="1"/>
  <c r="N2087" i="1"/>
  <c r="M2087" i="1"/>
  <c r="O2086" i="1" a="1"/>
  <c r="O2086" i="1" s="1"/>
  <c r="N2086" i="1"/>
  <c r="M2086" i="1"/>
  <c r="O2085" i="1" a="1"/>
  <c r="O2085" i="1" s="1"/>
  <c r="N2085" i="1"/>
  <c r="M2085" i="1"/>
  <c r="O2084" i="1" a="1"/>
  <c r="O2084" i="1" s="1"/>
  <c r="N2084" i="1"/>
  <c r="M2084" i="1"/>
  <c r="O2083" i="1"/>
  <c r="O2083" i="1" a="1"/>
  <c r="N2083" i="1"/>
  <c r="M2083" i="1"/>
  <c r="O2082" i="1" a="1"/>
  <c r="O2082" i="1" s="1"/>
  <c r="N2082" i="1"/>
  <c r="M2082" i="1"/>
  <c r="O2081" i="1"/>
  <c r="O2081" i="1" a="1"/>
  <c r="N2081" i="1"/>
  <c r="M2081" i="1"/>
  <c r="O2080" i="1" a="1"/>
  <c r="O2080" i="1" s="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a="1"/>
  <c r="O2071" i="1" s="1"/>
  <c r="N2071" i="1"/>
  <c r="M2071" i="1"/>
  <c r="O2070" i="1" a="1"/>
  <c r="O2070" i="1" s="1"/>
  <c r="N2070" i="1"/>
  <c r="M2070" i="1"/>
  <c r="O2069" i="1" a="1"/>
  <c r="O2069" i="1" s="1"/>
  <c r="N2069" i="1"/>
  <c r="M2069" i="1"/>
  <c r="O2068" i="1" a="1"/>
  <c r="O2068" i="1" s="1"/>
  <c r="N2068" i="1"/>
  <c r="M2068" i="1"/>
  <c r="O2067" i="1" a="1"/>
  <c r="O2067" i="1" s="1"/>
  <c r="N2067" i="1"/>
  <c r="M2067" i="1"/>
  <c r="O2066" i="1" a="1"/>
  <c r="O2066" i="1" s="1"/>
  <c r="N2066" i="1"/>
  <c r="M2066" i="1"/>
  <c r="O2065" i="1" a="1"/>
  <c r="O2065" i="1" s="1"/>
  <c r="N2065" i="1"/>
  <c r="M2065" i="1"/>
  <c r="O2064" i="1" a="1"/>
  <c r="O2064" i="1" s="1"/>
  <c r="N2064" i="1"/>
  <c r="M2064" i="1"/>
  <c r="O2063" i="1" a="1"/>
  <c r="O2063" i="1" s="1"/>
  <c r="N2063" i="1"/>
  <c r="M2063" i="1"/>
  <c r="O2062" i="1" a="1"/>
  <c r="O2062" i="1" s="1"/>
  <c r="N2062" i="1"/>
  <c r="M2062" i="1"/>
  <c r="O2061" i="1" a="1"/>
  <c r="O2061" i="1" s="1"/>
  <c r="N2061" i="1"/>
  <c r="M2061" i="1"/>
  <c r="O2060" i="1" a="1"/>
  <c r="O2060" i="1" s="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a="1"/>
  <c r="O2053" i="1" s="1"/>
  <c r="N2053" i="1"/>
  <c r="M2053" i="1"/>
  <c r="O2052" i="1" a="1"/>
  <c r="O2052" i="1" s="1"/>
  <c r="N2052" i="1"/>
  <c r="M2052" i="1"/>
  <c r="O2051" i="1" a="1"/>
  <c r="O2051" i="1" s="1"/>
  <c r="N2051" i="1"/>
  <c r="M2051" i="1"/>
  <c r="O2050" i="1"/>
  <c r="O2050" i="1" a="1"/>
  <c r="N2050" i="1"/>
  <c r="M2050" i="1"/>
  <c r="O2049" i="1" a="1"/>
  <c r="O2049" i="1" s="1"/>
  <c r="N2049" i="1"/>
  <c r="M2049" i="1"/>
  <c r="O2048" i="1" a="1"/>
  <c r="O2048" i="1" s="1"/>
  <c r="N2048" i="1"/>
  <c r="M2048" i="1"/>
  <c r="O2047" i="1" a="1"/>
  <c r="O2047" i="1" s="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a="1"/>
  <c r="O2038" i="1" s="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a="1"/>
  <c r="O2029" i="1" s="1"/>
  <c r="N2029" i="1"/>
  <c r="M2029" i="1"/>
  <c r="O2028" i="1" a="1"/>
  <c r="O2028" i="1" s="1"/>
  <c r="N2028" i="1"/>
  <c r="M2028" i="1"/>
  <c r="O2027" i="1" a="1"/>
  <c r="O2027" i="1" s="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a="1"/>
  <c r="O2021" i="1" s="1"/>
  <c r="N2021" i="1"/>
  <c r="M2021" i="1"/>
  <c r="O2020" i="1" a="1"/>
  <c r="O2020" i="1" s="1"/>
  <c r="N2020" i="1"/>
  <c r="M2020" i="1"/>
  <c r="O2019" i="1" a="1"/>
  <c r="O2019" i="1" s="1"/>
  <c r="N2019" i="1"/>
  <c r="M2019" i="1"/>
  <c r="O2018" i="1" a="1"/>
  <c r="O2018" i="1" s="1"/>
  <c r="N2018" i="1"/>
  <c r="M2018" i="1"/>
  <c r="O2017" i="1"/>
  <c r="O2017" i="1" a="1"/>
  <c r="N2017" i="1"/>
  <c r="M2017" i="1"/>
  <c r="O2016" i="1" a="1"/>
  <c r="O2016" i="1" s="1"/>
  <c r="N2016" i="1"/>
  <c r="M2016" i="1"/>
  <c r="O2015" i="1" a="1"/>
  <c r="O2015" i="1" s="1"/>
  <c r="N2015" i="1"/>
  <c r="M2015" i="1"/>
  <c r="O2014" i="1" a="1"/>
  <c r="O2014" i="1" s="1"/>
  <c r="N2014" i="1"/>
  <c r="M2014" i="1"/>
  <c r="O2013" i="1" a="1"/>
  <c r="O2013" i="1" s="1"/>
  <c r="N2013" i="1"/>
  <c r="M2013" i="1"/>
  <c r="O2012" i="1" a="1"/>
  <c r="O2012" i="1" s="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a="1"/>
  <c r="O2001" i="1" s="1"/>
  <c r="N2001" i="1"/>
  <c r="M2001" i="1"/>
  <c r="O2000" i="1" a="1"/>
  <c r="O2000" i="1" s="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a="1"/>
  <c r="O1992" i="1" s="1"/>
  <c r="N1992" i="1"/>
  <c r="M1992" i="1"/>
  <c r="O1991" i="1" a="1"/>
  <c r="O1991" i="1" s="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a="1"/>
  <c r="O1983" i="1" s="1"/>
  <c r="N1983" i="1"/>
  <c r="M1983" i="1"/>
  <c r="O1982" i="1" a="1"/>
  <c r="O1982" i="1" s="1"/>
  <c r="N1982" i="1"/>
  <c r="M1982" i="1"/>
  <c r="O1981" i="1" a="1"/>
  <c r="O1981" i="1" s="1"/>
  <c r="N1981" i="1"/>
  <c r="M1981" i="1"/>
  <c r="O1980" i="1" a="1"/>
  <c r="O1980" i="1" s="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a="1"/>
  <c r="O1973" i="1" s="1"/>
  <c r="N1973" i="1"/>
  <c r="M1973" i="1"/>
  <c r="O1972" i="1"/>
  <c r="O1972" i="1" a="1"/>
  <c r="N1972" i="1"/>
  <c r="M1972" i="1"/>
  <c r="O1971" i="1" a="1"/>
  <c r="O1971" i="1" s="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a="1"/>
  <c r="O1954" i="1" s="1"/>
  <c r="N1954" i="1"/>
  <c r="M1954" i="1"/>
  <c r="O1953" i="1" a="1"/>
  <c r="O1953" i="1" s="1"/>
  <c r="N1953" i="1"/>
  <c r="M1953" i="1"/>
  <c r="O1952" i="1" a="1"/>
  <c r="O1952" i="1" s="1"/>
  <c r="N1952" i="1"/>
  <c r="M1952" i="1"/>
  <c r="O1951" i="1" a="1"/>
  <c r="O1951" i="1" s="1"/>
  <c r="N1951" i="1"/>
  <c r="M1951" i="1"/>
  <c r="O1950" i="1" a="1"/>
  <c r="O1950" i="1" s="1"/>
  <c r="N1950" i="1"/>
  <c r="M1950" i="1"/>
  <c r="O1949" i="1" a="1"/>
  <c r="O1949" i="1" s="1"/>
  <c r="N1949" i="1"/>
  <c r="M1949" i="1"/>
  <c r="O1948" i="1"/>
  <c r="O1948" i="1" a="1"/>
  <c r="N1948" i="1"/>
  <c r="M1948" i="1"/>
  <c r="O1947" i="1" a="1"/>
  <c r="O1947" i="1" s="1"/>
  <c r="N1947" i="1"/>
  <c r="M1947" i="1"/>
  <c r="O1946" i="1" a="1"/>
  <c r="O1946" i="1" s="1"/>
  <c r="N1946" i="1"/>
  <c r="M1946" i="1"/>
  <c r="O1945" i="1" a="1"/>
  <c r="O1945" i="1" s="1"/>
  <c r="N1945" i="1"/>
  <c r="M1945" i="1"/>
  <c r="O1944" i="1" a="1"/>
  <c r="O1944" i="1" s="1"/>
  <c r="N1944" i="1"/>
  <c r="M1944" i="1"/>
  <c r="O1943" i="1" a="1"/>
  <c r="O1943" i="1" s="1"/>
  <c r="N1943" i="1"/>
  <c r="M1943" i="1"/>
  <c r="O1942" i="1" a="1"/>
  <c r="O1942" i="1" s="1"/>
  <c r="N1942" i="1"/>
  <c r="M1942" i="1"/>
  <c r="O1941" i="1" a="1"/>
  <c r="O1941" i="1" s="1"/>
  <c r="N1941" i="1"/>
  <c r="M1941" i="1"/>
  <c r="O1940" i="1" a="1"/>
  <c r="O1940" i="1" s="1"/>
  <c r="N1940" i="1"/>
  <c r="M1940" i="1"/>
  <c r="O1939" i="1" a="1"/>
  <c r="O1939" i="1" s="1"/>
  <c r="N1939" i="1"/>
  <c r="M1939" i="1"/>
  <c r="O1938" i="1" a="1"/>
  <c r="O1938" i="1" s="1"/>
  <c r="N1938" i="1"/>
  <c r="M1938" i="1"/>
  <c r="O1937" i="1" a="1"/>
  <c r="O1937" i="1" s="1"/>
  <c r="N1937" i="1"/>
  <c r="M1937" i="1"/>
  <c r="O1936" i="1" a="1"/>
  <c r="O1936" i="1" s="1"/>
  <c r="N1936" i="1"/>
  <c r="M1936" i="1"/>
  <c r="O1935" i="1" a="1"/>
  <c r="O1935" i="1" s="1"/>
  <c r="N1935" i="1"/>
  <c r="M1935" i="1"/>
  <c r="O1934" i="1" a="1"/>
  <c r="O1934" i="1" s="1"/>
  <c r="N1934" i="1"/>
  <c r="M1934" i="1"/>
  <c r="O1933" i="1" a="1"/>
  <c r="O1933" i="1" s="1"/>
  <c r="N1933" i="1"/>
  <c r="M1933" i="1"/>
  <c r="O1932" i="1" a="1"/>
  <c r="O1932" i="1" s="1"/>
  <c r="N1932" i="1"/>
  <c r="M1932" i="1"/>
  <c r="O1931" i="1" a="1"/>
  <c r="O1931" i="1" s="1"/>
  <c r="N1931" i="1"/>
  <c r="M1931" i="1"/>
  <c r="O1930" i="1" a="1"/>
  <c r="O1930" i="1" s="1"/>
  <c r="N1930" i="1"/>
  <c r="M1930" i="1"/>
  <c r="O1929" i="1" a="1"/>
  <c r="O1929" i="1" s="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a="1"/>
  <c r="O1914" i="1" s="1"/>
  <c r="N1914" i="1"/>
  <c r="M1914" i="1"/>
  <c r="O1913" i="1" a="1"/>
  <c r="O1913" i="1" s="1"/>
  <c r="N1913" i="1"/>
  <c r="M1913" i="1"/>
  <c r="O1912" i="1" a="1"/>
  <c r="O1912" i="1" s="1"/>
  <c r="N1912" i="1"/>
  <c r="M1912" i="1"/>
  <c r="O1911" i="1" a="1"/>
  <c r="O1911" i="1" s="1"/>
  <c r="N1911" i="1"/>
  <c r="M1911" i="1"/>
  <c r="O1910" i="1" a="1"/>
  <c r="O1910" i="1" s="1"/>
  <c r="N1910" i="1"/>
  <c r="M1910" i="1"/>
  <c r="O1909" i="1" a="1"/>
  <c r="O1909" i="1" s="1"/>
  <c r="N1909" i="1"/>
  <c r="M1909" i="1"/>
  <c r="O1908" i="1"/>
  <c r="O1908" i="1" a="1"/>
  <c r="N1908" i="1"/>
  <c r="M1908" i="1"/>
  <c r="O1907" i="1" a="1"/>
  <c r="O1907" i="1" s="1"/>
  <c r="N1907" i="1"/>
  <c r="M1907" i="1"/>
  <c r="O1906" i="1" a="1"/>
  <c r="O1906" i="1" s="1"/>
  <c r="N1906" i="1"/>
  <c r="M1906" i="1"/>
  <c r="O1905" i="1" a="1"/>
  <c r="O1905" i="1" s="1"/>
  <c r="N1905" i="1"/>
  <c r="M1905" i="1"/>
  <c r="O1904" i="1" a="1"/>
  <c r="O1904" i="1" s="1"/>
  <c r="N1904" i="1"/>
  <c r="M1904" i="1"/>
  <c r="O1903" i="1"/>
  <c r="O1903" i="1" a="1"/>
  <c r="N1903" i="1"/>
  <c r="M1903" i="1"/>
  <c r="O1902" i="1" a="1"/>
  <c r="O1902" i="1" s="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a="1"/>
  <c r="O1893" i="1" s="1"/>
  <c r="N1893" i="1"/>
  <c r="M1893" i="1"/>
  <c r="O1892" i="1" a="1"/>
  <c r="O1892" i="1" s="1"/>
  <c r="N1892" i="1"/>
  <c r="M1892" i="1"/>
  <c r="O1891" i="1" a="1"/>
  <c r="O1891" i="1" s="1"/>
  <c r="N1891" i="1"/>
  <c r="M1891" i="1"/>
  <c r="O1890" i="1" a="1"/>
  <c r="O1890" i="1" s="1"/>
  <c r="N1890" i="1"/>
  <c r="M1890" i="1"/>
  <c r="O1889" i="1" a="1"/>
  <c r="O1889" i="1" s="1"/>
  <c r="N1889" i="1"/>
  <c r="M1889" i="1"/>
  <c r="O1888" i="1" a="1"/>
  <c r="O1888" i="1" s="1"/>
  <c r="N1888" i="1"/>
  <c r="M1888" i="1"/>
  <c r="O1887" i="1" a="1"/>
  <c r="O1887" i="1" s="1"/>
  <c r="N1887" i="1"/>
  <c r="M1887" i="1"/>
  <c r="O1886" i="1" a="1"/>
  <c r="O1886" i="1" s="1"/>
  <c r="N1886" i="1"/>
  <c r="M1886" i="1"/>
  <c r="O1885" i="1" a="1"/>
  <c r="O1885" i="1" s="1"/>
  <c r="N1885" i="1"/>
  <c r="M1885" i="1"/>
  <c r="O1884" i="1" a="1"/>
  <c r="O1884" i="1" s="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a="1"/>
  <c r="O1877" i="1" s="1"/>
  <c r="N1877" i="1"/>
  <c r="M1877" i="1"/>
  <c r="O1876" i="1" a="1"/>
  <c r="O1876" i="1" s="1"/>
  <c r="N1876" i="1"/>
  <c r="M1876" i="1"/>
  <c r="O1875" i="1" a="1"/>
  <c r="O1875" i="1" s="1"/>
  <c r="N1875" i="1"/>
  <c r="M1875" i="1"/>
  <c r="O1874" i="1" a="1"/>
  <c r="O1874" i="1" s="1"/>
  <c r="N1874" i="1"/>
  <c r="M1874" i="1"/>
  <c r="O1873" i="1" a="1"/>
  <c r="O1873" i="1" s="1"/>
  <c r="N1873" i="1"/>
  <c r="M1873" i="1"/>
  <c r="O1872" i="1" a="1"/>
  <c r="O1872" i="1" s="1"/>
  <c r="N1872" i="1"/>
  <c r="M1872" i="1"/>
  <c r="O1871" i="1" a="1"/>
  <c r="O1871" i="1" s="1"/>
  <c r="N1871" i="1"/>
  <c r="M1871" i="1"/>
  <c r="O1870" i="1" a="1"/>
  <c r="O1870" i="1" s="1"/>
  <c r="N1870" i="1"/>
  <c r="M1870" i="1"/>
  <c r="O1869" i="1" a="1"/>
  <c r="O1869" i="1" s="1"/>
  <c r="N1869" i="1"/>
  <c r="M1869" i="1"/>
  <c r="O1868" i="1" a="1"/>
  <c r="O1868" i="1" s="1"/>
  <c r="N1868" i="1"/>
  <c r="M1868" i="1"/>
  <c r="O1867" i="1" a="1"/>
  <c r="O1867" i="1" s="1"/>
  <c r="N1867" i="1"/>
  <c r="M1867" i="1"/>
  <c r="O1866" i="1" a="1"/>
  <c r="O1866" i="1" s="1"/>
  <c r="N1866" i="1"/>
  <c r="M1866" i="1"/>
  <c r="O1865" i="1" a="1"/>
  <c r="O1865" i="1" s="1"/>
  <c r="N1865" i="1"/>
  <c r="M1865" i="1"/>
  <c r="O1864" i="1" a="1"/>
  <c r="O1864" i="1" s="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a="1"/>
  <c r="O1854" i="1" s="1"/>
  <c r="N1854" i="1"/>
  <c r="M1854" i="1"/>
  <c r="O1853" i="1" a="1"/>
  <c r="O1853" i="1" s="1"/>
  <c r="N1853" i="1"/>
  <c r="M1853" i="1"/>
  <c r="O1852" i="1" a="1"/>
  <c r="O1852" i="1" s="1"/>
  <c r="N1852" i="1"/>
  <c r="M1852" i="1"/>
  <c r="O1851" i="1" a="1"/>
  <c r="O1851" i="1" s="1"/>
  <c r="N1851" i="1"/>
  <c r="M1851" i="1"/>
  <c r="O1850" i="1" a="1"/>
  <c r="O1850" i="1" s="1"/>
  <c r="N1850" i="1"/>
  <c r="M1850" i="1"/>
  <c r="O1849" i="1" a="1"/>
  <c r="O1849" i="1" s="1"/>
  <c r="N1849" i="1"/>
  <c r="M1849" i="1"/>
  <c r="O1848" i="1" a="1"/>
  <c r="O1848" i="1" s="1"/>
  <c r="N1848" i="1"/>
  <c r="M1848" i="1"/>
  <c r="O1847" i="1" a="1"/>
  <c r="O1847" i="1" s="1"/>
  <c r="N1847" i="1"/>
  <c r="M1847" i="1"/>
  <c r="O1846" i="1" a="1"/>
  <c r="O1846" i="1" s="1"/>
  <c r="N1846" i="1"/>
  <c r="M1846" i="1"/>
  <c r="O1845" i="1" a="1"/>
  <c r="O1845" i="1" s="1"/>
  <c r="N1845" i="1"/>
  <c r="M1845" i="1"/>
  <c r="O1844" i="1" a="1"/>
  <c r="O1844" i="1" s="1"/>
  <c r="N1844" i="1"/>
  <c r="M1844" i="1"/>
  <c r="O1843" i="1" a="1"/>
  <c r="O1843" i="1" s="1"/>
  <c r="N1843" i="1"/>
  <c r="M1843" i="1"/>
  <c r="O1842" i="1" a="1"/>
  <c r="O1842" i="1" s="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a="1"/>
  <c r="O1835" i="1" s="1"/>
  <c r="N1835" i="1"/>
  <c r="M1835" i="1"/>
  <c r="O1834" i="1" a="1"/>
  <c r="O1834" i="1" s="1"/>
  <c r="N1834" i="1"/>
  <c r="M1834" i="1"/>
  <c r="O1833" i="1" a="1"/>
  <c r="O1833" i="1" s="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a="1"/>
  <c r="O1818" i="1" s="1"/>
  <c r="N1818" i="1"/>
  <c r="M1818" i="1"/>
  <c r="O1817" i="1" a="1"/>
  <c r="O1817" i="1" s="1"/>
  <c r="N1817" i="1"/>
  <c r="M1817" i="1"/>
  <c r="O1816" i="1" a="1"/>
  <c r="O1816" i="1" s="1"/>
  <c r="N1816" i="1"/>
  <c r="M1816" i="1"/>
  <c r="O1815" i="1" a="1"/>
  <c r="O1815" i="1" s="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a="1"/>
  <c r="O1809" i="1" s="1"/>
  <c r="N1809" i="1"/>
  <c r="M1809" i="1"/>
  <c r="O1808" i="1" a="1"/>
  <c r="O1808" i="1" s="1"/>
  <c r="N1808" i="1"/>
  <c r="M1808" i="1"/>
  <c r="O1807" i="1" a="1"/>
  <c r="O1807" i="1" s="1"/>
  <c r="N1807" i="1"/>
  <c r="M1807" i="1"/>
  <c r="O1806" i="1"/>
  <c r="O1806" i="1" a="1"/>
  <c r="N1806" i="1"/>
  <c r="M1806" i="1"/>
  <c r="O1805" i="1" a="1"/>
  <c r="O1805" i="1" s="1"/>
  <c r="N1805" i="1"/>
  <c r="M1805" i="1"/>
  <c r="O1804" i="1" a="1"/>
  <c r="O1804" i="1" s="1"/>
  <c r="N1804" i="1"/>
  <c r="M1804" i="1"/>
  <c r="O1803" i="1" a="1"/>
  <c r="O1803" i="1" s="1"/>
  <c r="N1803" i="1"/>
  <c r="M1803" i="1"/>
  <c r="O1802" i="1" a="1"/>
  <c r="O1802" i="1" s="1"/>
  <c r="N1802" i="1"/>
  <c r="M1802" i="1"/>
  <c r="O1801" i="1"/>
  <c r="O1801" i="1" a="1"/>
  <c r="N1801" i="1"/>
  <c r="M1801" i="1"/>
  <c r="O1800" i="1" a="1"/>
  <c r="O1800" i="1" s="1"/>
  <c r="N1800" i="1"/>
  <c r="M1800" i="1"/>
  <c r="O1799" i="1" a="1"/>
  <c r="O1799" i="1" s="1"/>
  <c r="N1799" i="1"/>
  <c r="M1799" i="1"/>
  <c r="O1798" i="1" a="1"/>
  <c r="O1798" i="1" s="1"/>
  <c r="N1798" i="1"/>
  <c r="M1798" i="1"/>
  <c r="O1797" i="1"/>
  <c r="O1797" i="1" a="1"/>
  <c r="N1797" i="1"/>
  <c r="M1797" i="1"/>
  <c r="O1796" i="1" a="1"/>
  <c r="O1796" i="1" s="1"/>
  <c r="N1796" i="1"/>
  <c r="M1796" i="1"/>
  <c r="O1795" i="1"/>
  <c r="O1795" i="1" a="1"/>
  <c r="N1795" i="1"/>
  <c r="M1795" i="1"/>
  <c r="O1794" i="1" a="1"/>
  <c r="O1794" i="1" s="1"/>
  <c r="N1794" i="1"/>
  <c r="M1794" i="1"/>
  <c r="O1793" i="1" a="1"/>
  <c r="O1793" i="1" s="1"/>
  <c r="N1793" i="1"/>
  <c r="M1793" i="1"/>
  <c r="O1792" i="1" a="1"/>
  <c r="O1792" i="1" s="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a="1"/>
  <c r="O1783" i="1" s="1"/>
  <c r="N1783" i="1"/>
  <c r="M1783" i="1"/>
  <c r="O1782" i="1" a="1"/>
  <c r="O1782" i="1" s="1"/>
  <c r="N1782" i="1"/>
  <c r="M1782" i="1"/>
  <c r="O1781" i="1" a="1"/>
  <c r="O1781" i="1" s="1"/>
  <c r="N1781" i="1"/>
  <c r="M1781" i="1"/>
  <c r="O1780" i="1" a="1"/>
  <c r="O1780" i="1" s="1"/>
  <c r="N1780" i="1"/>
  <c r="M1780" i="1"/>
  <c r="O1779" i="1" a="1"/>
  <c r="O1779" i="1" s="1"/>
  <c r="N1779" i="1"/>
  <c r="M1779" i="1"/>
  <c r="O1778" i="1" a="1"/>
  <c r="O1778" i="1" s="1"/>
  <c r="N1778" i="1"/>
  <c r="M1778" i="1"/>
  <c r="O1777" i="1" a="1"/>
  <c r="O1777" i="1" s="1"/>
  <c r="N1777" i="1"/>
  <c r="M1777" i="1"/>
  <c r="O1776" i="1" a="1"/>
  <c r="O1776" i="1" s="1"/>
  <c r="N1776" i="1"/>
  <c r="M1776" i="1"/>
  <c r="O1775" i="1" a="1"/>
  <c r="O1775" i="1" s="1"/>
  <c r="N1775" i="1"/>
  <c r="M1775" i="1"/>
  <c r="O1774" i="1" a="1"/>
  <c r="O1774" i="1" s="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a="1"/>
  <c r="O1767" i="1" s="1"/>
  <c r="N1767" i="1"/>
  <c r="M1767" i="1"/>
  <c r="O1766" i="1" a="1"/>
  <c r="O1766" i="1" s="1"/>
  <c r="N1766" i="1"/>
  <c r="M1766" i="1"/>
  <c r="O1765" i="1"/>
  <c r="O1765" i="1" a="1"/>
  <c r="N1765" i="1"/>
  <c r="M1765" i="1"/>
  <c r="O1764" i="1" a="1"/>
  <c r="O1764" i="1" s="1"/>
  <c r="N1764" i="1"/>
  <c r="M1764" i="1"/>
  <c r="O1763" i="1" a="1"/>
  <c r="O1763" i="1" s="1"/>
  <c r="N1763" i="1"/>
  <c r="M1763" i="1"/>
  <c r="O1762" i="1" a="1"/>
  <c r="O1762" i="1" s="1"/>
  <c r="N1762" i="1"/>
  <c r="M1762" i="1"/>
  <c r="O1761" i="1" a="1"/>
  <c r="O1761" i="1" s="1"/>
  <c r="N1761" i="1"/>
  <c r="M1761" i="1"/>
  <c r="O1760" i="1" a="1"/>
  <c r="O1760" i="1" s="1"/>
  <c r="N1760" i="1"/>
  <c r="M1760" i="1"/>
  <c r="O1759" i="1" a="1"/>
  <c r="O1759" i="1" s="1"/>
  <c r="N1759" i="1"/>
  <c r="M1759" i="1"/>
  <c r="O1758" i="1" a="1"/>
  <c r="O1758" i="1" s="1"/>
  <c r="N1758" i="1"/>
  <c r="M1758" i="1"/>
  <c r="O1757" i="1" a="1"/>
  <c r="O1757" i="1" s="1"/>
  <c r="N1757" i="1"/>
  <c r="M1757" i="1"/>
  <c r="O1756" i="1" a="1"/>
  <c r="O1756" i="1" s="1"/>
  <c r="N1756" i="1"/>
  <c r="M1756" i="1"/>
  <c r="O1755" i="1" a="1"/>
  <c r="O1755" i="1" s="1"/>
  <c r="N1755" i="1"/>
  <c r="M1755" i="1"/>
  <c r="O1754" i="1" a="1"/>
  <c r="O1754" i="1" s="1"/>
  <c r="N1754" i="1"/>
  <c r="M1754" i="1"/>
  <c r="O1753" i="1" a="1"/>
  <c r="O1753" i="1" s="1"/>
  <c r="N1753" i="1"/>
  <c r="M1753" i="1"/>
  <c r="O1752" i="1" a="1"/>
  <c r="O1752" i="1" s="1"/>
  <c r="N1752" i="1"/>
  <c r="M1752" i="1"/>
  <c r="O1751" i="1"/>
  <c r="O1751" i="1" a="1"/>
  <c r="N1751" i="1"/>
  <c r="M1751" i="1"/>
  <c r="O1750" i="1" a="1"/>
  <c r="O1750" i="1" s="1"/>
  <c r="N1750" i="1"/>
  <c r="M1750" i="1"/>
  <c r="O1749" i="1" a="1"/>
  <c r="O1749" i="1" s="1"/>
  <c r="N1749" i="1"/>
  <c r="M1749" i="1"/>
  <c r="O1748" i="1" a="1"/>
  <c r="O1748" i="1" s="1"/>
  <c r="N1748" i="1"/>
  <c r="M1748" i="1"/>
  <c r="O1747" i="1" a="1"/>
  <c r="O1747" i="1" s="1"/>
  <c r="N1747" i="1"/>
  <c r="M1747" i="1"/>
  <c r="O1746" i="1" a="1"/>
  <c r="O1746" i="1" s="1"/>
  <c r="N1746" i="1"/>
  <c r="M1746" i="1"/>
  <c r="O1745" i="1" a="1"/>
  <c r="O1745" i="1" s="1"/>
  <c r="N1745" i="1"/>
  <c r="M1745" i="1"/>
  <c r="O1744" i="1" a="1"/>
  <c r="O1744" i="1" s="1"/>
  <c r="N1744" i="1"/>
  <c r="M1744" i="1"/>
  <c r="O1743" i="1" a="1"/>
  <c r="O1743" i="1" s="1"/>
  <c r="N1743" i="1"/>
  <c r="M1743" i="1"/>
  <c r="O1742" i="1" a="1"/>
  <c r="O1742" i="1" s="1"/>
  <c r="N1742" i="1"/>
  <c r="M1742" i="1"/>
  <c r="O1741" i="1" a="1"/>
  <c r="O1741" i="1" s="1"/>
  <c r="N1741" i="1"/>
  <c r="M1741" i="1"/>
  <c r="O1740" i="1" a="1"/>
  <c r="O1740" i="1" s="1"/>
  <c r="N1740" i="1"/>
  <c r="M1740" i="1"/>
  <c r="O1739" i="1" a="1"/>
  <c r="O1739" i="1" s="1"/>
  <c r="N1739" i="1"/>
  <c r="M1739" i="1"/>
  <c r="O1738" i="1" a="1"/>
  <c r="O1738" i="1" s="1"/>
  <c r="N1738" i="1"/>
  <c r="M1738" i="1"/>
  <c r="O1737" i="1" a="1"/>
  <c r="O1737" i="1" s="1"/>
  <c r="N1737" i="1"/>
  <c r="M1737" i="1"/>
  <c r="O1736" i="1" a="1"/>
  <c r="O1736" i="1" s="1"/>
  <c r="N1736" i="1"/>
  <c r="M1736" i="1"/>
  <c r="O1735" i="1" a="1"/>
  <c r="O1735" i="1" s="1"/>
  <c r="N1735" i="1"/>
  <c r="M1735" i="1"/>
  <c r="O1734" i="1" a="1"/>
  <c r="O1734" i="1" s="1"/>
  <c r="N1734" i="1"/>
  <c r="M1734" i="1"/>
  <c r="O1733" i="1" a="1"/>
  <c r="O1733" i="1" s="1"/>
  <c r="N1733" i="1"/>
  <c r="M1733" i="1"/>
  <c r="O1732" i="1" a="1"/>
  <c r="O1732" i="1" s="1"/>
  <c r="N1732" i="1"/>
  <c r="M1732" i="1"/>
  <c r="O1731" i="1" a="1"/>
  <c r="O1731" i="1" s="1"/>
  <c r="N1731" i="1"/>
  <c r="M1731" i="1"/>
  <c r="O1730" i="1" a="1"/>
  <c r="O1730" i="1" s="1"/>
  <c r="N1730" i="1"/>
  <c r="M1730" i="1"/>
  <c r="O1729" i="1" a="1"/>
  <c r="O1729" i="1" s="1"/>
  <c r="N1729" i="1"/>
  <c r="M1729" i="1"/>
  <c r="O1728" i="1" a="1"/>
  <c r="O1728" i="1" s="1"/>
  <c r="N1728" i="1"/>
  <c r="M1728" i="1"/>
  <c r="O1727" i="1" a="1"/>
  <c r="O1727" i="1" s="1"/>
  <c r="N1727" i="1"/>
  <c r="M1727" i="1"/>
  <c r="O1726" i="1" a="1"/>
  <c r="O1726" i="1" s="1"/>
  <c r="N1726" i="1"/>
  <c r="M1726" i="1"/>
  <c r="O1725" i="1" a="1"/>
  <c r="O1725" i="1" s="1"/>
  <c r="N1725" i="1"/>
  <c r="M1725" i="1"/>
  <c r="O1724" i="1" a="1"/>
  <c r="O1724" i="1" s="1"/>
  <c r="N1724" i="1"/>
  <c r="M1724" i="1"/>
  <c r="O1723" i="1" a="1"/>
  <c r="O1723" i="1" s="1"/>
  <c r="N1723" i="1"/>
  <c r="M1723" i="1"/>
  <c r="O1722" i="1" a="1"/>
  <c r="O1722" i="1" s="1"/>
  <c r="N1722" i="1"/>
  <c r="M1722" i="1"/>
  <c r="O1721" i="1" a="1"/>
  <c r="O1721" i="1" s="1"/>
  <c r="N1721" i="1"/>
  <c r="M1721" i="1"/>
  <c r="O1720" i="1" a="1"/>
  <c r="O1720" i="1" s="1"/>
  <c r="N1720" i="1"/>
  <c r="M1720" i="1"/>
  <c r="O1719" i="1" a="1"/>
  <c r="O1719" i="1" s="1"/>
  <c r="N1719" i="1"/>
  <c r="M1719" i="1"/>
  <c r="O1718" i="1" a="1"/>
  <c r="O1718" i="1" s="1"/>
  <c r="N1718" i="1"/>
  <c r="M1718" i="1"/>
  <c r="O1717" i="1"/>
  <c r="O1717" i="1" a="1"/>
  <c r="N1717" i="1"/>
  <c r="M1717" i="1"/>
  <c r="O1716" i="1" a="1"/>
  <c r="O1716" i="1" s="1"/>
  <c r="N1716" i="1"/>
  <c r="M1716" i="1"/>
  <c r="O1715" i="1" a="1"/>
  <c r="O1715" i="1" s="1"/>
  <c r="N1715" i="1"/>
  <c r="M1715" i="1"/>
  <c r="O1714" i="1" a="1"/>
  <c r="O1714" i="1" s="1"/>
  <c r="N1714" i="1"/>
  <c r="M1714" i="1"/>
  <c r="O1713" i="1" a="1"/>
  <c r="O1713" i="1" s="1"/>
  <c r="N1713" i="1"/>
  <c r="M1713" i="1"/>
  <c r="O1712" i="1" a="1"/>
  <c r="O1712" i="1" s="1"/>
  <c r="N1712" i="1"/>
  <c r="M1712" i="1"/>
  <c r="O1711" i="1" a="1"/>
  <c r="O1711" i="1" s="1"/>
  <c r="N1711" i="1"/>
  <c r="M1711" i="1"/>
  <c r="O1710" i="1" a="1"/>
  <c r="O1710" i="1" s="1"/>
  <c r="N1710" i="1"/>
  <c r="M1710" i="1"/>
  <c r="O1709" i="1" a="1"/>
  <c r="O1709" i="1" s="1"/>
  <c r="N1709" i="1"/>
  <c r="M1709" i="1"/>
  <c r="O1708" i="1" a="1"/>
  <c r="O1708" i="1" s="1"/>
  <c r="N1708" i="1"/>
  <c r="M1708" i="1"/>
  <c r="O1707" i="1" a="1"/>
  <c r="O1707" i="1" s="1"/>
  <c r="N1707" i="1"/>
  <c r="M1707" i="1"/>
  <c r="O1706" i="1" a="1"/>
  <c r="O1706" i="1" s="1"/>
  <c r="N1706" i="1"/>
  <c r="M1706" i="1"/>
  <c r="O1705" i="1" a="1"/>
  <c r="O1705" i="1" s="1"/>
  <c r="N1705" i="1"/>
  <c r="M1705" i="1"/>
  <c r="O1704" i="1" a="1"/>
  <c r="O1704" i="1" s="1"/>
  <c r="N1704" i="1"/>
  <c r="M1704" i="1"/>
  <c r="O1703" i="1" a="1"/>
  <c r="O1703" i="1" s="1"/>
  <c r="N1703" i="1"/>
  <c r="M1703" i="1"/>
  <c r="O1702" i="1" a="1"/>
  <c r="O1702" i="1" s="1"/>
  <c r="N1702" i="1"/>
  <c r="M1702" i="1"/>
  <c r="O1701" i="1" a="1"/>
  <c r="O1701" i="1" s="1"/>
  <c r="N1701" i="1"/>
  <c r="M1701" i="1"/>
  <c r="O1700" i="1" a="1"/>
  <c r="O1700" i="1" s="1"/>
  <c r="N1700" i="1"/>
  <c r="M1700" i="1"/>
  <c r="O1699" i="1" a="1"/>
  <c r="O1699" i="1" s="1"/>
  <c r="N1699" i="1"/>
  <c r="M1699" i="1"/>
  <c r="O1698" i="1" a="1"/>
  <c r="O1698" i="1" s="1"/>
  <c r="N1698" i="1"/>
  <c r="M1698" i="1"/>
  <c r="O1697" i="1" a="1"/>
  <c r="O1697" i="1" s="1"/>
  <c r="N1697" i="1"/>
  <c r="M1697" i="1"/>
  <c r="O1696" i="1" a="1"/>
  <c r="O1696" i="1" s="1"/>
  <c r="N1696" i="1"/>
  <c r="M1696" i="1"/>
  <c r="O1695" i="1" a="1"/>
  <c r="O1695" i="1" s="1"/>
  <c r="N1695" i="1"/>
  <c r="M1695" i="1"/>
  <c r="O1694" i="1" a="1"/>
  <c r="O1694" i="1" s="1"/>
  <c r="N1694" i="1"/>
  <c r="M1694" i="1"/>
  <c r="O1693" i="1" a="1"/>
  <c r="O1693" i="1" s="1"/>
  <c r="N1693" i="1"/>
  <c r="M1693" i="1"/>
  <c r="O1692" i="1" a="1"/>
  <c r="O1692" i="1" s="1"/>
  <c r="N1692" i="1"/>
  <c r="M1692" i="1"/>
  <c r="O1691" i="1" a="1"/>
  <c r="O1691" i="1" s="1"/>
  <c r="N1691" i="1"/>
  <c r="M1691" i="1"/>
  <c r="O1690" i="1" a="1"/>
  <c r="O1690" i="1" s="1"/>
  <c r="N1690" i="1"/>
  <c r="M1690" i="1"/>
  <c r="O1689" i="1" a="1"/>
  <c r="O1689" i="1" s="1"/>
  <c r="N1689" i="1"/>
  <c r="M1689" i="1"/>
  <c r="O1688" i="1" a="1"/>
  <c r="O1688" i="1" s="1"/>
  <c r="N1688" i="1"/>
  <c r="M1688" i="1"/>
  <c r="O1687" i="1" a="1"/>
  <c r="O1687" i="1" s="1"/>
  <c r="N1687" i="1"/>
  <c r="M1687" i="1"/>
  <c r="O1686" i="1" a="1"/>
  <c r="O1686" i="1" s="1"/>
  <c r="N1686" i="1"/>
  <c r="M1686" i="1"/>
  <c r="O1685" i="1" a="1"/>
  <c r="O1685" i="1" s="1"/>
  <c r="N1685" i="1"/>
  <c r="M1685" i="1"/>
  <c r="O1684" i="1" a="1"/>
  <c r="O1684" i="1" s="1"/>
  <c r="N1684" i="1"/>
  <c r="M1684" i="1"/>
  <c r="O1683" i="1" a="1"/>
  <c r="O1683" i="1" s="1"/>
  <c r="N1683" i="1"/>
  <c r="M1683" i="1"/>
  <c r="O1682" i="1" a="1"/>
  <c r="O1682" i="1" s="1"/>
  <c r="N1682" i="1"/>
  <c r="M1682" i="1"/>
  <c r="O1681" i="1" a="1"/>
  <c r="O1681" i="1" s="1"/>
  <c r="N1681" i="1"/>
  <c r="M1681" i="1"/>
  <c r="O1680" i="1" a="1"/>
  <c r="O1680" i="1" s="1"/>
  <c r="N1680" i="1"/>
  <c r="M1680" i="1"/>
  <c r="O1679" i="1" a="1"/>
  <c r="O1679" i="1" s="1"/>
  <c r="N1679" i="1"/>
  <c r="M1679" i="1"/>
  <c r="O1678" i="1" a="1"/>
  <c r="O1678" i="1" s="1"/>
  <c r="N1678" i="1"/>
  <c r="M1678" i="1"/>
  <c r="O1677" i="1" a="1"/>
  <c r="O1677" i="1" s="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a="1"/>
  <c r="O1670" i="1" s="1"/>
  <c r="N1670" i="1"/>
  <c r="M1670" i="1"/>
  <c r="O1669" i="1" a="1"/>
  <c r="O1669" i="1" s="1"/>
  <c r="N1669" i="1"/>
  <c r="M1669" i="1"/>
  <c r="O1668" i="1" a="1"/>
  <c r="O1668" i="1" s="1"/>
  <c r="N1668" i="1"/>
  <c r="M1668" i="1"/>
  <c r="O1667" i="1" a="1"/>
  <c r="O1667" i="1" s="1"/>
  <c r="N1667" i="1"/>
  <c r="M1667" i="1"/>
  <c r="O1666" i="1" a="1"/>
  <c r="O1666" i="1" s="1"/>
  <c r="N1666" i="1"/>
  <c r="M1666" i="1"/>
  <c r="O1665" i="1" a="1"/>
  <c r="O1665" i="1" s="1"/>
  <c r="N1665" i="1"/>
  <c r="M1665" i="1"/>
  <c r="O1664" i="1" a="1"/>
  <c r="O1664" i="1" s="1"/>
  <c r="N1664" i="1"/>
  <c r="M1664" i="1"/>
  <c r="O1663" i="1" a="1"/>
  <c r="O1663" i="1" s="1"/>
  <c r="N1663" i="1"/>
  <c r="M1663" i="1"/>
  <c r="O1662" i="1" a="1"/>
  <c r="O1662" i="1" s="1"/>
  <c r="N1662" i="1"/>
  <c r="M1662" i="1"/>
  <c r="O1661" i="1" a="1"/>
  <c r="O1661" i="1" s="1"/>
  <c r="N1661" i="1"/>
  <c r="M1661" i="1"/>
  <c r="O1660" i="1" a="1"/>
  <c r="O1660" i="1" s="1"/>
  <c r="N1660" i="1"/>
  <c r="M1660" i="1"/>
  <c r="O1659" i="1" a="1"/>
  <c r="O1659" i="1" s="1"/>
  <c r="N1659" i="1"/>
  <c r="M1659" i="1"/>
  <c r="O1658" i="1" a="1"/>
  <c r="O1658" i="1" s="1"/>
  <c r="N1658" i="1"/>
  <c r="M1658" i="1"/>
  <c r="O1657" i="1" a="1"/>
  <c r="O1657" i="1" s="1"/>
  <c r="N1657" i="1"/>
  <c r="M1657" i="1"/>
  <c r="O1656" i="1" a="1"/>
  <c r="O1656" i="1" s="1"/>
  <c r="N1656" i="1"/>
  <c r="M1656" i="1"/>
  <c r="O1655" i="1" a="1"/>
  <c r="O1655" i="1" s="1"/>
  <c r="N1655" i="1"/>
  <c r="M1655" i="1"/>
  <c r="O1654" i="1" a="1"/>
  <c r="O1654" i="1" s="1"/>
  <c r="N1654" i="1"/>
  <c r="M1654" i="1"/>
  <c r="O1653" i="1" a="1"/>
  <c r="O1653" i="1" s="1"/>
  <c r="N1653" i="1"/>
  <c r="M1653" i="1"/>
  <c r="O1652" i="1" a="1"/>
  <c r="O1652" i="1" s="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a="1"/>
  <c r="O1642" i="1" s="1"/>
  <c r="N1642" i="1"/>
  <c r="M1642" i="1"/>
  <c r="O1641" i="1" a="1"/>
  <c r="O1641" i="1" s="1"/>
  <c r="N1641" i="1"/>
  <c r="M1641" i="1"/>
  <c r="O1640" i="1" a="1"/>
  <c r="O1640" i="1" s="1"/>
  <c r="N1640" i="1"/>
  <c r="M1640" i="1"/>
  <c r="O1639" i="1" a="1"/>
  <c r="O1639" i="1" s="1"/>
  <c r="N1639" i="1"/>
  <c r="M1639" i="1"/>
  <c r="O1638" i="1"/>
  <c r="O1638" i="1" a="1"/>
  <c r="N1638" i="1"/>
  <c r="M1638" i="1"/>
  <c r="O1637" i="1" a="1"/>
  <c r="O1637" i="1" s="1"/>
  <c r="N1637" i="1"/>
  <c r="M1637" i="1"/>
  <c r="O1636" i="1" a="1"/>
  <c r="O1636" i="1" s="1"/>
  <c r="N1636" i="1"/>
  <c r="M1636" i="1"/>
  <c r="O1635" i="1" a="1"/>
  <c r="O1635" i="1" s="1"/>
  <c r="N1635" i="1"/>
  <c r="M1635" i="1"/>
  <c r="O1634" i="1" a="1"/>
  <c r="O1634" i="1" s="1"/>
  <c r="N1634" i="1"/>
  <c r="M1634" i="1"/>
  <c r="O1633" i="1" a="1"/>
  <c r="O1633" i="1" s="1"/>
  <c r="N1633" i="1"/>
  <c r="M1633" i="1"/>
  <c r="O1632" i="1" a="1"/>
  <c r="O1632" i="1" s="1"/>
  <c r="N1632" i="1"/>
  <c r="M1632" i="1"/>
  <c r="O1631" i="1"/>
  <c r="O1631" i="1" a="1"/>
  <c r="N1631" i="1"/>
  <c r="M1631" i="1"/>
  <c r="O1630" i="1" a="1"/>
  <c r="O1630" i="1" s="1"/>
  <c r="N1630" i="1"/>
  <c r="M1630" i="1"/>
  <c r="O1629" i="1" a="1"/>
  <c r="O1629" i="1" s="1"/>
  <c r="N1629" i="1"/>
  <c r="M1629" i="1"/>
  <c r="O1628" i="1" a="1"/>
  <c r="O1628" i="1" s="1"/>
  <c r="N1628" i="1"/>
  <c r="M1628" i="1"/>
  <c r="O1627" i="1" a="1"/>
  <c r="O1627" i="1" s="1"/>
  <c r="N1627" i="1"/>
  <c r="M1627" i="1"/>
  <c r="O1626" i="1" a="1"/>
  <c r="O1626" i="1" s="1"/>
  <c r="N1626" i="1"/>
  <c r="M1626" i="1"/>
  <c r="O1625" i="1" a="1"/>
  <c r="O1625" i="1" s="1"/>
  <c r="N1625" i="1"/>
  <c r="M1625" i="1"/>
  <c r="O1624" i="1" a="1"/>
  <c r="O1624" i="1" s="1"/>
  <c r="N1624" i="1"/>
  <c r="M1624" i="1"/>
  <c r="O1623" i="1" a="1"/>
  <c r="O1623" i="1" s="1"/>
  <c r="N1623" i="1"/>
  <c r="M1623" i="1"/>
  <c r="O1622" i="1" a="1"/>
  <c r="O1622" i="1" s="1"/>
  <c r="N1622" i="1"/>
  <c r="M1622" i="1"/>
  <c r="O1621" i="1" a="1"/>
  <c r="O1621" i="1" s="1"/>
  <c r="N1621" i="1"/>
  <c r="M1621" i="1"/>
  <c r="O1620" i="1" a="1"/>
  <c r="O1620" i="1" s="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a="1"/>
  <c r="O1613" i="1" s="1"/>
  <c r="N1613" i="1"/>
  <c r="M1613" i="1"/>
  <c r="O1612" i="1" a="1"/>
  <c r="O1612" i="1" s="1"/>
  <c r="N1612" i="1"/>
  <c r="M1612" i="1"/>
  <c r="O1611" i="1" a="1"/>
  <c r="O1611" i="1" s="1"/>
  <c r="N1611" i="1"/>
  <c r="M1611" i="1"/>
  <c r="O1610" i="1" a="1"/>
  <c r="O1610" i="1" s="1"/>
  <c r="N1610" i="1"/>
  <c r="M1610" i="1"/>
  <c r="O1609" i="1" a="1"/>
  <c r="O1609" i="1" s="1"/>
  <c r="N1609" i="1"/>
  <c r="M1609" i="1"/>
  <c r="O1608" i="1"/>
  <c r="O1608" i="1" a="1"/>
  <c r="N1608" i="1"/>
  <c r="M1608" i="1"/>
  <c r="O1607" i="1" a="1"/>
  <c r="O1607" i="1" s="1"/>
  <c r="N1607" i="1"/>
  <c r="M1607" i="1"/>
  <c r="O1606" i="1" a="1"/>
  <c r="O1606" i="1" s="1"/>
  <c r="N1606" i="1"/>
  <c r="M1606" i="1"/>
  <c r="O1605" i="1" a="1"/>
  <c r="O1605" i="1" s="1"/>
  <c r="N1605" i="1"/>
  <c r="M1605" i="1"/>
  <c r="O1604" i="1"/>
  <c r="O1604" i="1" a="1"/>
  <c r="N1604" i="1"/>
  <c r="M1604" i="1"/>
  <c r="O1603" i="1" a="1"/>
  <c r="O1603" i="1" s="1"/>
  <c r="N1603" i="1"/>
  <c r="M1603" i="1"/>
  <c r="O1602" i="1" a="1"/>
  <c r="O1602" i="1" s="1"/>
  <c r="N1602" i="1"/>
  <c r="M1602" i="1"/>
  <c r="O1601" i="1"/>
  <c r="O1601" i="1" a="1"/>
  <c r="N1601" i="1"/>
  <c r="M1601" i="1"/>
  <c r="O1600" i="1" a="1"/>
  <c r="O1600" i="1" s="1"/>
  <c r="N1600" i="1"/>
  <c r="M1600" i="1"/>
  <c r="O1599" i="1" a="1"/>
  <c r="O1599" i="1" s="1"/>
  <c r="N1599" i="1"/>
  <c r="M1599" i="1"/>
  <c r="O1598" i="1" a="1"/>
  <c r="O1598" i="1" s="1"/>
  <c r="N1598" i="1"/>
  <c r="M1598" i="1"/>
  <c r="O1597" i="1" a="1"/>
  <c r="O1597" i="1" s="1"/>
  <c r="N1597" i="1"/>
  <c r="M1597" i="1"/>
  <c r="O1596" i="1" a="1"/>
  <c r="O1596" i="1" s="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a="1"/>
  <c r="O1589" i="1" s="1"/>
  <c r="N1589" i="1"/>
  <c r="M1589" i="1"/>
  <c r="O1588" i="1" a="1"/>
  <c r="O1588" i="1" s="1"/>
  <c r="N1588" i="1"/>
  <c r="M1588" i="1"/>
  <c r="O1587" i="1" a="1"/>
  <c r="O1587" i="1" s="1"/>
  <c r="N1587" i="1"/>
  <c r="M1587" i="1"/>
  <c r="O1586" i="1" a="1"/>
  <c r="O1586" i="1" s="1"/>
  <c r="N1586" i="1"/>
  <c r="M1586" i="1"/>
  <c r="O1585" i="1" a="1"/>
  <c r="O1585" i="1" s="1"/>
  <c r="N1585" i="1"/>
  <c r="M1585" i="1"/>
  <c r="O1584" i="1" a="1"/>
  <c r="O1584" i="1" s="1"/>
  <c r="N1584" i="1"/>
  <c r="M1584" i="1"/>
  <c r="O1583" i="1" a="1"/>
  <c r="O1583" i="1" s="1"/>
  <c r="N1583" i="1"/>
  <c r="M1583" i="1"/>
  <c r="O1582" i="1" a="1"/>
  <c r="O1582" i="1" s="1"/>
  <c r="N1582" i="1"/>
  <c r="M1582" i="1"/>
  <c r="O1581" i="1" a="1"/>
  <c r="O1581" i="1" s="1"/>
  <c r="N1581" i="1"/>
  <c r="M1581" i="1"/>
  <c r="O1580" i="1" a="1"/>
  <c r="O1580" i="1" s="1"/>
  <c r="N1580" i="1"/>
  <c r="M1580" i="1"/>
  <c r="O1579" i="1" a="1"/>
  <c r="O1579" i="1" s="1"/>
  <c r="N1579" i="1"/>
  <c r="M1579" i="1"/>
  <c r="O1578" i="1" a="1"/>
  <c r="O1578" i="1" s="1"/>
  <c r="N1578" i="1"/>
  <c r="M1578" i="1"/>
  <c r="O1577" i="1" a="1"/>
  <c r="O1577" i="1" s="1"/>
  <c r="N1577" i="1"/>
  <c r="M1577" i="1"/>
  <c r="O1576" i="1" a="1"/>
  <c r="O1576" i="1" s="1"/>
  <c r="N1576" i="1"/>
  <c r="M1576" i="1"/>
  <c r="O1575" i="1" a="1"/>
  <c r="O1575" i="1" s="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a="1"/>
  <c r="O1559" i="1" s="1"/>
  <c r="N1559" i="1"/>
  <c r="M1559" i="1"/>
  <c r="O1558" i="1" a="1"/>
  <c r="O1558" i="1" s="1"/>
  <c r="N1558" i="1"/>
  <c r="M1558" i="1"/>
  <c r="O1557" i="1" a="1"/>
  <c r="O1557" i="1" s="1"/>
  <c r="N1557" i="1"/>
  <c r="M1557" i="1"/>
  <c r="O1556" i="1" a="1"/>
  <c r="O1556" i="1" s="1"/>
  <c r="N1556" i="1"/>
  <c r="M1556" i="1"/>
  <c r="O1555" i="1" a="1"/>
  <c r="O1555" i="1" s="1"/>
  <c r="N1555" i="1"/>
  <c r="M1555" i="1"/>
  <c r="O1554" i="1" a="1"/>
  <c r="O1554" i="1" s="1"/>
  <c r="N1554" i="1"/>
  <c r="M1554" i="1"/>
  <c r="O1553" i="1" a="1"/>
  <c r="O1553" i="1" s="1"/>
  <c r="N1553" i="1"/>
  <c r="M1553" i="1"/>
  <c r="O1552" i="1" a="1"/>
  <c r="O1552" i="1" s="1"/>
  <c r="N1552" i="1"/>
  <c r="M1552" i="1"/>
  <c r="O1551" i="1" a="1"/>
  <c r="O1551" i="1" s="1"/>
  <c r="N1551" i="1"/>
  <c r="M1551" i="1"/>
  <c r="O1550" i="1" a="1"/>
  <c r="O1550" i="1" s="1"/>
  <c r="N1550" i="1"/>
  <c r="M1550" i="1"/>
  <c r="O1549" i="1" a="1"/>
  <c r="O1549" i="1" s="1"/>
  <c r="N1549" i="1"/>
  <c r="M1549" i="1"/>
  <c r="O1548" i="1" a="1"/>
  <c r="O1548" i="1" s="1"/>
  <c r="N1548" i="1"/>
  <c r="M1548" i="1"/>
  <c r="O1547" i="1" a="1"/>
  <c r="O1547" i="1" s="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a="1"/>
  <c r="O1540" i="1" s="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a="1"/>
  <c r="O1533" i="1" s="1"/>
  <c r="N1533" i="1"/>
  <c r="M1533" i="1"/>
  <c r="O1532" i="1" a="1"/>
  <c r="O1532" i="1" s="1"/>
  <c r="N1532" i="1"/>
  <c r="M1532" i="1"/>
  <c r="O1531" i="1" a="1"/>
  <c r="O1531" i="1" s="1"/>
  <c r="N1531" i="1"/>
  <c r="M1531" i="1"/>
  <c r="O1530" i="1" a="1"/>
  <c r="O1530" i="1" s="1"/>
  <c r="N1530" i="1"/>
  <c r="M1530" i="1"/>
  <c r="O1529" i="1" a="1"/>
  <c r="O1529" i="1" s="1"/>
  <c r="N1529" i="1"/>
  <c r="M1529" i="1"/>
  <c r="O1528" i="1" a="1"/>
  <c r="O1528" i="1" s="1"/>
  <c r="N1528" i="1"/>
  <c r="M1528" i="1"/>
  <c r="O1527" i="1" a="1"/>
  <c r="O1527" i="1" s="1"/>
  <c r="N1527" i="1"/>
  <c r="M1527" i="1"/>
  <c r="O1526" i="1"/>
  <c r="O1526" i="1" a="1"/>
  <c r="N1526" i="1"/>
  <c r="M1526" i="1"/>
  <c r="O1525" i="1" a="1"/>
  <c r="O1525" i="1" s="1"/>
  <c r="N1525" i="1"/>
  <c r="M1525" i="1"/>
  <c r="O1524" i="1" a="1"/>
  <c r="O1524" i="1" s="1"/>
  <c r="N1524" i="1"/>
  <c r="M1524" i="1"/>
  <c r="O1523" i="1" a="1"/>
  <c r="O1523" i="1" s="1"/>
  <c r="N1523" i="1"/>
  <c r="M1523" i="1"/>
  <c r="O1522" i="1" a="1"/>
  <c r="O1522" i="1" s="1"/>
  <c r="N1522" i="1"/>
  <c r="M1522" i="1"/>
  <c r="O1521" i="1" a="1"/>
  <c r="O1521" i="1" s="1"/>
  <c r="N1521" i="1"/>
  <c r="M1521" i="1"/>
  <c r="O1520" i="1" a="1"/>
  <c r="O1520" i="1" s="1"/>
  <c r="N1520" i="1"/>
  <c r="M1520" i="1"/>
  <c r="O1519" i="1" a="1"/>
  <c r="O1519" i="1" s="1"/>
  <c r="N1519" i="1"/>
  <c r="M1519" i="1"/>
  <c r="O1518" i="1" a="1"/>
  <c r="O1518" i="1" s="1"/>
  <c r="N1518" i="1"/>
  <c r="M1518" i="1"/>
  <c r="O1517" i="1" a="1"/>
  <c r="O1517" i="1" s="1"/>
  <c r="N1517" i="1"/>
  <c r="M1517" i="1"/>
  <c r="O1516" i="1" a="1"/>
  <c r="O1516" i="1" s="1"/>
  <c r="N1516" i="1"/>
  <c r="M1516" i="1"/>
  <c r="O1515" i="1" a="1"/>
  <c r="O1515" i="1" s="1"/>
  <c r="N1515" i="1"/>
  <c r="M1515" i="1"/>
  <c r="O1514" i="1" a="1"/>
  <c r="O1514" i="1" s="1"/>
  <c r="N1514" i="1"/>
  <c r="M1514" i="1"/>
  <c r="O1513" i="1" a="1"/>
  <c r="O1513" i="1" s="1"/>
  <c r="N1513" i="1"/>
  <c r="M1513" i="1"/>
  <c r="O1512" i="1" a="1"/>
  <c r="O1512" i="1" s="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a="1"/>
  <c r="O1505" i="1" s="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a="1"/>
  <c r="O1498" i="1" s="1"/>
  <c r="N1498" i="1"/>
  <c r="M1498" i="1"/>
  <c r="O1497" i="1" a="1"/>
  <c r="O1497" i="1" s="1"/>
  <c r="N1497" i="1"/>
  <c r="M1497" i="1"/>
  <c r="O1496" i="1" a="1"/>
  <c r="O1496" i="1" s="1"/>
  <c r="N1496" i="1"/>
  <c r="M1496" i="1"/>
  <c r="O1495" i="1" a="1"/>
  <c r="O1495" i="1" s="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a="1"/>
  <c r="O1484" i="1" s="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a="1"/>
  <c r="O1477" i="1" s="1"/>
  <c r="N1477" i="1"/>
  <c r="M1477" i="1"/>
  <c r="O1476" i="1" a="1"/>
  <c r="O1476" i="1" s="1"/>
  <c r="N1476" i="1"/>
  <c r="M1476" i="1"/>
  <c r="O1475" i="1" a="1"/>
  <c r="O1475" i="1" s="1"/>
  <c r="N1475" i="1"/>
  <c r="M1475" i="1"/>
  <c r="O1474" i="1" a="1"/>
  <c r="O1474" i="1" s="1"/>
  <c r="N1474" i="1"/>
  <c r="M1474" i="1"/>
  <c r="O1473" i="1" a="1"/>
  <c r="O1473" i="1" s="1"/>
  <c r="N1473" i="1"/>
  <c r="M1473" i="1"/>
  <c r="O1472" i="1" a="1"/>
  <c r="O1472" i="1" s="1"/>
  <c r="N1472" i="1"/>
  <c r="M1472" i="1"/>
  <c r="O1471" i="1" a="1"/>
  <c r="O1471" i="1" s="1"/>
  <c r="N1471" i="1"/>
  <c r="M1471" i="1"/>
  <c r="O1470" i="1" a="1"/>
  <c r="O1470" i="1" s="1"/>
  <c r="N1470" i="1"/>
  <c r="M1470" i="1"/>
  <c r="O1469" i="1" a="1"/>
  <c r="O1469" i="1" s="1"/>
  <c r="N1469" i="1"/>
  <c r="M1469" i="1"/>
  <c r="O1468" i="1" a="1"/>
  <c r="O1468" i="1" s="1"/>
  <c r="N1468" i="1"/>
  <c r="M1468" i="1"/>
  <c r="O1467" i="1" a="1"/>
  <c r="O1467" i="1" s="1"/>
  <c r="N1467" i="1"/>
  <c r="M1467" i="1"/>
  <c r="O1466" i="1" a="1"/>
  <c r="O1466" i="1" s="1"/>
  <c r="N1466" i="1"/>
  <c r="M1466" i="1"/>
  <c r="O1465" i="1" a="1"/>
  <c r="O1465" i="1" s="1"/>
  <c r="N1465" i="1"/>
  <c r="M1465" i="1"/>
  <c r="O1464" i="1" a="1"/>
  <c r="O1464" i="1" s="1"/>
  <c r="N1464" i="1"/>
  <c r="M1464" i="1"/>
  <c r="O1463" i="1" a="1"/>
  <c r="O1463" i="1" s="1"/>
  <c r="N1463" i="1"/>
  <c r="M1463" i="1"/>
  <c r="O1462" i="1" a="1"/>
  <c r="O1462" i="1" s="1"/>
  <c r="N1462" i="1"/>
  <c r="M1462" i="1"/>
  <c r="O1461" i="1" a="1"/>
  <c r="O1461" i="1" s="1"/>
  <c r="N1461" i="1"/>
  <c r="M1461" i="1"/>
  <c r="O1460" i="1"/>
  <c r="O1460" i="1" a="1"/>
  <c r="N1460" i="1"/>
  <c r="M1460" i="1"/>
  <c r="O1459" i="1" a="1"/>
  <c r="O1459" i="1" s="1"/>
  <c r="N1459" i="1"/>
  <c r="M1459" i="1"/>
  <c r="O1458" i="1" a="1"/>
  <c r="O1458" i="1" s="1"/>
  <c r="N1458" i="1"/>
  <c r="M1458" i="1"/>
  <c r="O1457" i="1" a="1"/>
  <c r="O1457" i="1" s="1"/>
  <c r="N1457" i="1"/>
  <c r="M1457" i="1"/>
  <c r="O1456" i="1" a="1"/>
  <c r="O1456" i="1" s="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a="1"/>
  <c r="O1449" i="1" s="1"/>
  <c r="N1449" i="1"/>
  <c r="M1449" i="1"/>
  <c r="O1448" i="1" a="1"/>
  <c r="O1448" i="1" s="1"/>
  <c r="N1448" i="1"/>
  <c r="M1448" i="1"/>
  <c r="O1447" i="1" a="1"/>
  <c r="O1447" i="1" s="1"/>
  <c r="N1447" i="1"/>
  <c r="M1447" i="1"/>
  <c r="O1446" i="1" a="1"/>
  <c r="O1446" i="1" s="1"/>
  <c r="N1446" i="1"/>
  <c r="M1446" i="1"/>
  <c r="O1445" i="1" a="1"/>
  <c r="O1445" i="1" s="1"/>
  <c r="N1445" i="1"/>
  <c r="M1445" i="1"/>
  <c r="O1444" i="1" a="1"/>
  <c r="O1444" i="1" s="1"/>
  <c r="N1444" i="1"/>
  <c r="M1444" i="1"/>
  <c r="O1443" i="1" a="1"/>
  <c r="O1443" i="1" s="1"/>
  <c r="N1443" i="1"/>
  <c r="M1443" i="1"/>
  <c r="O1442" i="1" a="1"/>
  <c r="O1442" i="1" s="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a="1"/>
  <c r="O1435" i="1" s="1"/>
  <c r="N1435" i="1"/>
  <c r="M1435" i="1"/>
  <c r="O1434" i="1" a="1"/>
  <c r="O1434" i="1" s="1"/>
  <c r="N1434" i="1"/>
  <c r="M1434" i="1"/>
  <c r="O1433" i="1" a="1"/>
  <c r="O1433" i="1" s="1"/>
  <c r="N1433" i="1"/>
  <c r="M1433" i="1"/>
  <c r="O1432" i="1" a="1"/>
  <c r="O1432" i="1" s="1"/>
  <c r="N1432" i="1"/>
  <c r="M1432" i="1"/>
  <c r="O1431" i="1" a="1"/>
  <c r="O1431" i="1" s="1"/>
  <c r="N1431" i="1"/>
  <c r="M1431" i="1"/>
  <c r="O1430" i="1" a="1"/>
  <c r="O1430" i="1" s="1"/>
  <c r="N1430" i="1"/>
  <c r="M1430" i="1"/>
  <c r="O1429" i="1" a="1"/>
  <c r="O1429" i="1" s="1"/>
  <c r="N1429" i="1"/>
  <c r="M1429" i="1"/>
  <c r="O1428" i="1" a="1"/>
  <c r="O1428" i="1" s="1"/>
  <c r="N1428" i="1"/>
  <c r="M1428" i="1"/>
  <c r="O1427" i="1" a="1"/>
  <c r="O1427" i="1" s="1"/>
  <c r="N1427" i="1"/>
  <c r="M1427" i="1"/>
  <c r="O1426" i="1" a="1"/>
  <c r="O1426" i="1" s="1"/>
  <c r="N1426" i="1"/>
  <c r="M1426" i="1"/>
  <c r="O1425" i="1" a="1"/>
  <c r="O1425" i="1" s="1"/>
  <c r="N1425" i="1"/>
  <c r="M1425" i="1"/>
  <c r="O1424" i="1" a="1"/>
  <c r="O1424" i="1" s="1"/>
  <c r="N1424" i="1"/>
  <c r="M1424" i="1"/>
  <c r="O1423" i="1" a="1"/>
  <c r="O1423" i="1" s="1"/>
  <c r="N1423" i="1"/>
  <c r="M1423" i="1"/>
  <c r="O1422" i="1" a="1"/>
  <c r="O1422" i="1" s="1"/>
  <c r="N1422" i="1"/>
  <c r="M1422" i="1"/>
  <c r="O1421" i="1" a="1"/>
  <c r="O1421" i="1" s="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a="1"/>
  <c r="O1414" i="1" s="1"/>
  <c r="N1414" i="1"/>
  <c r="M1414" i="1"/>
  <c r="O1413" i="1" a="1"/>
  <c r="O1413" i="1" s="1"/>
  <c r="N1413" i="1"/>
  <c r="M1413" i="1"/>
  <c r="O1412" i="1" a="1"/>
  <c r="O1412" i="1" s="1"/>
  <c r="N1412" i="1"/>
  <c r="M1412" i="1"/>
  <c r="O1411" i="1" a="1"/>
  <c r="O1411" i="1" s="1"/>
  <c r="N1411" i="1"/>
  <c r="M1411" i="1"/>
  <c r="O1410" i="1" a="1"/>
  <c r="O1410" i="1" s="1"/>
  <c r="N1410" i="1"/>
  <c r="M1410" i="1"/>
  <c r="O1409" i="1" a="1"/>
  <c r="O1409" i="1" s="1"/>
  <c r="N1409" i="1"/>
  <c r="M1409" i="1"/>
  <c r="O1408" i="1" a="1"/>
  <c r="O1408" i="1" s="1"/>
  <c r="N1408" i="1"/>
  <c r="M1408" i="1"/>
  <c r="O1407" i="1" a="1"/>
  <c r="O1407" i="1" s="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a="1"/>
  <c r="O1401" i="1" s="1"/>
  <c r="N1401" i="1"/>
  <c r="M1401" i="1"/>
  <c r="O1400" i="1" a="1"/>
  <c r="O1400" i="1" s="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a="1"/>
  <c r="O1394" i="1" s="1"/>
  <c r="N1394" i="1"/>
  <c r="M1394" i="1"/>
  <c r="O1393" i="1" a="1"/>
  <c r="O1393" i="1" s="1"/>
  <c r="N1393" i="1"/>
  <c r="M1393" i="1"/>
  <c r="O1392" i="1" a="1"/>
  <c r="O1392" i="1" s="1"/>
  <c r="N1392" i="1"/>
  <c r="M1392" i="1"/>
  <c r="O1391" i="1" a="1"/>
  <c r="O1391" i="1" s="1"/>
  <c r="N1391" i="1"/>
  <c r="M1391" i="1"/>
  <c r="O1390" i="1" a="1"/>
  <c r="O1390" i="1" s="1"/>
  <c r="N1390" i="1"/>
  <c r="M1390" i="1"/>
  <c r="O1389" i="1" a="1"/>
  <c r="O1389" i="1" s="1"/>
  <c r="N1389" i="1"/>
  <c r="M1389" i="1"/>
  <c r="O1388" i="1" a="1"/>
  <c r="O1388" i="1" s="1"/>
  <c r="N1388" i="1"/>
  <c r="M1388" i="1"/>
  <c r="O1387" i="1" a="1"/>
  <c r="O1387" i="1" s="1"/>
  <c r="N1387" i="1"/>
  <c r="M1387" i="1"/>
  <c r="O1386" i="1" a="1"/>
  <c r="O1386" i="1" s="1"/>
  <c r="N1386" i="1"/>
  <c r="M1386" i="1"/>
  <c r="O1385" i="1" a="1"/>
  <c r="O1385" i="1" s="1"/>
  <c r="N1385" i="1"/>
  <c r="M1385" i="1"/>
  <c r="O1384" i="1" a="1"/>
  <c r="O1384" i="1" s="1"/>
  <c r="N1384" i="1"/>
  <c r="M1384" i="1"/>
  <c r="O1383" i="1" a="1"/>
  <c r="O1383" i="1" s="1"/>
  <c r="N1383" i="1"/>
  <c r="M1383" i="1"/>
  <c r="O1382" i="1" a="1"/>
  <c r="O1382" i="1" s="1"/>
  <c r="N1382" i="1"/>
  <c r="M1382" i="1"/>
  <c r="O1381" i="1" a="1"/>
  <c r="O1381" i="1" s="1"/>
  <c r="N1381" i="1"/>
  <c r="M1381" i="1"/>
  <c r="O1380" i="1" a="1"/>
  <c r="O1380" i="1" s="1"/>
  <c r="N1380" i="1"/>
  <c r="M1380" i="1"/>
  <c r="O1379" i="1" a="1"/>
  <c r="O1379" i="1" s="1"/>
  <c r="N1379" i="1"/>
  <c r="M1379" i="1"/>
  <c r="O1378" i="1" a="1"/>
  <c r="O1378" i="1" s="1"/>
  <c r="N1378" i="1"/>
  <c r="M1378" i="1"/>
  <c r="O1377" i="1" a="1"/>
  <c r="O1377" i="1" s="1"/>
  <c r="N1377" i="1"/>
  <c r="M1377" i="1"/>
  <c r="O1376" i="1" a="1"/>
  <c r="O1376" i="1" s="1"/>
  <c r="N1376" i="1"/>
  <c r="M1376" i="1"/>
  <c r="O1375" i="1" a="1"/>
  <c r="O1375" i="1" s="1"/>
  <c r="N1375" i="1"/>
  <c r="M1375" i="1"/>
  <c r="O1374" i="1" a="1"/>
  <c r="O1374" i="1" s="1"/>
  <c r="N1374" i="1"/>
  <c r="M1374" i="1"/>
  <c r="O1373" i="1" a="1"/>
  <c r="O1373" i="1" s="1"/>
  <c r="N1373" i="1"/>
  <c r="M1373" i="1"/>
  <c r="O1372" i="1" a="1"/>
  <c r="O1372" i="1" s="1"/>
  <c r="N1372" i="1"/>
  <c r="M1372" i="1"/>
  <c r="O1371" i="1" a="1"/>
  <c r="O1371" i="1" s="1"/>
  <c r="N1371" i="1"/>
  <c r="M1371" i="1"/>
  <c r="O1370" i="1" a="1"/>
  <c r="O1370" i="1" s="1"/>
  <c r="N1370" i="1"/>
  <c r="M1370" i="1"/>
  <c r="O1369" i="1" a="1"/>
  <c r="O1369" i="1" s="1"/>
  <c r="N1369" i="1"/>
  <c r="M1369" i="1"/>
  <c r="O1368" i="1" a="1"/>
  <c r="O1368" i="1" s="1"/>
  <c r="N1368" i="1"/>
  <c r="M1368" i="1"/>
  <c r="O1367" i="1" a="1"/>
  <c r="O1367" i="1" s="1"/>
  <c r="N1367" i="1"/>
  <c r="M1367" i="1"/>
  <c r="O1366" i="1" a="1"/>
  <c r="O1366" i="1" s="1"/>
  <c r="N1366" i="1"/>
  <c r="M1366" i="1"/>
  <c r="O1365" i="1" a="1"/>
  <c r="O1365" i="1" s="1"/>
  <c r="N1365" i="1"/>
  <c r="M1365" i="1"/>
  <c r="O1364" i="1" a="1"/>
  <c r="O1364" i="1" s="1"/>
  <c r="N1364" i="1"/>
  <c r="M1364" i="1"/>
  <c r="O1363" i="1" a="1"/>
  <c r="O1363" i="1" s="1"/>
  <c r="N1363" i="1"/>
  <c r="M1363" i="1"/>
  <c r="O1362" i="1" a="1"/>
  <c r="O1362" i="1" s="1"/>
  <c r="N1362" i="1"/>
  <c r="M1362" i="1"/>
  <c r="O1361" i="1" a="1"/>
  <c r="O1361" i="1" s="1"/>
  <c r="N1361" i="1"/>
  <c r="M1361" i="1"/>
  <c r="O1360" i="1" a="1"/>
  <c r="O1360" i="1" s="1"/>
  <c r="N1360" i="1"/>
  <c r="M1360" i="1"/>
  <c r="O1359" i="1" a="1"/>
  <c r="O1359" i="1" s="1"/>
  <c r="N1359" i="1"/>
  <c r="M1359" i="1"/>
  <c r="O1358" i="1" a="1"/>
  <c r="O1358" i="1" s="1"/>
  <c r="N1358" i="1"/>
  <c r="M1358" i="1"/>
  <c r="O1357" i="1" a="1"/>
  <c r="O1357" i="1" s="1"/>
  <c r="N1357" i="1"/>
  <c r="M1357" i="1"/>
  <c r="O1356" i="1" a="1"/>
  <c r="O1356" i="1" s="1"/>
  <c r="N1356" i="1"/>
  <c r="M1356" i="1"/>
  <c r="O1355" i="1" a="1"/>
  <c r="O1355" i="1" s="1"/>
  <c r="N1355" i="1"/>
  <c r="M1355" i="1"/>
  <c r="O1354" i="1" a="1"/>
  <c r="O1354" i="1" s="1"/>
  <c r="N1354" i="1"/>
  <c r="M1354" i="1"/>
  <c r="O1353" i="1" a="1"/>
  <c r="O1353" i="1" s="1"/>
  <c r="N1353" i="1"/>
  <c r="M1353" i="1"/>
  <c r="O1352" i="1" a="1"/>
  <c r="O1352" i="1" s="1"/>
  <c r="N1352" i="1"/>
  <c r="M1352" i="1"/>
  <c r="O1351" i="1" a="1"/>
  <c r="O1351" i="1" s="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a="1"/>
  <c r="O1344" i="1" s="1"/>
  <c r="N1344" i="1"/>
  <c r="M1344" i="1"/>
  <c r="O1343" i="1" a="1"/>
  <c r="O1343" i="1" s="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a="1"/>
  <c r="O1337" i="1" s="1"/>
  <c r="N1337" i="1"/>
  <c r="M1337" i="1"/>
  <c r="O1336" i="1" a="1"/>
  <c r="O1336" i="1" s="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a="1"/>
  <c r="O1330" i="1" s="1"/>
  <c r="N1330" i="1"/>
  <c r="M1330" i="1"/>
  <c r="O1329" i="1" a="1"/>
  <c r="O1329" i="1" s="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a="1"/>
  <c r="O1322" i="1" s="1"/>
  <c r="N1322" i="1"/>
  <c r="M1322" i="1"/>
  <c r="O1321" i="1" a="1"/>
  <c r="O1321" i="1" s="1"/>
  <c r="N1321" i="1"/>
  <c r="M1321" i="1"/>
  <c r="O1320" i="1" a="1"/>
  <c r="O1320" i="1" s="1"/>
  <c r="N1320" i="1"/>
  <c r="M1320" i="1"/>
  <c r="O1319" i="1" a="1"/>
  <c r="O1319" i="1" s="1"/>
  <c r="N1319" i="1"/>
  <c r="M1319" i="1"/>
  <c r="O1318" i="1" a="1"/>
  <c r="O1318" i="1" s="1"/>
  <c r="N1318" i="1"/>
  <c r="M1318" i="1"/>
  <c r="O1317" i="1" a="1"/>
  <c r="O1317" i="1" s="1"/>
  <c r="N1317" i="1"/>
  <c r="M1317" i="1"/>
  <c r="O1316" i="1" a="1"/>
  <c r="O1316" i="1" s="1"/>
  <c r="N1316" i="1"/>
  <c r="M1316" i="1"/>
  <c r="O1315" i="1" a="1"/>
  <c r="O1315" i="1" s="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a="1"/>
  <c r="O1302" i="1" s="1"/>
  <c r="N1302" i="1"/>
  <c r="M1302" i="1"/>
  <c r="O1301" i="1" a="1"/>
  <c r="O1301" i="1" s="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a="1"/>
  <c r="O1294" i="1" s="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a="1"/>
  <c r="O1288" i="1" s="1"/>
  <c r="N1288" i="1"/>
  <c r="M1288" i="1"/>
  <c r="O1287" i="1" a="1"/>
  <c r="O1287" i="1" s="1"/>
  <c r="N1287" i="1"/>
  <c r="M1287" i="1"/>
  <c r="O1286" i="1" a="1"/>
  <c r="O1286" i="1" s="1"/>
  <c r="N1286" i="1"/>
  <c r="M1286" i="1"/>
  <c r="O1285" i="1" a="1"/>
  <c r="O1285" i="1" s="1"/>
  <c r="N1285" i="1"/>
  <c r="M1285" i="1"/>
  <c r="O1284" i="1" a="1"/>
  <c r="O1284" i="1" s="1"/>
  <c r="N1284" i="1"/>
  <c r="M1284" i="1"/>
  <c r="O1283" i="1" a="1"/>
  <c r="O1283" i="1" s="1"/>
  <c r="N1283" i="1"/>
  <c r="M1283" i="1"/>
  <c r="O1282" i="1" a="1"/>
  <c r="O1282" i="1" s="1"/>
  <c r="N1282" i="1"/>
  <c r="M1282" i="1"/>
  <c r="O1281" i="1" a="1"/>
  <c r="O1281" i="1" s="1"/>
  <c r="N1281" i="1"/>
  <c r="M1281" i="1"/>
  <c r="O1280" i="1" a="1"/>
  <c r="O1280" i="1" s="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a="1"/>
  <c r="O1274" i="1" s="1"/>
  <c r="N1274" i="1"/>
  <c r="M1274" i="1"/>
  <c r="O1273" i="1" a="1"/>
  <c r="O1273" i="1" s="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a="1"/>
  <c r="O1267" i="1" s="1"/>
  <c r="N1267" i="1"/>
  <c r="M1267" i="1"/>
  <c r="O1266" i="1" a="1"/>
  <c r="O1266" i="1" s="1"/>
  <c r="N1266" i="1"/>
  <c r="M1266" i="1"/>
  <c r="O1265" i="1" a="1"/>
  <c r="O1265" i="1" s="1"/>
  <c r="N1265" i="1"/>
  <c r="M1265" i="1"/>
  <c r="O1264" i="1" a="1"/>
  <c r="O1264" i="1" s="1"/>
  <c r="N1264" i="1"/>
  <c r="M1264" i="1"/>
  <c r="O1263" i="1" a="1"/>
  <c r="O1263" i="1" s="1"/>
  <c r="N1263" i="1"/>
  <c r="M1263" i="1"/>
  <c r="O1262" i="1" a="1"/>
  <c r="O1262" i="1" s="1"/>
  <c r="N1262" i="1"/>
  <c r="M1262" i="1"/>
  <c r="O1261" i="1" a="1"/>
  <c r="O1261" i="1" s="1"/>
  <c r="N1261" i="1"/>
  <c r="M1261" i="1"/>
  <c r="O1260" i="1" a="1"/>
  <c r="O1260" i="1" s="1"/>
  <c r="N1260" i="1"/>
  <c r="M1260" i="1"/>
  <c r="O1259" i="1" a="1"/>
  <c r="O1259" i="1" s="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a="1"/>
  <c r="O1253" i="1" s="1"/>
  <c r="N1253" i="1"/>
  <c r="M1253" i="1"/>
  <c r="O1252" i="1" a="1"/>
  <c r="O1252" i="1" s="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a="1"/>
  <c r="O1246" i="1" s="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a="1"/>
  <c r="O1238" i="1" s="1"/>
  <c r="N1238" i="1"/>
  <c r="M1238" i="1"/>
  <c r="O1237" i="1" a="1"/>
  <c r="O1237" i="1" s="1"/>
  <c r="N1237" i="1"/>
  <c r="M1237" i="1"/>
  <c r="O1236" i="1" a="1"/>
  <c r="O1236" i="1" s="1"/>
  <c r="N1236" i="1"/>
  <c r="M1236" i="1"/>
  <c r="O1235" i="1" a="1"/>
  <c r="O1235" i="1" s="1"/>
  <c r="N1235" i="1"/>
  <c r="M1235" i="1"/>
  <c r="O1234" i="1" a="1"/>
  <c r="O1234" i="1" s="1"/>
  <c r="N1234" i="1"/>
  <c r="M1234" i="1"/>
  <c r="O1233" i="1" a="1"/>
  <c r="O1233" i="1" s="1"/>
  <c r="N1233" i="1"/>
  <c r="M1233" i="1"/>
  <c r="O1232" i="1" a="1"/>
  <c r="O1232" i="1" s="1"/>
  <c r="N1232" i="1"/>
  <c r="M1232" i="1"/>
  <c r="O1231" i="1" a="1"/>
  <c r="O1231" i="1" s="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a="1"/>
  <c r="O1225" i="1" s="1"/>
  <c r="N1225" i="1"/>
  <c r="M1225" i="1"/>
  <c r="O1224" i="1" a="1"/>
  <c r="O1224" i="1" s="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a="1"/>
  <c r="O1218" i="1" s="1"/>
  <c r="N1218" i="1"/>
  <c r="M1218" i="1"/>
  <c r="O1217" i="1" a="1"/>
  <c r="O1217" i="1" s="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a="1"/>
  <c r="O1211" i="1" s="1"/>
  <c r="N1211" i="1"/>
  <c r="M1211" i="1"/>
  <c r="O1210" i="1" a="1"/>
  <c r="O1210" i="1" s="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a="1"/>
  <c r="O1203" i="1" s="1"/>
  <c r="N1203" i="1"/>
  <c r="M1203" i="1"/>
  <c r="O1202" i="1" a="1"/>
  <c r="O1202" i="1" s="1"/>
  <c r="N1202" i="1"/>
  <c r="M1202" i="1"/>
  <c r="O1201" i="1" a="1"/>
  <c r="O1201" i="1" s="1"/>
  <c r="N1201" i="1"/>
  <c r="M1201" i="1"/>
  <c r="O1200" i="1" a="1"/>
  <c r="O1200" i="1" s="1"/>
  <c r="N1200" i="1"/>
  <c r="M1200" i="1"/>
  <c r="O1199" i="1" a="1"/>
  <c r="O1199" i="1" s="1"/>
  <c r="N1199" i="1"/>
  <c r="M1199" i="1"/>
  <c r="O1198" i="1" a="1"/>
  <c r="O1198" i="1" s="1"/>
  <c r="N1198" i="1"/>
  <c r="M1198" i="1"/>
  <c r="O1197" i="1" a="1"/>
  <c r="O1197" i="1" s="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a="1"/>
  <c r="O1190" i="1" s="1"/>
  <c r="N1190" i="1"/>
  <c r="M1190" i="1"/>
  <c r="O1189" i="1" a="1"/>
  <c r="O1189" i="1" s="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a="1"/>
  <c r="O1182" i="1" s="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a="1"/>
  <c r="O1176" i="1" s="1"/>
  <c r="N1176" i="1"/>
  <c r="M1176" i="1"/>
  <c r="O1175" i="1" a="1"/>
  <c r="O1175" i="1" s="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a="1"/>
  <c r="O1169" i="1" s="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a="1"/>
  <c r="O1162" i="1" s="1"/>
  <c r="N1162" i="1"/>
  <c r="M1162" i="1"/>
  <c r="O1161" i="1" a="1"/>
  <c r="O1161" i="1" s="1"/>
  <c r="N1161" i="1"/>
  <c r="M1161" i="1"/>
  <c r="O1160" i="1" a="1"/>
  <c r="O1160" i="1" s="1"/>
  <c r="N1160" i="1"/>
  <c r="M1160" i="1"/>
  <c r="O1159" i="1" a="1"/>
  <c r="O1159" i="1" s="1"/>
  <c r="N1159" i="1"/>
  <c r="M1159" i="1"/>
  <c r="O1158" i="1" a="1"/>
  <c r="O1158" i="1" s="1"/>
  <c r="N1158" i="1"/>
  <c r="M1158" i="1"/>
  <c r="O1157" i="1" a="1"/>
  <c r="O1157" i="1" s="1"/>
  <c r="N1157" i="1"/>
  <c r="M1157" i="1"/>
  <c r="O1156" i="1" a="1"/>
  <c r="O1156" i="1" s="1"/>
  <c r="N1156" i="1"/>
  <c r="M1156" i="1"/>
  <c r="O1155" i="1"/>
  <c r="O1155" i="1" a="1"/>
  <c r="N1155" i="1"/>
  <c r="M1155" i="1"/>
  <c r="O1154" i="1" a="1"/>
  <c r="O1154" i="1" s="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a="1"/>
  <c r="O1148" i="1" s="1"/>
  <c r="N1148" i="1"/>
  <c r="M1148" i="1"/>
  <c r="O1147" i="1" a="1"/>
  <c r="O1147" i="1" s="1"/>
  <c r="N1147" i="1"/>
  <c r="M1147" i="1"/>
  <c r="O1146" i="1" a="1"/>
  <c r="O1146" i="1" s="1"/>
  <c r="N1146" i="1"/>
  <c r="M1146" i="1"/>
  <c r="O1145" i="1" a="1"/>
  <c r="O1145" i="1" s="1"/>
  <c r="N1145" i="1"/>
  <c r="M1145" i="1"/>
  <c r="O1144" i="1" a="1"/>
  <c r="O1144" i="1" s="1"/>
  <c r="N1144" i="1"/>
  <c r="M1144" i="1"/>
  <c r="O1143" i="1" a="1"/>
  <c r="O1143" i="1" s="1"/>
  <c r="N1143" i="1"/>
  <c r="M1143" i="1"/>
  <c r="O1142" i="1" a="1"/>
  <c r="O1142" i="1" s="1"/>
  <c r="N1142" i="1"/>
  <c r="M1142" i="1"/>
  <c r="O1141" i="1" a="1"/>
  <c r="O1141" i="1" s="1"/>
  <c r="N1141" i="1"/>
  <c r="M1141" i="1"/>
  <c r="O1140" i="1" a="1"/>
  <c r="O1140" i="1" s="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a="1"/>
  <c r="O1130" i="1" s="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a="1"/>
  <c r="O1120" i="1" s="1"/>
  <c r="N1120" i="1"/>
  <c r="M1120" i="1"/>
  <c r="O1119" i="1" a="1"/>
  <c r="O1119" i="1" s="1"/>
  <c r="N1119" i="1"/>
  <c r="M1119" i="1"/>
  <c r="O1118" i="1" a="1"/>
  <c r="O1118" i="1" s="1"/>
  <c r="N1118" i="1"/>
  <c r="M1118" i="1"/>
  <c r="O1117" i="1" a="1"/>
  <c r="O1117" i="1" s="1"/>
  <c r="N1117" i="1"/>
  <c r="M1117" i="1"/>
  <c r="O1116" i="1" a="1"/>
  <c r="O1116" i="1" s="1"/>
  <c r="N1116" i="1"/>
  <c r="M1116" i="1"/>
  <c r="O1115" i="1" a="1"/>
  <c r="O1115" i="1" s="1"/>
  <c r="N1115" i="1"/>
  <c r="M1115" i="1"/>
  <c r="O1114" i="1" a="1"/>
  <c r="O1114" i="1" s="1"/>
  <c r="N1114" i="1"/>
  <c r="M1114" i="1"/>
  <c r="O1113" i="1" a="1"/>
  <c r="O1113" i="1" s="1"/>
  <c r="N1113" i="1"/>
  <c r="M1113" i="1"/>
  <c r="O1112" i="1" a="1"/>
  <c r="O1112" i="1" s="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a="1"/>
  <c r="O1106" i="1" s="1"/>
  <c r="N1106" i="1"/>
  <c r="M1106" i="1"/>
  <c r="O1105" i="1" a="1"/>
  <c r="O1105" i="1" s="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a="1"/>
  <c r="O1099" i="1" s="1"/>
  <c r="N1099" i="1"/>
  <c r="M1099" i="1"/>
  <c r="O1098" i="1" a="1"/>
  <c r="O1098" i="1" s="1"/>
  <c r="N1098" i="1"/>
  <c r="M1098" i="1"/>
  <c r="O1097" i="1" a="1"/>
  <c r="O1097" i="1" s="1"/>
  <c r="N1097" i="1"/>
  <c r="M1097" i="1"/>
  <c r="O1096" i="1" a="1"/>
  <c r="O1096" i="1" s="1"/>
  <c r="N1096" i="1"/>
  <c r="M1096" i="1"/>
  <c r="O1095" i="1" a="1"/>
  <c r="O1095" i="1" s="1"/>
  <c r="N1095" i="1"/>
  <c r="M1095" i="1"/>
  <c r="O1094" i="1" a="1"/>
  <c r="O1094" i="1" s="1"/>
  <c r="N1094" i="1"/>
  <c r="M1094" i="1"/>
  <c r="O1093" i="1" a="1"/>
  <c r="O1093" i="1" s="1"/>
  <c r="N1093" i="1"/>
  <c r="M1093" i="1"/>
  <c r="O1092" i="1" a="1"/>
  <c r="O1092" i="1" s="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a="1"/>
  <c r="O1085" i="1" s="1"/>
  <c r="N1085" i="1"/>
  <c r="M1085" i="1"/>
  <c r="O1084" i="1" a="1"/>
  <c r="O1084" i="1" s="1"/>
  <c r="N1084" i="1"/>
  <c r="M1084" i="1"/>
  <c r="O1083" i="1" a="1"/>
  <c r="O1083" i="1" s="1"/>
  <c r="N1083" i="1"/>
  <c r="M1083" i="1"/>
  <c r="O1082" i="1" a="1"/>
  <c r="O1082" i="1" s="1"/>
  <c r="N1082" i="1"/>
  <c r="M1082" i="1"/>
  <c r="O1081" i="1" a="1"/>
  <c r="O1081" i="1" s="1"/>
  <c r="N1081" i="1"/>
  <c r="M1081" i="1"/>
  <c r="O1080" i="1" a="1"/>
  <c r="O1080" i="1" s="1"/>
  <c r="N1080" i="1"/>
  <c r="M1080" i="1"/>
  <c r="O1079" i="1" a="1"/>
  <c r="O1079" i="1" s="1"/>
  <c r="N1079" i="1"/>
  <c r="M1079" i="1"/>
  <c r="O1078" i="1" a="1"/>
  <c r="O1078" i="1" s="1"/>
  <c r="N1078" i="1"/>
  <c r="M1078" i="1"/>
  <c r="O1077" i="1" a="1"/>
  <c r="O1077" i="1" s="1"/>
  <c r="N1077" i="1"/>
  <c r="M1077" i="1"/>
  <c r="O1076" i="1" a="1"/>
  <c r="O1076" i="1" s="1"/>
  <c r="N1076" i="1"/>
  <c r="M1076" i="1"/>
  <c r="O1075" i="1" a="1"/>
  <c r="O1075" i="1" s="1"/>
  <c r="N1075" i="1"/>
  <c r="M1075" i="1"/>
  <c r="O1074" i="1" a="1"/>
  <c r="O1074" i="1" s="1"/>
  <c r="N1074" i="1"/>
  <c r="M1074" i="1"/>
  <c r="O1073" i="1" a="1"/>
  <c r="O1073" i="1" s="1"/>
  <c r="N1073" i="1"/>
  <c r="M1073" i="1"/>
  <c r="O1072" i="1" a="1"/>
  <c r="O1072" i="1" s="1"/>
  <c r="N1072" i="1"/>
  <c r="M1072" i="1"/>
  <c r="O1071" i="1" a="1"/>
  <c r="O1071" i="1" s="1"/>
  <c r="N1071" i="1"/>
  <c r="M1071" i="1"/>
  <c r="O1070" i="1" a="1"/>
  <c r="O1070" i="1" s="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a="1"/>
  <c r="O1064" i="1" s="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a="1"/>
  <c r="O1056" i="1" s="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a="1"/>
  <c r="O1049" i="1" s="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a="1"/>
  <c r="O1042" i="1" s="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a="1"/>
  <c r="O1028" i="1" s="1"/>
  <c r="N1028" i="1"/>
  <c r="M1028" i="1"/>
  <c r="O1027" i="1" a="1"/>
  <c r="O1027" i="1" s="1"/>
  <c r="N1027" i="1"/>
  <c r="M1027" i="1"/>
  <c r="O1026" i="1" a="1"/>
  <c r="O1026" i="1" s="1"/>
  <c r="N1026" i="1"/>
  <c r="M1026" i="1"/>
  <c r="O1025" i="1" a="1"/>
  <c r="O1025" i="1" s="1"/>
  <c r="N1025" i="1"/>
  <c r="M1025" i="1"/>
  <c r="O1024" i="1" a="1"/>
  <c r="O1024" i="1" s="1"/>
  <c r="N1024" i="1"/>
  <c r="M1024" i="1"/>
  <c r="O1023" i="1" a="1"/>
  <c r="O1023" i="1" s="1"/>
  <c r="N1023" i="1"/>
  <c r="M1023" i="1"/>
  <c r="O1022" i="1" a="1"/>
  <c r="O1022" i="1" s="1"/>
  <c r="N1022" i="1"/>
  <c r="M1022" i="1"/>
  <c r="O1021" i="1" a="1"/>
  <c r="O1021" i="1" s="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a="1"/>
  <c r="O1014" i="1" s="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a="1"/>
  <c r="O1007" i="1" s="1"/>
  <c r="N1007" i="1"/>
  <c r="M1007" i="1"/>
  <c r="O1006" i="1" a="1"/>
  <c r="O1006" i="1" s="1"/>
  <c r="N1006" i="1"/>
  <c r="M1006" i="1"/>
  <c r="O1005" i="1" a="1"/>
  <c r="O1005" i="1" s="1"/>
  <c r="N1005" i="1"/>
  <c r="M1005" i="1"/>
  <c r="O1004" i="1" a="1"/>
  <c r="O1004" i="1" s="1"/>
  <c r="N1004" i="1"/>
  <c r="M1004" i="1"/>
  <c r="O1003" i="1" a="1"/>
  <c r="O1003" i="1" s="1"/>
  <c r="N1003" i="1"/>
  <c r="M1003" i="1"/>
  <c r="O1002" i="1" a="1"/>
  <c r="O1002" i="1" s="1"/>
  <c r="N1002" i="1"/>
  <c r="M1002" i="1"/>
  <c r="O1001" i="1" a="1"/>
  <c r="O1001" i="1" s="1"/>
  <c r="N1001" i="1"/>
  <c r="M1001" i="1"/>
  <c r="O1000" i="1" a="1"/>
  <c r="O1000" i="1" s="1"/>
  <c r="N1000" i="1"/>
  <c r="M1000" i="1"/>
  <c r="O999" i="1" a="1"/>
  <c r="O999" i="1" s="1"/>
  <c r="N999" i="1"/>
  <c r="M999" i="1"/>
  <c r="O998" i="1" a="1"/>
  <c r="O998" i="1" s="1"/>
  <c r="N998" i="1"/>
  <c r="M998" i="1"/>
  <c r="O997" i="1" a="1"/>
  <c r="O997" i="1" s="1"/>
  <c r="N997" i="1"/>
  <c r="M997" i="1"/>
  <c r="O996" i="1" a="1"/>
  <c r="O996" i="1" s="1"/>
  <c r="N996" i="1"/>
  <c r="M996" i="1"/>
  <c r="O995" i="1" a="1"/>
  <c r="O995" i="1" s="1"/>
  <c r="N995" i="1"/>
  <c r="M995" i="1"/>
  <c r="O994" i="1" a="1"/>
  <c r="O994" i="1" s="1"/>
  <c r="N994" i="1"/>
  <c r="M994" i="1"/>
  <c r="O993" i="1" a="1"/>
  <c r="O993" i="1" s="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a="1"/>
  <c r="O986" i="1" s="1"/>
  <c r="N986" i="1"/>
  <c r="M986" i="1"/>
  <c r="O985" i="1" a="1"/>
  <c r="O985" i="1" s="1"/>
  <c r="N985" i="1"/>
  <c r="M985" i="1"/>
  <c r="O984" i="1" a="1"/>
  <c r="O984" i="1" s="1"/>
  <c r="N984" i="1"/>
  <c r="M984" i="1"/>
  <c r="O983" i="1" a="1"/>
  <c r="O983" i="1" s="1"/>
  <c r="N983" i="1"/>
  <c r="M983" i="1"/>
  <c r="O982" i="1" a="1"/>
  <c r="O982" i="1" s="1"/>
  <c r="N982" i="1"/>
  <c r="M982" i="1"/>
  <c r="O981" i="1" a="1"/>
  <c r="O981" i="1" s="1"/>
  <c r="N981" i="1"/>
  <c r="M981" i="1"/>
  <c r="O980" i="1" a="1"/>
  <c r="O980" i="1" s="1"/>
  <c r="N980" i="1"/>
  <c r="M980" i="1"/>
  <c r="O979" i="1" a="1"/>
  <c r="O979" i="1" s="1"/>
  <c r="N979" i="1"/>
  <c r="M979" i="1"/>
  <c r="O978" i="1" a="1"/>
  <c r="O978" i="1" s="1"/>
  <c r="N978" i="1"/>
  <c r="M978" i="1"/>
  <c r="O977" i="1" a="1"/>
  <c r="O977" i="1" s="1"/>
  <c r="N977" i="1"/>
  <c r="M977" i="1"/>
  <c r="O976" i="1" a="1"/>
  <c r="O976" i="1" s="1"/>
  <c r="N976" i="1"/>
  <c r="M976" i="1"/>
  <c r="O975" i="1" a="1"/>
  <c r="O975" i="1" s="1"/>
  <c r="N975" i="1"/>
  <c r="M975" i="1"/>
  <c r="O974" i="1" a="1"/>
  <c r="O974" i="1" s="1"/>
  <c r="N974" i="1"/>
  <c r="M974" i="1"/>
  <c r="O973" i="1" a="1"/>
  <c r="O973" i="1" s="1"/>
  <c r="N973" i="1"/>
  <c r="M973" i="1"/>
  <c r="O972" i="1" a="1"/>
  <c r="O972" i="1" s="1"/>
  <c r="N972" i="1"/>
  <c r="M972" i="1"/>
  <c r="O971" i="1" a="1"/>
  <c r="O971" i="1" s="1"/>
  <c r="N971" i="1"/>
  <c r="M971" i="1"/>
  <c r="O970" i="1" a="1"/>
  <c r="O970" i="1" s="1"/>
  <c r="N970" i="1"/>
  <c r="M970" i="1"/>
  <c r="O969" i="1" a="1"/>
  <c r="O969" i="1" s="1"/>
  <c r="N969" i="1"/>
  <c r="M969" i="1"/>
  <c r="O968" i="1" a="1"/>
  <c r="O968" i="1" s="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a="1"/>
  <c r="O958" i="1" s="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a="1"/>
  <c r="O951" i="1" s="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a="1"/>
  <c r="O944" i="1" s="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a="1"/>
  <c r="O937" i="1" s="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a="1"/>
  <c r="O930" i="1" s="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a="1"/>
  <c r="O923" i="1" s="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a="1"/>
  <c r="O916" i="1" s="1"/>
  <c r="N916" i="1"/>
  <c r="M916" i="1"/>
  <c r="O915" i="1" a="1"/>
  <c r="O915" i="1" s="1"/>
  <c r="N915" i="1"/>
  <c r="M915" i="1"/>
  <c r="O914" i="1" a="1"/>
  <c r="O914" i="1" s="1"/>
  <c r="N914" i="1"/>
  <c r="M914" i="1"/>
  <c r="O913" i="1" a="1"/>
  <c r="O913" i="1" s="1"/>
  <c r="N913" i="1"/>
  <c r="M913" i="1"/>
  <c r="O912" i="1" a="1"/>
  <c r="O912" i="1" s="1"/>
  <c r="N912" i="1"/>
  <c r="M912" i="1"/>
  <c r="O911" i="1" a="1"/>
  <c r="O911" i="1" s="1"/>
  <c r="N911" i="1"/>
  <c r="M911" i="1"/>
  <c r="O910" i="1" a="1"/>
  <c r="O910" i="1" s="1"/>
  <c r="N910" i="1"/>
  <c r="M910" i="1"/>
  <c r="O909" i="1" a="1"/>
  <c r="O909" i="1" s="1"/>
  <c r="N909" i="1"/>
  <c r="M909" i="1"/>
  <c r="O908" i="1" a="1"/>
  <c r="O908" i="1" s="1"/>
  <c r="N908" i="1"/>
  <c r="M908" i="1"/>
  <c r="O907" i="1" a="1"/>
  <c r="O907" i="1" s="1"/>
  <c r="N907" i="1"/>
  <c r="M907" i="1"/>
  <c r="O906" i="1" a="1"/>
  <c r="O906" i="1" s="1"/>
  <c r="N906" i="1"/>
  <c r="M906" i="1"/>
  <c r="O905" i="1" a="1"/>
  <c r="O905" i="1" s="1"/>
  <c r="N905" i="1"/>
  <c r="M905" i="1"/>
  <c r="O904" i="1" a="1"/>
  <c r="O904" i="1" s="1"/>
  <c r="N904" i="1"/>
  <c r="M904" i="1"/>
  <c r="O903" i="1" a="1"/>
  <c r="O903" i="1" s="1"/>
  <c r="N903" i="1"/>
  <c r="M903" i="1"/>
  <c r="O902" i="1" a="1"/>
  <c r="O902" i="1" s="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a="1"/>
  <c r="O896" i="1" s="1"/>
  <c r="N896" i="1"/>
  <c r="M896" i="1"/>
  <c r="O895" i="1" a="1"/>
  <c r="O895" i="1" s="1"/>
  <c r="N895" i="1"/>
  <c r="M895" i="1"/>
  <c r="O894" i="1" a="1"/>
  <c r="O894" i="1" s="1"/>
  <c r="N894" i="1"/>
  <c r="M894" i="1"/>
  <c r="O893" i="1" a="1"/>
  <c r="O893" i="1" s="1"/>
  <c r="N893" i="1"/>
  <c r="M893" i="1"/>
  <c r="O892" i="1" a="1"/>
  <c r="O892" i="1" s="1"/>
  <c r="N892" i="1"/>
  <c r="M892" i="1"/>
  <c r="O891" i="1" a="1"/>
  <c r="O891" i="1" s="1"/>
  <c r="N891" i="1"/>
  <c r="M891" i="1"/>
  <c r="O890" i="1" a="1"/>
  <c r="O890" i="1" s="1"/>
  <c r="N890" i="1"/>
  <c r="M890" i="1"/>
  <c r="O889" i="1" a="1"/>
  <c r="O889" i="1" s="1"/>
  <c r="N889" i="1"/>
  <c r="M889" i="1"/>
  <c r="O888" i="1" a="1"/>
  <c r="O888" i="1" s="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a="1"/>
  <c r="O881" i="1" s="1"/>
  <c r="N881" i="1"/>
  <c r="M881" i="1"/>
  <c r="O880" i="1" a="1"/>
  <c r="O880" i="1" s="1"/>
  <c r="N880" i="1"/>
  <c r="M880" i="1"/>
  <c r="O879" i="1" a="1"/>
  <c r="O879" i="1" s="1"/>
  <c r="N879" i="1"/>
  <c r="M879" i="1"/>
  <c r="O878" i="1" a="1"/>
  <c r="O878" i="1" s="1"/>
  <c r="N878" i="1"/>
  <c r="M878" i="1"/>
  <c r="O877" i="1" a="1"/>
  <c r="O877" i="1" s="1"/>
  <c r="N877" i="1"/>
  <c r="M877" i="1"/>
  <c r="O876" i="1" a="1"/>
  <c r="O876" i="1" s="1"/>
  <c r="N876" i="1"/>
  <c r="M876" i="1"/>
  <c r="O875" i="1" a="1"/>
  <c r="O875" i="1" s="1"/>
  <c r="N875" i="1"/>
  <c r="M875" i="1"/>
  <c r="O874" i="1" a="1"/>
  <c r="O874" i="1" s="1"/>
  <c r="N874" i="1"/>
  <c r="M874" i="1"/>
  <c r="O873" i="1" a="1"/>
  <c r="O873" i="1" s="1"/>
  <c r="N873" i="1"/>
  <c r="M873" i="1"/>
  <c r="O872" i="1" a="1"/>
  <c r="O872" i="1" s="1"/>
  <c r="N872" i="1"/>
  <c r="M872" i="1"/>
  <c r="O871" i="1" a="1"/>
  <c r="O871" i="1" s="1"/>
  <c r="N871" i="1"/>
  <c r="M871" i="1"/>
  <c r="O870" i="1" a="1"/>
  <c r="O870" i="1" s="1"/>
  <c r="N870" i="1"/>
  <c r="M870" i="1"/>
  <c r="O869" i="1" a="1"/>
  <c r="O869" i="1" s="1"/>
  <c r="N869" i="1"/>
  <c r="M869" i="1"/>
  <c r="O868" i="1"/>
  <c r="O868" i="1" a="1"/>
  <c r="N868" i="1"/>
  <c r="M868" i="1"/>
  <c r="O867" i="1" a="1"/>
  <c r="O867" i="1" s="1"/>
  <c r="N867" i="1"/>
  <c r="M867" i="1"/>
  <c r="O866" i="1" a="1"/>
  <c r="O866" i="1" s="1"/>
  <c r="N866" i="1"/>
  <c r="M866" i="1"/>
  <c r="O865" i="1" a="1"/>
  <c r="O865" i="1" s="1"/>
  <c r="N865" i="1"/>
  <c r="M865" i="1"/>
  <c r="O864" i="1" a="1"/>
  <c r="O864" i="1" s="1"/>
  <c r="N864" i="1"/>
  <c r="M864" i="1"/>
  <c r="O863" i="1" a="1"/>
  <c r="O863" i="1" s="1"/>
  <c r="N863" i="1"/>
  <c r="M863" i="1"/>
  <c r="O862" i="1" a="1"/>
  <c r="O862" i="1" s="1"/>
  <c r="N862" i="1"/>
  <c r="M862" i="1"/>
  <c r="O861" i="1" a="1"/>
  <c r="O861" i="1" s="1"/>
  <c r="N861" i="1"/>
  <c r="M861" i="1"/>
  <c r="O860" i="1" a="1"/>
  <c r="O860" i="1" s="1"/>
  <c r="N860" i="1"/>
  <c r="M860" i="1"/>
  <c r="O859" i="1" a="1"/>
  <c r="O859" i="1" s="1"/>
  <c r="N859" i="1"/>
  <c r="M859" i="1"/>
  <c r="O858" i="1" a="1"/>
  <c r="O858" i="1" s="1"/>
  <c r="N858" i="1"/>
  <c r="M858" i="1"/>
  <c r="O857" i="1" a="1"/>
  <c r="O857" i="1" s="1"/>
  <c r="N857" i="1"/>
  <c r="M857" i="1"/>
  <c r="O856" i="1" a="1"/>
  <c r="O856" i="1" s="1"/>
  <c r="N856" i="1"/>
  <c r="M856" i="1"/>
  <c r="O855" i="1" a="1"/>
  <c r="O855" i="1" s="1"/>
  <c r="N855" i="1"/>
  <c r="M855" i="1"/>
  <c r="O854" i="1" a="1"/>
  <c r="O854" i="1" s="1"/>
  <c r="N854" i="1"/>
  <c r="M854" i="1"/>
  <c r="O853" i="1" a="1"/>
  <c r="O853" i="1" s="1"/>
  <c r="N853" i="1"/>
  <c r="M853" i="1"/>
  <c r="O852" i="1" a="1"/>
  <c r="O852" i="1" s="1"/>
  <c r="N852" i="1"/>
  <c r="M852" i="1"/>
  <c r="O851" i="1" a="1"/>
  <c r="O851" i="1" s="1"/>
  <c r="N851" i="1"/>
  <c r="M851" i="1"/>
  <c r="O850" i="1" a="1"/>
  <c r="O850" i="1" s="1"/>
  <c r="N850" i="1"/>
  <c r="M850" i="1"/>
  <c r="O849" i="1" a="1"/>
  <c r="O849" i="1" s="1"/>
  <c r="N849" i="1"/>
  <c r="M849" i="1"/>
  <c r="O848" i="1" a="1"/>
  <c r="O848" i="1" s="1"/>
  <c r="N848" i="1"/>
  <c r="M848" i="1"/>
  <c r="O847" i="1" a="1"/>
  <c r="O847" i="1" s="1"/>
  <c r="N847" i="1"/>
  <c r="M847" i="1"/>
  <c r="O846" i="1" a="1"/>
  <c r="O846" i="1" s="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a="1"/>
  <c r="O839" i="1" s="1"/>
  <c r="N839" i="1"/>
  <c r="M839" i="1"/>
  <c r="O838" i="1" a="1"/>
  <c r="O838" i="1" s="1"/>
  <c r="N838" i="1"/>
  <c r="M838" i="1"/>
  <c r="O837" i="1" a="1"/>
  <c r="O837" i="1" s="1"/>
  <c r="N837" i="1"/>
  <c r="M837" i="1"/>
  <c r="O836" i="1" a="1"/>
  <c r="O836" i="1" s="1"/>
  <c r="N836" i="1"/>
  <c r="M836" i="1"/>
  <c r="O835" i="1" a="1"/>
  <c r="O835" i="1" s="1"/>
  <c r="N835" i="1"/>
  <c r="M835" i="1"/>
  <c r="O834" i="1" a="1"/>
  <c r="O834" i="1" s="1"/>
  <c r="N834" i="1"/>
  <c r="M834" i="1"/>
  <c r="O833" i="1" a="1"/>
  <c r="O833" i="1" s="1"/>
  <c r="N833" i="1"/>
  <c r="M833" i="1"/>
  <c r="O832" i="1" a="1"/>
  <c r="O832" i="1" s="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a="1"/>
  <c r="O825" i="1" s="1"/>
  <c r="N825" i="1"/>
  <c r="M825" i="1"/>
  <c r="O824" i="1" a="1"/>
  <c r="O824" i="1" s="1"/>
  <c r="N824" i="1"/>
  <c r="M824" i="1"/>
  <c r="O823" i="1" a="1"/>
  <c r="O823" i="1" s="1"/>
  <c r="N823" i="1"/>
  <c r="M823" i="1"/>
  <c r="O822" i="1" a="1"/>
  <c r="O822" i="1" s="1"/>
  <c r="N822" i="1"/>
  <c r="M822" i="1"/>
  <c r="O821" i="1" a="1"/>
  <c r="O821" i="1" s="1"/>
  <c r="N821" i="1"/>
  <c r="M821" i="1"/>
  <c r="O820" i="1" a="1"/>
  <c r="O820" i="1" s="1"/>
  <c r="N820" i="1"/>
  <c r="M820" i="1"/>
  <c r="O819" i="1" a="1"/>
  <c r="O819" i="1" s="1"/>
  <c r="N819" i="1"/>
  <c r="M819" i="1"/>
  <c r="O818" i="1" a="1"/>
  <c r="O818" i="1" s="1"/>
  <c r="N818" i="1"/>
  <c r="M818" i="1"/>
  <c r="O817" i="1" a="1"/>
  <c r="O817" i="1" s="1"/>
  <c r="N817" i="1"/>
  <c r="M817" i="1"/>
  <c r="O816" i="1"/>
  <c r="O816" i="1" a="1"/>
  <c r="N816" i="1"/>
  <c r="M816" i="1"/>
  <c r="O815" i="1" a="1"/>
  <c r="O815" i="1" s="1"/>
  <c r="N815" i="1"/>
  <c r="M815" i="1"/>
  <c r="O814" i="1" a="1"/>
  <c r="O814" i="1" s="1"/>
  <c r="N814" i="1"/>
  <c r="M814" i="1"/>
  <c r="O813" i="1" a="1"/>
  <c r="O813" i="1" s="1"/>
  <c r="N813" i="1"/>
  <c r="M813" i="1"/>
  <c r="O812" i="1" a="1"/>
  <c r="O812" i="1" s="1"/>
  <c r="N812" i="1"/>
  <c r="M812" i="1"/>
  <c r="O811" i="1" a="1"/>
  <c r="O811" i="1" s="1"/>
  <c r="N811" i="1"/>
  <c r="M811" i="1"/>
  <c r="O810" i="1" a="1"/>
  <c r="O810" i="1" s="1"/>
  <c r="N810" i="1"/>
  <c r="M810" i="1"/>
  <c r="O809" i="1" a="1"/>
  <c r="O809" i="1" s="1"/>
  <c r="N809" i="1"/>
  <c r="M809" i="1"/>
  <c r="O808" i="1" a="1"/>
  <c r="O808" i="1" s="1"/>
  <c r="N808" i="1"/>
  <c r="M808" i="1"/>
  <c r="O807" i="1" a="1"/>
  <c r="O807" i="1" s="1"/>
  <c r="N807" i="1"/>
  <c r="M807" i="1"/>
  <c r="O806" i="1" a="1"/>
  <c r="O806" i="1" s="1"/>
  <c r="N806" i="1"/>
  <c r="M806" i="1"/>
  <c r="O805" i="1" a="1"/>
  <c r="O805" i="1" s="1"/>
  <c r="N805" i="1"/>
  <c r="M805" i="1"/>
  <c r="O804" i="1" a="1"/>
  <c r="O804" i="1" s="1"/>
  <c r="N804" i="1"/>
  <c r="M804" i="1"/>
  <c r="O803" i="1" a="1"/>
  <c r="O803" i="1" s="1"/>
  <c r="N803" i="1"/>
  <c r="M803" i="1"/>
  <c r="O802" i="1" a="1"/>
  <c r="O802" i="1" s="1"/>
  <c r="N802" i="1"/>
  <c r="M802" i="1"/>
  <c r="O801" i="1" a="1"/>
  <c r="O801" i="1" s="1"/>
  <c r="N801" i="1"/>
  <c r="M801" i="1"/>
  <c r="O800" i="1" a="1"/>
  <c r="O800" i="1" s="1"/>
  <c r="N800" i="1"/>
  <c r="M800" i="1"/>
  <c r="O799" i="1" a="1"/>
  <c r="O799" i="1" s="1"/>
  <c r="N799" i="1"/>
  <c r="M799" i="1"/>
  <c r="O798" i="1" a="1"/>
  <c r="O798" i="1" s="1"/>
  <c r="N798" i="1"/>
  <c r="M798" i="1"/>
  <c r="O797" i="1"/>
  <c r="O797" i="1" a="1"/>
  <c r="N797" i="1"/>
  <c r="M797" i="1"/>
  <c r="O796" i="1" a="1"/>
  <c r="O796" i="1" s="1"/>
  <c r="N796" i="1"/>
  <c r="M796" i="1"/>
  <c r="O795" i="1" a="1"/>
  <c r="O795" i="1" s="1"/>
  <c r="N795" i="1"/>
  <c r="M795" i="1"/>
  <c r="O794" i="1" a="1"/>
  <c r="O794" i="1" s="1"/>
  <c r="N794" i="1"/>
  <c r="M794" i="1"/>
  <c r="O793" i="1" a="1"/>
  <c r="O793" i="1" s="1"/>
  <c r="N793" i="1"/>
  <c r="M793" i="1"/>
  <c r="O792" i="1" a="1"/>
  <c r="O792" i="1" s="1"/>
  <c r="N792" i="1"/>
  <c r="M792" i="1"/>
  <c r="O791" i="1" a="1"/>
  <c r="O791" i="1" s="1"/>
  <c r="N791" i="1"/>
  <c r="M791" i="1"/>
  <c r="O790" i="1" a="1"/>
  <c r="O790" i="1" s="1"/>
  <c r="N790" i="1"/>
  <c r="M790" i="1"/>
  <c r="O789" i="1" a="1"/>
  <c r="O789" i="1" s="1"/>
  <c r="N789" i="1"/>
  <c r="M789" i="1"/>
  <c r="O788" i="1" a="1"/>
  <c r="O788" i="1" s="1"/>
  <c r="N788" i="1"/>
  <c r="M788" i="1"/>
  <c r="O787" i="1" a="1"/>
  <c r="O787" i="1" s="1"/>
  <c r="N787" i="1"/>
  <c r="M787" i="1"/>
  <c r="O786" i="1" a="1"/>
  <c r="O786" i="1" s="1"/>
  <c r="N786" i="1"/>
  <c r="M786" i="1"/>
  <c r="O785" i="1" a="1"/>
  <c r="O785" i="1" s="1"/>
  <c r="N785" i="1"/>
  <c r="M785" i="1"/>
  <c r="O784" i="1" a="1"/>
  <c r="O784" i="1" s="1"/>
  <c r="N784" i="1"/>
  <c r="M784" i="1"/>
  <c r="O783" i="1" a="1"/>
  <c r="O783" i="1" s="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a="1"/>
  <c r="O776" i="1" s="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a="1"/>
  <c r="O770" i="1" s="1"/>
  <c r="N770" i="1"/>
  <c r="M770" i="1"/>
  <c r="O769" i="1"/>
  <c r="O769" i="1" a="1"/>
  <c r="N769" i="1"/>
  <c r="M769" i="1"/>
  <c r="O768" i="1" a="1"/>
  <c r="O768" i="1" s="1"/>
  <c r="N768" i="1"/>
  <c r="M768" i="1"/>
  <c r="O767" i="1" a="1"/>
  <c r="O767" i="1" s="1"/>
  <c r="N767" i="1"/>
  <c r="M767" i="1"/>
  <c r="O766" i="1" a="1"/>
  <c r="O766" i="1" s="1"/>
  <c r="N766" i="1"/>
  <c r="M766" i="1"/>
  <c r="O765" i="1" a="1"/>
  <c r="O765" i="1" s="1"/>
  <c r="N765" i="1"/>
  <c r="M765" i="1"/>
  <c r="O764" i="1" a="1"/>
  <c r="O764" i="1" s="1"/>
  <c r="N764" i="1"/>
  <c r="M764" i="1"/>
  <c r="O763" i="1" a="1"/>
  <c r="O763" i="1" s="1"/>
  <c r="N763" i="1"/>
  <c r="M763" i="1"/>
  <c r="O762" i="1" a="1"/>
  <c r="O762" i="1" s="1"/>
  <c r="N762" i="1"/>
  <c r="M762" i="1"/>
  <c r="O761" i="1" a="1"/>
  <c r="O761" i="1" s="1"/>
  <c r="N761" i="1"/>
  <c r="M761" i="1"/>
  <c r="O760" i="1" a="1"/>
  <c r="O760" i="1" s="1"/>
  <c r="N760" i="1"/>
  <c r="M760" i="1"/>
  <c r="O759" i="1" a="1"/>
  <c r="O759" i="1" s="1"/>
  <c r="N759" i="1"/>
  <c r="M759" i="1"/>
  <c r="O758" i="1" a="1"/>
  <c r="O758" i="1" s="1"/>
  <c r="N758" i="1"/>
  <c r="M758" i="1"/>
  <c r="O757" i="1" a="1"/>
  <c r="O757" i="1" s="1"/>
  <c r="N757" i="1"/>
  <c r="M757" i="1"/>
  <c r="O756" i="1" a="1"/>
  <c r="O756" i="1" s="1"/>
  <c r="N756" i="1"/>
  <c r="M756" i="1"/>
  <c r="O755" i="1" a="1"/>
  <c r="O755" i="1" s="1"/>
  <c r="N755" i="1"/>
  <c r="M755" i="1"/>
  <c r="O754" i="1" a="1"/>
  <c r="O754" i="1" s="1"/>
  <c r="N754" i="1"/>
  <c r="M754" i="1"/>
  <c r="O753" i="1" a="1"/>
  <c r="O753" i="1" s="1"/>
  <c r="N753" i="1"/>
  <c r="M753" i="1"/>
  <c r="O752" i="1" a="1"/>
  <c r="O752" i="1" s="1"/>
  <c r="N752" i="1"/>
  <c r="M752" i="1"/>
  <c r="O751" i="1" a="1"/>
  <c r="O751" i="1" s="1"/>
  <c r="N751" i="1"/>
  <c r="M751" i="1"/>
  <c r="O750" i="1" a="1"/>
  <c r="O750" i="1" s="1"/>
  <c r="N750" i="1"/>
  <c r="M750" i="1"/>
  <c r="O749" i="1" a="1"/>
  <c r="O749" i="1" s="1"/>
  <c r="N749" i="1"/>
  <c r="M749" i="1"/>
  <c r="O748" i="1" a="1"/>
  <c r="O748" i="1" s="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a="1"/>
  <c r="O741" i="1" s="1"/>
  <c r="N741" i="1"/>
  <c r="M741" i="1"/>
  <c r="O740" i="1" a="1"/>
  <c r="O740" i="1" s="1"/>
  <c r="N740" i="1"/>
  <c r="M740" i="1"/>
  <c r="O739" i="1" a="1"/>
  <c r="O739" i="1" s="1"/>
  <c r="N739" i="1"/>
  <c r="M739" i="1"/>
  <c r="O738" i="1" a="1"/>
  <c r="O738" i="1" s="1"/>
  <c r="N738" i="1"/>
  <c r="M738" i="1"/>
  <c r="O737" i="1" a="1"/>
  <c r="O737" i="1" s="1"/>
  <c r="N737" i="1"/>
  <c r="M737" i="1"/>
  <c r="O736" i="1" a="1"/>
  <c r="O736" i="1" s="1"/>
  <c r="N736" i="1"/>
  <c r="M736" i="1"/>
  <c r="O735" i="1" a="1"/>
  <c r="O735" i="1" s="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a="1"/>
  <c r="O727" i="1" s="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a="1"/>
  <c r="O716" i="1" s="1"/>
  <c r="N716" i="1"/>
  <c r="M716" i="1"/>
  <c r="O715" i="1" a="1"/>
  <c r="O715" i="1" s="1"/>
  <c r="N715" i="1"/>
  <c r="M715" i="1"/>
  <c r="O714" i="1" a="1"/>
  <c r="O714" i="1" s="1"/>
  <c r="N714" i="1"/>
  <c r="M714" i="1"/>
  <c r="O713" i="1" a="1"/>
  <c r="O713" i="1" s="1"/>
  <c r="N713" i="1"/>
  <c r="M713" i="1"/>
  <c r="O712" i="1" a="1"/>
  <c r="O712" i="1" s="1"/>
  <c r="N712" i="1"/>
  <c r="M712" i="1"/>
  <c r="O711" i="1" a="1"/>
  <c r="O711" i="1" s="1"/>
  <c r="N711" i="1"/>
  <c r="M711" i="1"/>
  <c r="O710" i="1" a="1"/>
  <c r="O710" i="1" s="1"/>
  <c r="N710" i="1"/>
  <c r="M710" i="1"/>
  <c r="O709" i="1" a="1"/>
  <c r="O709" i="1" s="1"/>
  <c r="N709" i="1"/>
  <c r="M709" i="1"/>
  <c r="O708" i="1" a="1"/>
  <c r="O708" i="1" s="1"/>
  <c r="N708" i="1"/>
  <c r="M708" i="1"/>
  <c r="O707" i="1" a="1"/>
  <c r="O707" i="1" s="1"/>
  <c r="N707" i="1"/>
  <c r="M707" i="1"/>
  <c r="O706" i="1" a="1"/>
  <c r="O706" i="1" s="1"/>
  <c r="N706" i="1"/>
  <c r="M706" i="1"/>
  <c r="O705" i="1" a="1"/>
  <c r="O705" i="1" s="1"/>
  <c r="N705" i="1"/>
  <c r="M705" i="1"/>
  <c r="O704" i="1" a="1"/>
  <c r="O704" i="1" s="1"/>
  <c r="N704" i="1"/>
  <c r="M704" i="1"/>
  <c r="O703" i="1" a="1"/>
  <c r="O703" i="1" s="1"/>
  <c r="N703" i="1"/>
  <c r="M703" i="1"/>
  <c r="O702" i="1" a="1"/>
  <c r="O702" i="1" s="1"/>
  <c r="N702" i="1"/>
  <c r="M702" i="1"/>
  <c r="O701" i="1" a="1"/>
  <c r="O701" i="1" s="1"/>
  <c r="N701" i="1"/>
  <c r="M701" i="1"/>
  <c r="O700" i="1" a="1"/>
  <c r="O700" i="1" s="1"/>
  <c r="N700" i="1"/>
  <c r="M700" i="1"/>
  <c r="O699" i="1" a="1"/>
  <c r="O699" i="1" s="1"/>
  <c r="N699" i="1"/>
  <c r="M699" i="1"/>
  <c r="O698" i="1" a="1"/>
  <c r="O698" i="1" s="1"/>
  <c r="N698" i="1"/>
  <c r="M698" i="1"/>
  <c r="O697" i="1" a="1"/>
  <c r="O697" i="1" s="1"/>
  <c r="N697" i="1"/>
  <c r="M697" i="1"/>
  <c r="O696" i="1" a="1"/>
  <c r="O696" i="1" s="1"/>
  <c r="N696" i="1"/>
  <c r="M696" i="1"/>
  <c r="O695" i="1" a="1"/>
  <c r="O695" i="1" s="1"/>
  <c r="N695" i="1"/>
  <c r="M695" i="1"/>
  <c r="O694" i="1" a="1"/>
  <c r="O694" i="1" s="1"/>
  <c r="N694" i="1"/>
  <c r="M694" i="1"/>
  <c r="O693" i="1"/>
  <c r="O693" i="1" a="1"/>
  <c r="N693" i="1"/>
  <c r="M693" i="1"/>
  <c r="O692" i="1" a="1"/>
  <c r="O692" i="1" s="1"/>
  <c r="N692" i="1"/>
  <c r="M692" i="1"/>
  <c r="O691" i="1" a="1"/>
  <c r="O691" i="1" s="1"/>
  <c r="N691" i="1"/>
  <c r="M691" i="1"/>
  <c r="O690" i="1" a="1"/>
  <c r="O690" i="1" s="1"/>
  <c r="N690" i="1"/>
  <c r="M690" i="1"/>
  <c r="O689" i="1" a="1"/>
  <c r="O689" i="1" s="1"/>
  <c r="N689" i="1"/>
  <c r="M689" i="1"/>
  <c r="O688" i="1" a="1"/>
  <c r="O688" i="1" s="1"/>
  <c r="N688" i="1"/>
  <c r="M688" i="1"/>
  <c r="O687" i="1" a="1"/>
  <c r="O687" i="1" s="1"/>
  <c r="N687" i="1"/>
  <c r="M687" i="1"/>
  <c r="O686" i="1" a="1"/>
  <c r="O686" i="1" s="1"/>
  <c r="N686" i="1"/>
  <c r="M686" i="1"/>
  <c r="O685" i="1" a="1"/>
  <c r="O685" i="1" s="1"/>
  <c r="N685" i="1"/>
  <c r="M685" i="1"/>
  <c r="O684" i="1" a="1"/>
  <c r="O684" i="1" s="1"/>
  <c r="N684" i="1"/>
  <c r="M684" i="1"/>
  <c r="O683" i="1"/>
  <c r="O683" i="1" a="1"/>
  <c r="N683" i="1"/>
  <c r="M683" i="1"/>
  <c r="O682" i="1" a="1"/>
  <c r="O682" i="1" s="1"/>
  <c r="N682" i="1"/>
  <c r="M682" i="1"/>
  <c r="O681" i="1" a="1"/>
  <c r="O681" i="1" s="1"/>
  <c r="N681" i="1"/>
  <c r="M681" i="1"/>
  <c r="O680" i="1" a="1"/>
  <c r="O680" i="1" s="1"/>
  <c r="N680" i="1"/>
  <c r="M680" i="1"/>
  <c r="O679" i="1"/>
  <c r="O679" i="1" a="1"/>
  <c r="N679" i="1"/>
  <c r="M679" i="1"/>
  <c r="O678" i="1" a="1"/>
  <c r="O678" i="1" s="1"/>
  <c r="N678" i="1"/>
  <c r="M678" i="1"/>
  <c r="O677" i="1" a="1"/>
  <c r="O677" i="1" s="1"/>
  <c r="N677" i="1"/>
  <c r="M677" i="1"/>
  <c r="O676" i="1" a="1"/>
  <c r="O676" i="1" s="1"/>
  <c r="N676" i="1"/>
  <c r="M676" i="1"/>
  <c r="O675" i="1" a="1"/>
  <c r="O675" i="1" s="1"/>
  <c r="N675" i="1"/>
  <c r="M675" i="1"/>
  <c r="O674" i="1" a="1"/>
  <c r="O674" i="1" s="1"/>
  <c r="N674" i="1"/>
  <c r="M674" i="1"/>
  <c r="O673" i="1" a="1"/>
  <c r="O673" i="1" s="1"/>
  <c r="N673" i="1"/>
  <c r="M673" i="1"/>
  <c r="O672" i="1" a="1"/>
  <c r="O672" i="1" s="1"/>
  <c r="N672" i="1"/>
  <c r="M672" i="1"/>
  <c r="O671" i="1" a="1"/>
  <c r="O671" i="1" s="1"/>
  <c r="N671" i="1"/>
  <c r="M671" i="1"/>
  <c r="O670" i="1" a="1"/>
  <c r="O670" i="1" s="1"/>
  <c r="N670" i="1"/>
  <c r="M670" i="1"/>
  <c r="O669" i="1" a="1"/>
  <c r="O669" i="1" s="1"/>
  <c r="N669" i="1"/>
  <c r="M669" i="1"/>
  <c r="O668" i="1"/>
  <c r="O668" i="1" a="1"/>
  <c r="N668" i="1"/>
  <c r="M668" i="1"/>
  <c r="O667" i="1" a="1"/>
  <c r="O667" i="1" s="1"/>
  <c r="N667" i="1"/>
  <c r="M667" i="1"/>
  <c r="O666" i="1" a="1"/>
  <c r="O666" i="1" s="1"/>
  <c r="N666" i="1"/>
  <c r="M666" i="1"/>
  <c r="O665" i="1" a="1"/>
  <c r="O665" i="1" s="1"/>
  <c r="N665" i="1"/>
  <c r="M665" i="1"/>
  <c r="O664" i="1" a="1"/>
  <c r="O664" i="1" s="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a="1"/>
  <c r="O658" i="1" s="1"/>
  <c r="N658" i="1"/>
  <c r="M658" i="1"/>
  <c r="O657" i="1" a="1"/>
  <c r="O657" i="1" s="1"/>
  <c r="N657" i="1"/>
  <c r="M657" i="1"/>
  <c r="O656" i="1" a="1"/>
  <c r="O656" i="1" s="1"/>
  <c r="N656" i="1"/>
  <c r="M656" i="1"/>
  <c r="O655" i="1" a="1"/>
  <c r="O655" i="1" s="1"/>
  <c r="N655" i="1"/>
  <c r="M655" i="1"/>
  <c r="O654" i="1" a="1"/>
  <c r="O654" i="1" s="1"/>
  <c r="N654" i="1"/>
  <c r="M654" i="1"/>
  <c r="O653" i="1" a="1"/>
  <c r="O653" i="1" s="1"/>
  <c r="N653" i="1"/>
  <c r="M653" i="1"/>
  <c r="O652" i="1"/>
  <c r="O652" i="1" a="1"/>
  <c r="N652" i="1"/>
  <c r="M652" i="1"/>
  <c r="O651" i="1" a="1"/>
  <c r="O651" i="1" s="1"/>
  <c r="N651" i="1"/>
  <c r="M651" i="1"/>
  <c r="O650" i="1" a="1"/>
  <c r="O650" i="1" s="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a="1"/>
  <c r="O643" i="1" s="1"/>
  <c r="N643" i="1"/>
  <c r="M643" i="1"/>
  <c r="O642" i="1" a="1"/>
  <c r="O642" i="1" s="1"/>
  <c r="N642" i="1"/>
  <c r="M642" i="1"/>
  <c r="O641" i="1" a="1"/>
  <c r="O641" i="1" s="1"/>
  <c r="N641" i="1"/>
  <c r="M641" i="1"/>
  <c r="O640" i="1" a="1"/>
  <c r="O640" i="1" s="1"/>
  <c r="N640" i="1"/>
  <c r="M640" i="1"/>
  <c r="O639" i="1" a="1"/>
  <c r="O639" i="1" s="1"/>
  <c r="N639" i="1"/>
  <c r="M639" i="1"/>
  <c r="O638" i="1" a="1"/>
  <c r="O638" i="1" s="1"/>
  <c r="N638" i="1"/>
  <c r="M638" i="1"/>
  <c r="O637" i="1" a="1"/>
  <c r="O637" i="1" s="1"/>
  <c r="N637" i="1"/>
  <c r="M637" i="1"/>
  <c r="O636" i="1" a="1"/>
  <c r="O636" i="1" s="1"/>
  <c r="N636" i="1"/>
  <c r="M636" i="1"/>
  <c r="O635" i="1" a="1"/>
  <c r="O635" i="1" s="1"/>
  <c r="N635" i="1"/>
  <c r="M635" i="1"/>
  <c r="O634" i="1" a="1"/>
  <c r="O634" i="1" s="1"/>
  <c r="N634" i="1"/>
  <c r="M634" i="1"/>
  <c r="O633" i="1" a="1"/>
  <c r="O633" i="1" s="1"/>
  <c r="N633" i="1"/>
  <c r="M633" i="1"/>
  <c r="O632" i="1" a="1"/>
  <c r="O632" i="1" s="1"/>
  <c r="N632" i="1"/>
  <c r="M632" i="1"/>
  <c r="O631" i="1" a="1"/>
  <c r="O631" i="1" s="1"/>
  <c r="N631" i="1"/>
  <c r="M631" i="1"/>
  <c r="O630" i="1" a="1"/>
  <c r="O630" i="1" s="1"/>
  <c r="N630" i="1"/>
  <c r="M630" i="1"/>
  <c r="O629" i="1" a="1"/>
  <c r="O629" i="1" s="1"/>
  <c r="N629" i="1"/>
  <c r="M629" i="1"/>
  <c r="O628" i="1" a="1"/>
  <c r="O628" i="1" s="1"/>
  <c r="N628" i="1"/>
  <c r="M628" i="1"/>
  <c r="O627" i="1" a="1"/>
  <c r="O627" i="1" s="1"/>
  <c r="N627" i="1"/>
  <c r="M627" i="1"/>
  <c r="O626" i="1" a="1"/>
  <c r="O626" i="1" s="1"/>
  <c r="N626" i="1"/>
  <c r="M626" i="1"/>
  <c r="O625" i="1" a="1"/>
  <c r="O625" i="1" s="1"/>
  <c r="N625" i="1"/>
  <c r="M625" i="1"/>
  <c r="O624" i="1"/>
  <c r="O624" i="1" a="1"/>
  <c r="N624" i="1"/>
  <c r="M624" i="1"/>
  <c r="O623" i="1" a="1"/>
  <c r="O623" i="1" s="1"/>
  <c r="N623" i="1"/>
  <c r="M623" i="1"/>
  <c r="O622" i="1" a="1"/>
  <c r="O622" i="1" s="1"/>
  <c r="N622" i="1"/>
  <c r="M622" i="1"/>
  <c r="O621" i="1" a="1"/>
  <c r="O621" i="1" s="1"/>
  <c r="N621" i="1"/>
  <c r="M621" i="1"/>
  <c r="O620" i="1" a="1"/>
  <c r="O620" i="1" s="1"/>
  <c r="N620" i="1"/>
  <c r="M620" i="1"/>
  <c r="O619" i="1" a="1"/>
  <c r="O619" i="1" s="1"/>
  <c r="N619" i="1"/>
  <c r="M619" i="1"/>
  <c r="O618" i="1" a="1"/>
  <c r="O618" i="1" s="1"/>
  <c r="N618" i="1"/>
  <c r="M618" i="1"/>
  <c r="O617" i="1" a="1"/>
  <c r="O617" i="1" s="1"/>
  <c r="N617" i="1"/>
  <c r="M617" i="1"/>
  <c r="O616" i="1" a="1"/>
  <c r="O616" i="1" s="1"/>
  <c r="N616" i="1"/>
  <c r="M616" i="1"/>
  <c r="O615" i="1" a="1"/>
  <c r="O615" i="1" s="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a="1"/>
  <c r="O608" i="1" s="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a="1"/>
  <c r="O601" i="1" s="1"/>
  <c r="N601" i="1"/>
  <c r="M601" i="1"/>
  <c r="O600" i="1" a="1"/>
  <c r="O600" i="1" s="1"/>
  <c r="N600" i="1"/>
  <c r="M600" i="1"/>
  <c r="O599" i="1" a="1"/>
  <c r="O599" i="1" s="1"/>
  <c r="N599" i="1"/>
  <c r="M599" i="1"/>
  <c r="O598" i="1"/>
  <c r="O598" i="1" a="1"/>
  <c r="N598" i="1"/>
  <c r="M598" i="1"/>
  <c r="O597" i="1" a="1"/>
  <c r="O597" i="1" s="1"/>
  <c r="N597" i="1"/>
  <c r="M597" i="1"/>
  <c r="O596" i="1" a="1"/>
  <c r="O596" i="1" s="1"/>
  <c r="N596" i="1"/>
  <c r="M596" i="1"/>
  <c r="O595" i="1" a="1"/>
  <c r="O595" i="1" s="1"/>
  <c r="N595" i="1"/>
  <c r="M595" i="1"/>
  <c r="O594" i="1" a="1"/>
  <c r="O594" i="1" s="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a="1"/>
  <c r="O587" i="1" s="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a="1"/>
  <c r="O580" i="1" s="1"/>
  <c r="N580" i="1"/>
  <c r="M580" i="1"/>
  <c r="O579" i="1" a="1"/>
  <c r="O579" i="1" s="1"/>
  <c r="N579" i="1"/>
  <c r="M579" i="1"/>
  <c r="O578" i="1" a="1"/>
  <c r="O578" i="1" s="1"/>
  <c r="N578" i="1"/>
  <c r="M578" i="1"/>
  <c r="O577" i="1" a="1"/>
  <c r="O577" i="1" s="1"/>
  <c r="N577" i="1"/>
  <c r="M577" i="1"/>
  <c r="O576" i="1" a="1"/>
  <c r="O576" i="1" s="1"/>
  <c r="N576" i="1"/>
  <c r="M576" i="1"/>
  <c r="O575" i="1" a="1"/>
  <c r="O575" i="1" s="1"/>
  <c r="N575" i="1"/>
  <c r="M575" i="1"/>
  <c r="O574" i="1" a="1"/>
  <c r="O574" i="1" s="1"/>
  <c r="N574" i="1"/>
  <c r="M574" i="1"/>
  <c r="O573" i="1" a="1"/>
  <c r="O573" i="1" s="1"/>
  <c r="N573" i="1"/>
  <c r="M573" i="1"/>
  <c r="O572" i="1" a="1"/>
  <c r="O572" i="1" s="1"/>
  <c r="N572" i="1"/>
  <c r="M572" i="1"/>
  <c r="O571" i="1" a="1"/>
  <c r="O571" i="1" s="1"/>
  <c r="N571" i="1"/>
  <c r="M571" i="1"/>
  <c r="O570" i="1" a="1"/>
  <c r="O570" i="1" s="1"/>
  <c r="N570" i="1"/>
  <c r="M570" i="1"/>
  <c r="O569" i="1"/>
  <c r="O569" i="1" a="1"/>
  <c r="N569" i="1"/>
  <c r="M569" i="1"/>
  <c r="O568" i="1" a="1"/>
  <c r="O568" i="1" s="1"/>
  <c r="N568" i="1"/>
  <c r="M568" i="1"/>
  <c r="O567" i="1" a="1"/>
  <c r="O567" i="1" s="1"/>
  <c r="N567" i="1"/>
  <c r="M567" i="1"/>
  <c r="O566" i="1" a="1"/>
  <c r="O566" i="1" s="1"/>
  <c r="N566" i="1"/>
  <c r="M566" i="1"/>
  <c r="O565" i="1" a="1"/>
  <c r="O565" i="1" s="1"/>
  <c r="N565" i="1"/>
  <c r="M565" i="1"/>
  <c r="O564" i="1" a="1"/>
  <c r="O564" i="1" s="1"/>
  <c r="N564" i="1"/>
  <c r="M564" i="1"/>
  <c r="O563" i="1" a="1"/>
  <c r="O563" i="1" s="1"/>
  <c r="N563" i="1"/>
  <c r="M563" i="1"/>
  <c r="O562" i="1" a="1"/>
  <c r="O562" i="1" s="1"/>
  <c r="N562" i="1"/>
  <c r="M562" i="1"/>
  <c r="O561" i="1" a="1"/>
  <c r="O561" i="1" s="1"/>
  <c r="N561" i="1"/>
  <c r="M561" i="1"/>
  <c r="O560" i="1"/>
  <c r="O560" i="1" a="1"/>
  <c r="N560" i="1"/>
  <c r="M560" i="1"/>
  <c r="O559" i="1" a="1"/>
  <c r="O559" i="1" s="1"/>
  <c r="N559" i="1"/>
  <c r="M559" i="1"/>
  <c r="O558" i="1" a="1"/>
  <c r="O558" i="1" s="1"/>
  <c r="N558" i="1"/>
  <c r="M558" i="1"/>
  <c r="O557" i="1" a="1"/>
  <c r="O557" i="1" s="1"/>
  <c r="N557" i="1"/>
  <c r="M557" i="1"/>
  <c r="O556" i="1" a="1"/>
  <c r="O556" i="1" s="1"/>
  <c r="N556" i="1"/>
  <c r="M556" i="1"/>
  <c r="O555" i="1" a="1"/>
  <c r="O555" i="1" s="1"/>
  <c r="N555" i="1"/>
  <c r="M555" i="1"/>
  <c r="O554" i="1" a="1"/>
  <c r="O554" i="1" s="1"/>
  <c r="N554" i="1"/>
  <c r="M554" i="1"/>
  <c r="O553" i="1" a="1"/>
  <c r="O553" i="1" s="1"/>
  <c r="N553" i="1"/>
  <c r="M553" i="1"/>
  <c r="O552" i="1" a="1"/>
  <c r="O552" i="1" s="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a="1"/>
  <c r="O545" i="1" s="1"/>
  <c r="N545" i="1"/>
  <c r="M545" i="1"/>
  <c r="O544" i="1" a="1"/>
  <c r="O544" i="1" s="1"/>
  <c r="N544" i="1"/>
  <c r="M544" i="1"/>
  <c r="O543" i="1" a="1"/>
  <c r="O543" i="1" s="1"/>
  <c r="N543" i="1"/>
  <c r="M543" i="1"/>
  <c r="O542" i="1" a="1"/>
  <c r="O542" i="1" s="1"/>
  <c r="N542" i="1"/>
  <c r="M542" i="1"/>
  <c r="O541" i="1"/>
  <c r="O541" i="1" a="1"/>
  <c r="N541" i="1"/>
  <c r="M541" i="1"/>
  <c r="O540" i="1" a="1"/>
  <c r="O540" i="1" s="1"/>
  <c r="N540" i="1"/>
  <c r="M540" i="1"/>
  <c r="O539" i="1" a="1"/>
  <c r="O539" i="1" s="1"/>
  <c r="N539" i="1"/>
  <c r="M539" i="1"/>
  <c r="O538" i="1" a="1"/>
  <c r="O538" i="1" s="1"/>
  <c r="N538" i="1"/>
  <c r="M538" i="1"/>
  <c r="O537" i="1" a="1"/>
  <c r="O537" i="1" s="1"/>
  <c r="N537" i="1"/>
  <c r="M537" i="1"/>
  <c r="O536" i="1" a="1"/>
  <c r="O536" i="1" s="1"/>
  <c r="N536" i="1"/>
  <c r="M536" i="1"/>
  <c r="O535" i="1" a="1"/>
  <c r="O535" i="1" s="1"/>
  <c r="N535" i="1"/>
  <c r="M535" i="1"/>
  <c r="O534" i="1" a="1"/>
  <c r="O534" i="1" s="1"/>
  <c r="N534" i="1"/>
  <c r="M534" i="1"/>
  <c r="O533" i="1" a="1"/>
  <c r="O533" i="1" s="1"/>
  <c r="N533" i="1"/>
  <c r="M533" i="1"/>
  <c r="O532" i="1" a="1"/>
  <c r="O532" i="1" s="1"/>
  <c r="N532" i="1"/>
  <c r="M532" i="1"/>
  <c r="O531" i="1" a="1"/>
  <c r="O531" i="1" s="1"/>
  <c r="N531" i="1"/>
  <c r="M531" i="1"/>
  <c r="O530" i="1" a="1"/>
  <c r="O530" i="1" s="1"/>
  <c r="N530" i="1"/>
  <c r="M530" i="1"/>
  <c r="O529" i="1" a="1"/>
  <c r="O529" i="1" s="1"/>
  <c r="N529" i="1"/>
  <c r="M529" i="1"/>
  <c r="O528" i="1" a="1"/>
  <c r="O528" i="1" s="1"/>
  <c r="N528" i="1"/>
  <c r="M528" i="1"/>
  <c r="O527" i="1" a="1"/>
  <c r="O527" i="1" s="1"/>
  <c r="N527" i="1"/>
  <c r="M527" i="1"/>
  <c r="O526" i="1" a="1"/>
  <c r="O526" i="1" s="1"/>
  <c r="N526" i="1"/>
  <c r="M526" i="1"/>
  <c r="O525" i="1" a="1"/>
  <c r="O525" i="1" s="1"/>
  <c r="N525" i="1"/>
  <c r="M525" i="1"/>
  <c r="O524" i="1"/>
  <c r="O524" i="1" a="1"/>
  <c r="N524" i="1"/>
  <c r="M524" i="1"/>
  <c r="O523" i="1" a="1"/>
  <c r="O523" i="1" s="1"/>
  <c r="N523" i="1"/>
  <c r="M523" i="1"/>
  <c r="O522" i="1" a="1"/>
  <c r="O522" i="1" s="1"/>
  <c r="N522" i="1"/>
  <c r="M522" i="1"/>
  <c r="O521" i="1" a="1"/>
  <c r="O521" i="1" s="1"/>
  <c r="N521" i="1"/>
  <c r="M521" i="1"/>
  <c r="O520" i="1" a="1"/>
  <c r="O520" i="1" s="1"/>
  <c r="N520" i="1"/>
  <c r="M520" i="1"/>
  <c r="O519" i="1" a="1"/>
  <c r="O519" i="1" s="1"/>
  <c r="N519" i="1"/>
  <c r="M519" i="1"/>
  <c r="O518" i="1" a="1"/>
  <c r="O518" i="1" s="1"/>
  <c r="N518" i="1"/>
  <c r="M518" i="1"/>
  <c r="O517" i="1" a="1"/>
  <c r="O517" i="1" s="1"/>
  <c r="N517" i="1"/>
  <c r="M517" i="1"/>
  <c r="O516" i="1" a="1"/>
  <c r="O516" i="1" s="1"/>
  <c r="N516" i="1"/>
  <c r="M516" i="1"/>
  <c r="O515" i="1"/>
  <c r="O515" i="1" a="1"/>
  <c r="N515" i="1"/>
  <c r="M515" i="1"/>
  <c r="O514" i="1" a="1"/>
  <c r="O514" i="1" s="1"/>
  <c r="N514" i="1"/>
  <c r="M514" i="1"/>
  <c r="O513" i="1" a="1"/>
  <c r="O513" i="1" s="1"/>
  <c r="N513" i="1"/>
  <c r="M513" i="1"/>
  <c r="O512" i="1" a="1"/>
  <c r="O512" i="1" s="1"/>
  <c r="N512" i="1"/>
  <c r="M512" i="1"/>
  <c r="O511" i="1" a="1"/>
  <c r="O511" i="1" s="1"/>
  <c r="N511" i="1"/>
  <c r="M511" i="1"/>
  <c r="O510" i="1"/>
  <c r="O510" i="1" a="1"/>
  <c r="N510" i="1"/>
  <c r="M510" i="1"/>
  <c r="O509" i="1" a="1"/>
  <c r="O509" i="1" s="1"/>
  <c r="N509" i="1"/>
  <c r="M509" i="1"/>
  <c r="O508" i="1" a="1"/>
  <c r="O508" i="1" s="1"/>
  <c r="N508" i="1"/>
  <c r="M508" i="1"/>
  <c r="O507" i="1" a="1"/>
  <c r="O507" i="1" s="1"/>
  <c r="N507" i="1"/>
  <c r="M507" i="1"/>
  <c r="O506" i="1" a="1"/>
  <c r="O506" i="1" s="1"/>
  <c r="N506" i="1"/>
  <c r="M506" i="1"/>
  <c r="O505" i="1" a="1"/>
  <c r="O505" i="1" s="1"/>
  <c r="N505" i="1"/>
  <c r="M505" i="1"/>
  <c r="O504" i="1" a="1"/>
  <c r="O504" i="1" s="1"/>
  <c r="N504" i="1"/>
  <c r="M504" i="1"/>
  <c r="O503" i="1" a="1"/>
  <c r="O503" i="1" s="1"/>
  <c r="N503" i="1"/>
  <c r="M503" i="1"/>
  <c r="O502" i="1" a="1"/>
  <c r="O502" i="1" s="1"/>
  <c r="N502" i="1"/>
  <c r="M502" i="1"/>
  <c r="O501" i="1" a="1"/>
  <c r="O501" i="1" s="1"/>
  <c r="N501" i="1"/>
  <c r="M501" i="1"/>
  <c r="O500" i="1" a="1"/>
  <c r="O500" i="1" s="1"/>
  <c r="N500" i="1"/>
  <c r="M500" i="1"/>
  <c r="O499" i="1" a="1"/>
  <c r="O499" i="1" s="1"/>
  <c r="N499" i="1"/>
  <c r="M499" i="1"/>
  <c r="O498" i="1" a="1"/>
  <c r="O498" i="1" s="1"/>
  <c r="N498" i="1"/>
  <c r="M498" i="1"/>
  <c r="O497" i="1"/>
  <c r="O497" i="1" a="1"/>
  <c r="N497" i="1"/>
  <c r="M497" i="1"/>
  <c r="O496" i="1" a="1"/>
  <c r="O496" i="1" s="1"/>
  <c r="N496" i="1"/>
  <c r="M496" i="1"/>
  <c r="O495" i="1" a="1"/>
  <c r="O495" i="1" s="1"/>
  <c r="N495" i="1"/>
  <c r="M495" i="1"/>
  <c r="O494" i="1" a="1"/>
  <c r="O494" i="1" s="1"/>
  <c r="N494" i="1"/>
  <c r="M494" i="1"/>
  <c r="O493" i="1" a="1"/>
  <c r="O493" i="1" s="1"/>
  <c r="N493" i="1"/>
  <c r="M493" i="1"/>
  <c r="O492" i="1" a="1"/>
  <c r="O492" i="1" s="1"/>
  <c r="N492" i="1"/>
  <c r="M492" i="1"/>
  <c r="O491" i="1" a="1"/>
  <c r="O491" i="1" s="1"/>
  <c r="N491" i="1"/>
  <c r="M491" i="1"/>
  <c r="O490" i="1" a="1"/>
  <c r="O490" i="1" s="1"/>
  <c r="N490" i="1"/>
  <c r="M490" i="1"/>
  <c r="O489" i="1" a="1"/>
  <c r="O489" i="1" s="1"/>
  <c r="N489" i="1"/>
  <c r="M489" i="1"/>
  <c r="O488" i="1" a="1"/>
  <c r="O488" i="1" s="1"/>
  <c r="N488" i="1"/>
  <c r="M488" i="1"/>
  <c r="O487" i="1" a="1"/>
  <c r="O487" i="1" s="1"/>
  <c r="N487" i="1"/>
  <c r="M487" i="1"/>
  <c r="O486" i="1" a="1"/>
  <c r="O486" i="1" s="1"/>
  <c r="N486" i="1"/>
  <c r="M486" i="1"/>
  <c r="O485" i="1" a="1"/>
  <c r="O485" i="1" s="1"/>
  <c r="N485" i="1"/>
  <c r="M485" i="1"/>
  <c r="O484" i="1" a="1"/>
  <c r="O484" i="1" s="1"/>
  <c r="N484" i="1"/>
  <c r="M484" i="1"/>
  <c r="O483" i="1" a="1"/>
  <c r="O483" i="1" s="1"/>
  <c r="N483" i="1"/>
  <c r="M483" i="1"/>
  <c r="O482" i="1" a="1"/>
  <c r="O482" i="1" s="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a="1"/>
  <c r="O476" i="1" s="1"/>
  <c r="N476" i="1"/>
  <c r="M476" i="1"/>
  <c r="O475" i="1" a="1"/>
  <c r="O475" i="1" s="1"/>
  <c r="N475" i="1"/>
  <c r="M475" i="1"/>
  <c r="O474" i="1" a="1"/>
  <c r="O474" i="1" s="1"/>
  <c r="N474" i="1"/>
  <c r="M474" i="1"/>
  <c r="O473" i="1" a="1"/>
  <c r="O473" i="1" s="1"/>
  <c r="N473" i="1"/>
  <c r="M473" i="1"/>
  <c r="O472" i="1" a="1"/>
  <c r="O472" i="1" s="1"/>
  <c r="N472" i="1"/>
  <c r="M472" i="1"/>
  <c r="O471" i="1" a="1"/>
  <c r="O471" i="1" s="1"/>
  <c r="N471" i="1"/>
  <c r="M471" i="1"/>
  <c r="O470" i="1" a="1"/>
  <c r="O470" i="1" s="1"/>
  <c r="N470" i="1"/>
  <c r="M470" i="1"/>
  <c r="O469" i="1" a="1"/>
  <c r="O469" i="1" s="1"/>
  <c r="N469" i="1"/>
  <c r="M469" i="1"/>
  <c r="O468" i="1" a="1"/>
  <c r="O468" i="1" s="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a="1"/>
  <c r="O461" i="1" s="1"/>
  <c r="N461" i="1"/>
  <c r="M461" i="1"/>
  <c r="O460" i="1" a="1"/>
  <c r="O460" i="1" s="1"/>
  <c r="N460" i="1"/>
  <c r="M460" i="1"/>
  <c r="O459" i="1" a="1"/>
  <c r="O459" i="1" s="1"/>
  <c r="N459" i="1"/>
  <c r="M459" i="1"/>
  <c r="O458" i="1" a="1"/>
  <c r="O458" i="1" s="1"/>
  <c r="N458" i="1"/>
  <c r="M458" i="1"/>
  <c r="O457" i="1" a="1"/>
  <c r="O457" i="1" s="1"/>
  <c r="N457" i="1"/>
  <c r="M457" i="1"/>
  <c r="O456" i="1" a="1"/>
  <c r="O456" i="1" s="1"/>
  <c r="N456" i="1"/>
  <c r="M456" i="1"/>
  <c r="O455" i="1" a="1"/>
  <c r="O455" i="1" s="1"/>
  <c r="N455" i="1"/>
  <c r="M455" i="1"/>
  <c r="O454" i="1" a="1"/>
  <c r="O454" i="1" s="1"/>
  <c r="N454" i="1"/>
  <c r="M454" i="1"/>
  <c r="O453" i="1" a="1"/>
  <c r="O453" i="1" s="1"/>
  <c r="N453" i="1"/>
  <c r="M453" i="1"/>
  <c r="O452" i="1" a="1"/>
  <c r="O452" i="1" s="1"/>
  <c r="N452" i="1"/>
  <c r="M452" i="1"/>
  <c r="O451" i="1" a="1"/>
  <c r="O451" i="1" s="1"/>
  <c r="N451" i="1"/>
  <c r="M451" i="1"/>
  <c r="O450" i="1" a="1"/>
  <c r="O450" i="1" s="1"/>
  <c r="N450" i="1"/>
  <c r="M450" i="1"/>
  <c r="O449" i="1" a="1"/>
  <c r="O449" i="1" s="1"/>
  <c r="N449" i="1"/>
  <c r="M449" i="1"/>
  <c r="O448" i="1" a="1"/>
  <c r="O448" i="1" s="1"/>
  <c r="N448" i="1"/>
  <c r="M448" i="1"/>
  <c r="O447" i="1" a="1"/>
  <c r="O447" i="1" s="1"/>
  <c r="N447" i="1"/>
  <c r="M447" i="1"/>
  <c r="O446" i="1" a="1"/>
  <c r="O446" i="1" s="1"/>
  <c r="N446" i="1"/>
  <c r="M446" i="1"/>
  <c r="O445" i="1" a="1"/>
  <c r="O445" i="1" s="1"/>
  <c r="N445" i="1"/>
  <c r="M445" i="1"/>
  <c r="O444" i="1" a="1"/>
  <c r="O444" i="1" s="1"/>
  <c r="N444" i="1"/>
  <c r="M444" i="1"/>
  <c r="O443" i="1" a="1"/>
  <c r="O443" i="1" s="1"/>
  <c r="N443" i="1"/>
  <c r="M443" i="1"/>
  <c r="O442" i="1" a="1"/>
  <c r="O442" i="1" s="1"/>
  <c r="N442" i="1"/>
  <c r="M442" i="1"/>
  <c r="O441" i="1" a="1"/>
  <c r="O441" i="1" s="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a="1"/>
  <c r="O433" i="1" s="1"/>
  <c r="N433" i="1"/>
  <c r="M433" i="1"/>
  <c r="O432" i="1" a="1"/>
  <c r="O432" i="1" s="1"/>
  <c r="N432" i="1"/>
  <c r="M432" i="1"/>
  <c r="O431" i="1"/>
  <c r="O431" i="1" a="1"/>
  <c r="N431" i="1"/>
  <c r="M431" i="1"/>
  <c r="O430" i="1" a="1"/>
  <c r="O430" i="1" s="1"/>
  <c r="N430" i="1"/>
  <c r="M430" i="1"/>
  <c r="O429" i="1" a="1"/>
  <c r="O429" i="1" s="1"/>
  <c r="N429" i="1"/>
  <c r="M429" i="1"/>
  <c r="O428" i="1" a="1"/>
  <c r="O428" i="1" s="1"/>
  <c r="N428" i="1"/>
  <c r="M428" i="1"/>
  <c r="O427" i="1" a="1"/>
  <c r="O427" i="1" s="1"/>
  <c r="N427" i="1"/>
  <c r="M427" i="1"/>
  <c r="O426" i="1" a="1"/>
  <c r="O426" i="1" s="1"/>
  <c r="N426" i="1"/>
  <c r="M426" i="1"/>
  <c r="O425" i="1" a="1"/>
  <c r="O425" i="1" s="1"/>
  <c r="N425" i="1"/>
  <c r="M425" i="1"/>
  <c r="O424" i="1" a="1"/>
  <c r="O424" i="1" s="1"/>
  <c r="N424" i="1"/>
  <c r="M424" i="1"/>
  <c r="O423" i="1" a="1"/>
  <c r="O423" i="1" s="1"/>
  <c r="N423" i="1"/>
  <c r="M423" i="1"/>
  <c r="O422" i="1" a="1"/>
  <c r="O422" i="1" s="1"/>
  <c r="N422" i="1"/>
  <c r="M422" i="1"/>
  <c r="O421" i="1" a="1"/>
  <c r="O421" i="1" s="1"/>
  <c r="N421" i="1"/>
  <c r="M421" i="1"/>
  <c r="O420" i="1" a="1"/>
  <c r="O420" i="1" s="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a="1"/>
  <c r="O414" i="1" s="1"/>
  <c r="N414" i="1"/>
  <c r="M414" i="1"/>
  <c r="O413" i="1" a="1"/>
  <c r="O413" i="1" s="1"/>
  <c r="N413" i="1"/>
  <c r="M413" i="1"/>
  <c r="O412" i="1" a="1"/>
  <c r="O412" i="1" s="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a="1"/>
  <c r="O403" i="1" s="1"/>
  <c r="N403" i="1"/>
  <c r="M403" i="1"/>
  <c r="O402" i="1" a="1"/>
  <c r="O402" i="1" s="1"/>
  <c r="N402" i="1"/>
  <c r="M402" i="1"/>
  <c r="O401" i="1" a="1"/>
  <c r="O401" i="1" s="1"/>
  <c r="N401" i="1"/>
  <c r="M401" i="1"/>
  <c r="O400" i="1" a="1"/>
  <c r="O400" i="1" s="1"/>
  <c r="N400" i="1"/>
  <c r="M400" i="1"/>
  <c r="O399" i="1" a="1"/>
  <c r="O399" i="1" s="1"/>
  <c r="N399" i="1"/>
  <c r="M399" i="1"/>
  <c r="O398" i="1" a="1"/>
  <c r="O398" i="1" s="1"/>
  <c r="N398" i="1"/>
  <c r="M398" i="1"/>
  <c r="O397" i="1" a="1"/>
  <c r="O397" i="1" s="1"/>
  <c r="N397" i="1"/>
  <c r="M397" i="1"/>
  <c r="O396" i="1" a="1"/>
  <c r="O396" i="1" s="1"/>
  <c r="N396" i="1"/>
  <c r="M396" i="1"/>
  <c r="O395" i="1" a="1"/>
  <c r="O395" i="1" s="1"/>
  <c r="N395" i="1"/>
  <c r="M395" i="1"/>
  <c r="O394" i="1" a="1"/>
  <c r="O394" i="1" s="1"/>
  <c r="N394" i="1"/>
  <c r="M394" i="1"/>
  <c r="O393" i="1" a="1"/>
  <c r="O393" i="1" s="1"/>
  <c r="N393" i="1"/>
  <c r="M393" i="1"/>
  <c r="O392" i="1" a="1"/>
  <c r="O392" i="1" s="1"/>
  <c r="N392" i="1"/>
  <c r="M392" i="1"/>
  <c r="O391" i="1" a="1"/>
  <c r="O391" i="1" s="1"/>
  <c r="N391" i="1"/>
  <c r="M391" i="1"/>
  <c r="O390" i="1" a="1"/>
  <c r="O390" i="1" s="1"/>
  <c r="N390" i="1"/>
  <c r="M390" i="1"/>
  <c r="O389" i="1" a="1"/>
  <c r="O389" i="1" s="1"/>
  <c r="N389" i="1"/>
  <c r="M389" i="1"/>
  <c r="O388" i="1"/>
  <c r="O388" i="1" a="1"/>
  <c r="N388" i="1"/>
  <c r="M388" i="1"/>
  <c r="O387" i="1" a="1"/>
  <c r="O387" i="1" s="1"/>
  <c r="N387" i="1"/>
  <c r="M387" i="1"/>
  <c r="O386" i="1" a="1"/>
  <c r="O386" i="1" s="1"/>
  <c r="N386" i="1"/>
  <c r="M386" i="1"/>
  <c r="O385" i="1" a="1"/>
  <c r="O385" i="1" s="1"/>
  <c r="N385" i="1"/>
  <c r="M385" i="1"/>
  <c r="O384" i="1" a="1"/>
  <c r="O384" i="1" s="1"/>
  <c r="N384" i="1"/>
  <c r="M384" i="1"/>
  <c r="O383" i="1" a="1"/>
  <c r="O383" i="1" s="1"/>
  <c r="N383" i="1"/>
  <c r="M383" i="1"/>
  <c r="O382" i="1" a="1"/>
  <c r="O382" i="1" s="1"/>
  <c r="N382" i="1"/>
  <c r="M382" i="1"/>
  <c r="O381" i="1" a="1"/>
  <c r="O381" i="1" s="1"/>
  <c r="N381" i="1"/>
  <c r="M381" i="1"/>
  <c r="O380" i="1" a="1"/>
  <c r="O380" i="1" s="1"/>
  <c r="N380" i="1"/>
  <c r="M380" i="1"/>
  <c r="O379" i="1" a="1"/>
  <c r="O379" i="1" s="1"/>
  <c r="N379" i="1"/>
  <c r="M379" i="1"/>
  <c r="O378" i="1" a="1"/>
  <c r="O378" i="1" s="1"/>
  <c r="N378" i="1"/>
  <c r="M378" i="1"/>
  <c r="O377" i="1" a="1"/>
  <c r="O377" i="1" s="1"/>
  <c r="N377" i="1"/>
  <c r="M377" i="1"/>
  <c r="O376" i="1" a="1"/>
  <c r="O376" i="1" s="1"/>
  <c r="N376" i="1"/>
  <c r="M376" i="1"/>
  <c r="O375" i="1" a="1"/>
  <c r="O375" i="1" s="1"/>
  <c r="N375" i="1"/>
  <c r="M375" i="1"/>
  <c r="O374" i="1" a="1"/>
  <c r="O374" i="1" s="1"/>
  <c r="N374" i="1"/>
  <c r="M374" i="1"/>
  <c r="O373" i="1" a="1"/>
  <c r="O373" i="1" s="1"/>
  <c r="N373" i="1"/>
  <c r="M373" i="1"/>
  <c r="O372" i="1" a="1"/>
  <c r="O372" i="1" s="1"/>
  <c r="N372" i="1"/>
  <c r="M372" i="1"/>
  <c r="O371" i="1"/>
  <c r="O371" i="1" a="1"/>
  <c r="N371" i="1"/>
  <c r="M371" i="1"/>
  <c r="O370" i="1" a="1"/>
  <c r="O370" i="1" s="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a="1"/>
  <c r="O363" i="1" s="1"/>
  <c r="N363" i="1"/>
  <c r="M363" i="1"/>
  <c r="O362" i="1" a="1"/>
  <c r="O362" i="1" s="1"/>
  <c r="N362" i="1"/>
  <c r="M362" i="1"/>
  <c r="O361" i="1" a="1"/>
  <c r="O361" i="1" s="1"/>
  <c r="N361" i="1"/>
  <c r="M361" i="1"/>
  <c r="O360" i="1" a="1"/>
  <c r="O360" i="1" s="1"/>
  <c r="N360" i="1"/>
  <c r="M360" i="1"/>
  <c r="O359" i="1" a="1"/>
  <c r="O359" i="1" s="1"/>
  <c r="N359" i="1"/>
  <c r="M359" i="1"/>
  <c r="O358" i="1" a="1"/>
  <c r="O358" i="1" s="1"/>
  <c r="N358" i="1"/>
  <c r="M358" i="1"/>
  <c r="O357" i="1" a="1"/>
  <c r="O357" i="1" s="1"/>
  <c r="N357" i="1"/>
  <c r="M357" i="1"/>
  <c r="O356" i="1" a="1"/>
  <c r="O356" i="1" s="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a="1"/>
  <c r="O350" i="1" s="1"/>
  <c r="N350" i="1"/>
  <c r="M350" i="1"/>
  <c r="O349" i="1" a="1"/>
  <c r="O349" i="1" s="1"/>
  <c r="N349" i="1"/>
  <c r="M349" i="1"/>
  <c r="O348" i="1" a="1"/>
  <c r="O348" i="1" s="1"/>
  <c r="N348" i="1"/>
  <c r="M348" i="1"/>
  <c r="O347" i="1"/>
  <c r="O347" i="1" a="1"/>
  <c r="N347" i="1"/>
  <c r="M347" i="1"/>
  <c r="O346" i="1" a="1"/>
  <c r="O346" i="1" s="1"/>
  <c r="N346" i="1"/>
  <c r="M346" i="1"/>
  <c r="O345" i="1" a="1"/>
  <c r="O345" i="1" s="1"/>
  <c r="N345" i="1"/>
  <c r="M345" i="1"/>
  <c r="O344" i="1"/>
  <c r="O344" i="1" a="1"/>
  <c r="N344" i="1"/>
  <c r="M344" i="1"/>
  <c r="O343" i="1" a="1"/>
  <c r="O343" i="1" s="1"/>
  <c r="N343" i="1"/>
  <c r="M343" i="1"/>
  <c r="O342" i="1" a="1"/>
  <c r="O342" i="1" s="1"/>
  <c r="N342" i="1"/>
  <c r="M342" i="1"/>
  <c r="O341" i="1" a="1"/>
  <c r="O341" i="1" s="1"/>
  <c r="N341" i="1"/>
  <c r="M341" i="1"/>
  <c r="O340" i="1" a="1"/>
  <c r="O340" i="1" s="1"/>
  <c r="N340" i="1"/>
  <c r="M340" i="1"/>
  <c r="O339" i="1" a="1"/>
  <c r="O339" i="1" s="1"/>
  <c r="N339" i="1"/>
  <c r="M339" i="1"/>
  <c r="O338" i="1" a="1"/>
  <c r="O338" i="1" s="1"/>
  <c r="N338" i="1"/>
  <c r="M338" i="1"/>
  <c r="O337" i="1" a="1"/>
  <c r="O337" i="1" s="1"/>
  <c r="N337" i="1"/>
  <c r="M337" i="1"/>
  <c r="O336" i="1" a="1"/>
  <c r="O336" i="1" s="1"/>
  <c r="N336" i="1"/>
  <c r="M336" i="1"/>
  <c r="O335" i="1" a="1"/>
  <c r="O335" i="1" s="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a="1"/>
  <c r="O325" i="1" s="1"/>
  <c r="N325" i="1"/>
  <c r="M325" i="1"/>
  <c r="O324" i="1" a="1"/>
  <c r="O324" i="1" s="1"/>
  <c r="N324" i="1"/>
  <c r="M324" i="1"/>
  <c r="O323" i="1" a="1"/>
  <c r="O323" i="1" s="1"/>
  <c r="N323" i="1"/>
  <c r="M323" i="1"/>
  <c r="O322" i="1" a="1"/>
  <c r="O322" i="1" s="1"/>
  <c r="N322" i="1"/>
  <c r="M322" i="1"/>
  <c r="O321" i="1" a="1"/>
  <c r="O321" i="1" s="1"/>
  <c r="N321" i="1"/>
  <c r="M321" i="1"/>
  <c r="O320" i="1" a="1"/>
  <c r="O320" i="1" s="1"/>
  <c r="N320" i="1"/>
  <c r="M320" i="1"/>
  <c r="O319" i="1" a="1"/>
  <c r="O319" i="1" s="1"/>
  <c r="N319" i="1"/>
  <c r="M319" i="1"/>
  <c r="O318" i="1" a="1"/>
  <c r="O318" i="1" s="1"/>
  <c r="N318" i="1"/>
  <c r="M318" i="1"/>
  <c r="O317" i="1" a="1"/>
  <c r="O317" i="1" s="1"/>
  <c r="N317" i="1"/>
  <c r="M317" i="1"/>
  <c r="O316" i="1" a="1"/>
  <c r="O316" i="1" s="1"/>
  <c r="N316" i="1"/>
  <c r="M316" i="1"/>
  <c r="O315" i="1" a="1"/>
  <c r="O315" i="1" s="1"/>
  <c r="N315" i="1"/>
  <c r="M315" i="1"/>
  <c r="O314" i="1" a="1"/>
  <c r="O314" i="1" s="1"/>
  <c r="N314" i="1"/>
  <c r="M314" i="1"/>
  <c r="O313" i="1" a="1"/>
  <c r="O313" i="1" s="1"/>
  <c r="N313" i="1"/>
  <c r="M313" i="1"/>
  <c r="O312" i="1" a="1"/>
  <c r="O312" i="1" s="1"/>
  <c r="N312" i="1"/>
  <c r="M312" i="1"/>
  <c r="O311" i="1" a="1"/>
  <c r="O311" i="1" s="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a="1"/>
  <c r="O303" i="1" s="1"/>
  <c r="N303" i="1"/>
  <c r="M303" i="1"/>
  <c r="O302" i="1"/>
  <c r="O302" i="1" a="1"/>
  <c r="N302" i="1"/>
  <c r="M302" i="1"/>
  <c r="O301" i="1" a="1"/>
  <c r="O301" i="1" s="1"/>
  <c r="N301" i="1"/>
  <c r="M301" i="1"/>
  <c r="O300" i="1" a="1"/>
  <c r="O300" i="1" s="1"/>
  <c r="N300" i="1"/>
  <c r="M300" i="1"/>
  <c r="O299" i="1" a="1"/>
  <c r="O299" i="1" s="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a="1"/>
  <c r="O290" i="1" s="1"/>
  <c r="N290" i="1"/>
  <c r="M290" i="1"/>
  <c r="O289" i="1" a="1"/>
  <c r="O289" i="1" s="1"/>
  <c r="N289" i="1"/>
  <c r="M289" i="1"/>
  <c r="O288" i="1" a="1"/>
  <c r="O288" i="1" s="1"/>
  <c r="N288" i="1"/>
  <c r="M288" i="1"/>
  <c r="O287" i="1" a="1"/>
  <c r="O287" i="1" s="1"/>
  <c r="N287" i="1"/>
  <c r="M287" i="1"/>
  <c r="O286" i="1" a="1"/>
  <c r="O286" i="1" s="1"/>
  <c r="N286" i="1"/>
  <c r="M286" i="1"/>
  <c r="O285" i="1" a="1"/>
  <c r="O285" i="1" s="1"/>
  <c r="N285" i="1"/>
  <c r="M285" i="1"/>
  <c r="O284" i="1" a="1"/>
  <c r="O284" i="1" s="1"/>
  <c r="N284" i="1"/>
  <c r="M284" i="1"/>
  <c r="O283" i="1" a="1"/>
  <c r="O283" i="1" s="1"/>
  <c r="N283" i="1"/>
  <c r="M283" i="1"/>
  <c r="O282" i="1" a="1"/>
  <c r="O282" i="1" s="1"/>
  <c r="N282" i="1"/>
  <c r="M282" i="1"/>
  <c r="O281" i="1" a="1"/>
  <c r="O281" i="1" s="1"/>
  <c r="N281" i="1"/>
  <c r="M281" i="1"/>
  <c r="O280" i="1" a="1"/>
  <c r="O280" i="1" s="1"/>
  <c r="N280" i="1"/>
  <c r="M280" i="1"/>
  <c r="O279" i="1" a="1"/>
  <c r="O279" i="1" s="1"/>
  <c r="N279" i="1"/>
  <c r="M279" i="1"/>
  <c r="O278" i="1" a="1"/>
  <c r="O278" i="1" s="1"/>
  <c r="N278" i="1"/>
  <c r="M278" i="1"/>
  <c r="O277" i="1" a="1"/>
  <c r="O277" i="1" s="1"/>
  <c r="N277" i="1"/>
  <c r="M277" i="1"/>
  <c r="O276" i="1"/>
  <c r="O276" i="1" a="1"/>
  <c r="N276" i="1"/>
  <c r="M276" i="1"/>
  <c r="O275" i="1" a="1"/>
  <c r="O275" i="1" s="1"/>
  <c r="N275" i="1"/>
  <c r="M275" i="1"/>
  <c r="O274" i="1" a="1"/>
  <c r="O274" i="1" s="1"/>
  <c r="N274" i="1"/>
  <c r="M274" i="1"/>
  <c r="O273" i="1" a="1"/>
  <c r="O273" i="1" s="1"/>
  <c r="N273" i="1"/>
  <c r="M273" i="1"/>
  <c r="O272" i="1" a="1"/>
  <c r="O272" i="1" s="1"/>
  <c r="N272" i="1"/>
  <c r="M272" i="1"/>
  <c r="O271" i="1" a="1"/>
  <c r="O271" i="1" s="1"/>
  <c r="N271" i="1"/>
  <c r="M271" i="1"/>
  <c r="O270" i="1" a="1"/>
  <c r="O270" i="1" s="1"/>
  <c r="N270" i="1"/>
  <c r="M270" i="1"/>
  <c r="O269" i="1"/>
  <c r="O269" i="1" a="1"/>
  <c r="N269" i="1"/>
  <c r="M269" i="1"/>
  <c r="O268" i="1" a="1"/>
  <c r="O268" i="1" s="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a="1"/>
  <c r="O262" i="1" s="1"/>
  <c r="N262" i="1"/>
  <c r="M262" i="1"/>
  <c r="O261" i="1" a="1"/>
  <c r="O261" i="1" s="1"/>
  <c r="N261" i="1"/>
  <c r="M261" i="1"/>
  <c r="O260" i="1" a="1"/>
  <c r="O260" i="1" s="1"/>
  <c r="N260" i="1"/>
  <c r="M260" i="1"/>
  <c r="O259" i="1" a="1"/>
  <c r="O259" i="1" s="1"/>
  <c r="N259" i="1"/>
  <c r="M259" i="1"/>
  <c r="O258" i="1" a="1"/>
  <c r="O258" i="1" s="1"/>
  <c r="N258" i="1"/>
  <c r="M258" i="1"/>
  <c r="O257" i="1" a="1"/>
  <c r="O257" i="1" s="1"/>
  <c r="N257" i="1"/>
  <c r="M257" i="1"/>
  <c r="O256" i="1" a="1"/>
  <c r="O256" i="1" s="1"/>
  <c r="N256" i="1"/>
  <c r="M256" i="1"/>
  <c r="O255" i="1" a="1"/>
  <c r="O255" i="1" s="1"/>
  <c r="N255" i="1"/>
  <c r="M255" i="1"/>
  <c r="O254" i="1" a="1"/>
  <c r="O254" i="1" s="1"/>
  <c r="N254" i="1"/>
  <c r="M254" i="1"/>
  <c r="O253" i="1" a="1"/>
  <c r="O253" i="1" s="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a="1"/>
  <c r="O234" i="1" s="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a="1"/>
  <c r="O219" i="1" s="1"/>
  <c r="N219" i="1"/>
  <c r="M219" i="1"/>
  <c r="O218" i="1" a="1"/>
  <c r="O218" i="1" s="1"/>
  <c r="N218" i="1"/>
  <c r="M218" i="1"/>
  <c r="O217" i="1" a="1"/>
  <c r="O217" i="1" s="1"/>
  <c r="N217" i="1"/>
  <c r="M217" i="1"/>
  <c r="O216" i="1" a="1"/>
  <c r="O216" i="1" s="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a="1"/>
  <c r="O205" i="1" s="1"/>
  <c r="N205" i="1"/>
  <c r="M205" i="1"/>
  <c r="O204" i="1" a="1"/>
  <c r="O204" i="1" s="1"/>
  <c r="N204" i="1"/>
  <c r="M204" i="1"/>
  <c r="O203" i="1" a="1"/>
  <c r="O203" i="1" s="1"/>
  <c r="N203" i="1"/>
  <c r="M203" i="1"/>
  <c r="O202" i="1" a="1"/>
  <c r="O202" i="1" s="1"/>
  <c r="N202" i="1"/>
  <c r="M202" i="1"/>
  <c r="O201" i="1" a="1"/>
  <c r="O201" i="1" s="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a="1"/>
  <c r="O195" i="1" s="1"/>
  <c r="N195" i="1"/>
  <c r="M195" i="1"/>
  <c r="O194" i="1" a="1"/>
  <c r="O194" i="1" s="1"/>
  <c r="N194" i="1"/>
  <c r="M194" i="1"/>
  <c r="O193" i="1" a="1"/>
  <c r="O193" i="1" s="1"/>
  <c r="N193" i="1"/>
  <c r="M193" i="1"/>
  <c r="O192" i="1"/>
  <c r="O192" i="1" a="1"/>
  <c r="N192" i="1"/>
  <c r="M192" i="1"/>
  <c r="O191" i="1" a="1"/>
  <c r="O191" i="1" s="1"/>
  <c r="N191" i="1"/>
  <c r="M191" i="1"/>
  <c r="O190" i="1" a="1"/>
  <c r="O190" i="1" s="1"/>
  <c r="N190" i="1"/>
  <c r="M190" i="1"/>
  <c r="O189" i="1" a="1"/>
  <c r="O189" i="1" s="1"/>
  <c r="N189" i="1"/>
  <c r="M189" i="1"/>
  <c r="O188" i="1" a="1"/>
  <c r="O188" i="1" s="1"/>
  <c r="N188" i="1"/>
  <c r="M188" i="1"/>
  <c r="O187" i="1" a="1"/>
  <c r="O187" i="1" s="1"/>
  <c r="N187" i="1"/>
  <c r="M187" i="1"/>
  <c r="O186" i="1" a="1"/>
  <c r="O186" i="1" s="1"/>
  <c r="N186" i="1"/>
  <c r="M186" i="1"/>
  <c r="O185" i="1" a="1"/>
  <c r="O185" i="1" s="1"/>
  <c r="N185" i="1"/>
  <c r="M185" i="1"/>
  <c r="O184" i="1" a="1"/>
  <c r="O184" i="1" s="1"/>
  <c r="N184" i="1"/>
  <c r="M184" i="1"/>
  <c r="O183" i="1" a="1"/>
  <c r="O183" i="1" s="1"/>
  <c r="N183" i="1"/>
  <c r="M183" i="1"/>
  <c r="O182" i="1" a="1"/>
  <c r="O182" i="1" s="1"/>
  <c r="N182" i="1"/>
  <c r="M182" i="1"/>
  <c r="O181" i="1" a="1"/>
  <c r="O181" i="1" s="1"/>
  <c r="N181" i="1"/>
  <c r="M181" i="1"/>
  <c r="O180" i="1" a="1"/>
  <c r="O180" i="1" s="1"/>
  <c r="N180" i="1"/>
  <c r="M180" i="1"/>
  <c r="O179" i="1" a="1"/>
  <c r="O179" i="1" s="1"/>
  <c r="N179" i="1"/>
  <c r="M179" i="1"/>
  <c r="O178" i="1" a="1"/>
  <c r="O178" i="1" s="1"/>
  <c r="N178" i="1"/>
  <c r="M178" i="1"/>
  <c r="O177" i="1" a="1"/>
  <c r="O177" i="1" s="1"/>
  <c r="N177" i="1"/>
  <c r="M177" i="1"/>
  <c r="O176" i="1" a="1"/>
  <c r="O176" i="1" s="1"/>
  <c r="N176" i="1"/>
  <c r="M176" i="1"/>
  <c r="O175" i="1" a="1"/>
  <c r="O175" i="1" s="1"/>
  <c r="N175" i="1"/>
  <c r="M175" i="1"/>
  <c r="O174" i="1" a="1"/>
  <c r="O174" i="1" s="1"/>
  <c r="N174" i="1"/>
  <c r="M174" i="1"/>
  <c r="O173" i="1" a="1"/>
  <c r="O173" i="1" s="1"/>
  <c r="N173" i="1"/>
  <c r="M173" i="1"/>
  <c r="O172" i="1" a="1"/>
  <c r="O172" i="1" s="1"/>
  <c r="N172" i="1"/>
  <c r="M172" i="1"/>
  <c r="O171" i="1" a="1"/>
  <c r="O171" i="1" s="1"/>
  <c r="N171" i="1"/>
  <c r="M171" i="1"/>
  <c r="O170" i="1" a="1"/>
  <c r="O170" i="1" s="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a="1"/>
  <c r="O162" i="1" s="1"/>
  <c r="N162" i="1"/>
  <c r="M162" i="1"/>
  <c r="O161" i="1" a="1"/>
  <c r="O161" i="1" s="1"/>
  <c r="N161" i="1"/>
  <c r="M161" i="1"/>
  <c r="O160" i="1" a="1"/>
  <c r="O160" i="1" s="1"/>
  <c r="N160" i="1"/>
  <c r="M160" i="1"/>
  <c r="O159" i="1" a="1"/>
  <c r="O159" i="1" s="1"/>
  <c r="N159" i="1"/>
  <c r="M159" i="1"/>
  <c r="O158" i="1" a="1"/>
  <c r="O158" i="1" s="1"/>
  <c r="N158" i="1"/>
  <c r="M158" i="1"/>
  <c r="O157" i="1" a="1"/>
  <c r="O157" i="1" s="1"/>
  <c r="N157" i="1"/>
  <c r="M157" i="1"/>
  <c r="O156" i="1" a="1"/>
  <c r="O156" i="1" s="1"/>
  <c r="N156" i="1"/>
  <c r="M156" i="1"/>
  <c r="O155" i="1" a="1"/>
  <c r="O155" i="1" s="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a="1"/>
  <c r="O142" i="1" s="1"/>
  <c r="N142" i="1"/>
  <c r="M142" i="1"/>
  <c r="O141" i="1" a="1"/>
  <c r="O141" i="1" s="1"/>
  <c r="N141" i="1"/>
  <c r="M141" i="1"/>
  <c r="O140" i="1" a="1"/>
  <c r="O140" i="1" s="1"/>
  <c r="N140" i="1"/>
  <c r="M140" i="1"/>
  <c r="O139" i="1" a="1"/>
  <c r="O139" i="1" s="1"/>
  <c r="N139" i="1"/>
  <c r="M139" i="1"/>
  <c r="O138" i="1" a="1"/>
  <c r="O138" i="1" s="1"/>
  <c r="N138" i="1"/>
  <c r="M138" i="1"/>
  <c r="O137" i="1" a="1"/>
  <c r="O137" i="1" s="1"/>
  <c r="N137" i="1"/>
  <c r="M137" i="1"/>
  <c r="O136" i="1" a="1"/>
  <c r="O136" i="1" s="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a="1"/>
  <c r="O127" i="1" s="1"/>
  <c r="N127" i="1"/>
  <c r="M127" i="1"/>
  <c r="O126" i="1" a="1"/>
  <c r="O126" i="1" s="1"/>
  <c r="N126" i="1"/>
  <c r="M126" i="1"/>
  <c r="O125" i="1" a="1"/>
  <c r="O125" i="1" s="1"/>
  <c r="N125" i="1"/>
  <c r="M125" i="1"/>
  <c r="O124" i="1" a="1"/>
  <c r="O124" i="1" s="1"/>
  <c r="N124" i="1"/>
  <c r="M124" i="1"/>
  <c r="O123" i="1" a="1"/>
  <c r="O123" i="1" s="1"/>
  <c r="N123" i="1"/>
  <c r="M123" i="1"/>
  <c r="O122" i="1"/>
  <c r="O122" i="1" a="1"/>
  <c r="N122" i="1"/>
  <c r="M122" i="1"/>
  <c r="O121" i="1" a="1"/>
  <c r="O121" i="1" s="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a="1"/>
  <c r="O107" i="1" s="1"/>
  <c r="N107" i="1"/>
  <c r="M107" i="1"/>
  <c r="O106" i="1" a="1"/>
  <c r="O106" i="1" s="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a="1"/>
  <c r="O97" i="1" s="1"/>
  <c r="N97" i="1"/>
  <c r="M97" i="1"/>
  <c r="O96" i="1" a="1"/>
  <c r="O96" i="1" s="1"/>
  <c r="N96" i="1"/>
  <c r="M96" i="1"/>
  <c r="O95" i="1" a="1"/>
  <c r="O95" i="1" s="1"/>
  <c r="N95" i="1"/>
  <c r="M95" i="1"/>
  <c r="O94" i="1"/>
  <c r="O94" i="1" a="1"/>
  <c r="N94" i="1"/>
  <c r="M94" i="1"/>
  <c r="O93" i="1" a="1"/>
  <c r="O93" i="1" s="1"/>
  <c r="N93" i="1"/>
  <c r="M93" i="1"/>
  <c r="O92" i="1" a="1"/>
  <c r="O92" i="1" s="1"/>
  <c r="N92" i="1"/>
  <c r="M92" i="1"/>
  <c r="O91" i="1" a="1"/>
  <c r="O91" i="1" s="1"/>
  <c r="N91" i="1"/>
  <c r="M91" i="1"/>
  <c r="O90" i="1" a="1"/>
  <c r="O90" i="1" s="1"/>
  <c r="N90" i="1"/>
  <c r="M90" i="1"/>
  <c r="O89" i="1" a="1"/>
  <c r="O89" i="1" s="1"/>
  <c r="N89" i="1"/>
  <c r="M89" i="1"/>
  <c r="O88" i="1" a="1"/>
  <c r="O88" i="1" s="1"/>
  <c r="N88" i="1"/>
  <c r="M88" i="1"/>
  <c r="O87" i="1" a="1"/>
  <c r="O87" i="1" s="1"/>
  <c r="N87" i="1"/>
  <c r="M87" i="1"/>
  <c r="O86" i="1" a="1"/>
  <c r="O86" i="1" s="1"/>
  <c r="N86" i="1"/>
  <c r="M86" i="1"/>
  <c r="O85" i="1" a="1"/>
  <c r="O85" i="1" s="1"/>
  <c r="N85" i="1"/>
  <c r="M85" i="1"/>
  <c r="O84" i="1" a="1"/>
  <c r="O84" i="1" s="1"/>
  <c r="N84" i="1"/>
  <c r="M84" i="1"/>
  <c r="O83" i="1" a="1"/>
  <c r="O83" i="1" s="1"/>
  <c r="N83" i="1"/>
  <c r="M83" i="1"/>
  <c r="O82" i="1" a="1"/>
  <c r="O82" i="1" s="1"/>
  <c r="N82" i="1"/>
  <c r="M82" i="1"/>
  <c r="O81" i="1" a="1"/>
  <c r="O81" i="1" s="1"/>
  <c r="N81" i="1"/>
  <c r="M81" i="1"/>
  <c r="O80" i="1" a="1"/>
  <c r="O80" i="1" s="1"/>
  <c r="N80" i="1"/>
  <c r="M80" i="1"/>
  <c r="O79" i="1"/>
  <c r="O79" i="1" a="1"/>
  <c r="N79" i="1"/>
  <c r="M79" i="1"/>
  <c r="O78" i="1" a="1"/>
  <c r="O78" i="1" s="1"/>
  <c r="N78" i="1"/>
  <c r="M78" i="1"/>
  <c r="O77" i="1" a="1"/>
  <c r="O77" i="1" s="1"/>
  <c r="N77" i="1"/>
  <c r="M77" i="1"/>
  <c r="O76" i="1" a="1"/>
  <c r="O76" i="1" s="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a="1"/>
  <c r="O64" i="1" s="1"/>
  <c r="N64" i="1"/>
  <c r="M64" i="1"/>
  <c r="O63" i="1" a="1"/>
  <c r="O63" i="1" s="1"/>
  <c r="N63" i="1"/>
  <c r="M63" i="1"/>
  <c r="O62" i="1" a="1"/>
  <c r="O62" i="1" s="1"/>
  <c r="N62" i="1"/>
  <c r="M62" i="1"/>
  <c r="O61" i="1" a="1"/>
  <c r="O61" i="1" s="1"/>
  <c r="N61" i="1"/>
  <c r="M61" i="1"/>
  <c r="O60" i="1" a="1"/>
  <c r="O60" i="1" s="1"/>
  <c r="N60" i="1"/>
  <c r="M60" i="1"/>
  <c r="O59" i="1" a="1"/>
  <c r="O59" i="1" s="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a="1"/>
  <c r="O29" i="1" s="1"/>
  <c r="N29" i="1"/>
  <c r="M29" i="1"/>
  <c r="O28" i="1" a="1"/>
  <c r="O28" i="1" s="1"/>
  <c r="N28" i="1"/>
  <c r="M28" i="1"/>
  <c r="O27" i="1" a="1"/>
  <c r="O27" i="1" s="1"/>
  <c r="N27" i="1"/>
  <c r="M27" i="1"/>
  <c r="O26" i="1" a="1"/>
  <c r="O26" i="1" s="1"/>
  <c r="N26" i="1"/>
  <c r="M26" i="1"/>
  <c r="O25" i="1" a="1"/>
  <c r="O25" i="1" s="1"/>
  <c r="N25" i="1"/>
  <c r="M25" i="1"/>
  <c r="O24" i="1" a="1"/>
  <c r="O24" i="1" s="1"/>
  <c r="N24" i="1"/>
  <c r="M24" i="1"/>
  <c r="O23" i="1" a="1"/>
  <c r="O23" i="1" s="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a="1"/>
  <c r="O9" i="1" s="1"/>
  <c r="N9" i="1"/>
  <c r="M9" i="1"/>
  <c r="O8" i="1"/>
  <c r="O8" i="1" a="1"/>
  <c r="N8" i="1"/>
  <c r="M8" i="1"/>
  <c r="O7" i="1" a="1"/>
  <c r="O7" i="1" s="1"/>
  <c r="N7" i="1"/>
  <c r="M7" i="1"/>
  <c r="O6" i="1" a="1"/>
  <c r="O6" i="1" s="1"/>
  <c r="N6" i="1"/>
  <c r="M6" i="1"/>
  <c r="O5" i="1" a="1"/>
  <c r="O5" i="1" s="1"/>
  <c r="N5" i="1"/>
  <c r="M5" i="1"/>
  <c r="O4" i="1" a="1"/>
  <c r="O4" i="1" s="1"/>
  <c r="N4" i="1"/>
  <c r="M4" i="1"/>
  <c r="O3" i="1" a="1"/>
  <c r="O3" i="1" s="1"/>
  <c r="N3" i="1"/>
  <c r="M3" i="1"/>
  <c r="O2" i="1" a="1"/>
  <c r="O2" i="1" s="1"/>
  <c r="N2" i="1"/>
  <c r="M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<sst xmlns="http://schemas.openxmlformats.org/spreadsheetml/2006/main" count="14676" uniqueCount="2570">
  <si>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</si>
  <si>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</si>
  <si>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</si>
  <si>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</si>
  <si>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</si>
  <si>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</si>
  <si>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</si>
  <si>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</si>
  <si>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</si>
  <si>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</si>
  <si>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</si>
  <si>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</si>
  <si>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</si>
  <si>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</si>
  <si>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</si>
  <si>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</si>
  <si>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</si>
  <si>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</si>
  <si>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</si>
  <si>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</si>
  <si>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</si>
  <si>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</si>
  <si>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</si>
  <si>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</si>
  <si>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</si>
  <si>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</si>
  <si>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</si>
  <si>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</si>
  <si>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</si>
  <si>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</si>
  <si>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</si>
  <si>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</si>
  <si>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</si>
  <si>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</si>
  <si>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</si>
  <si>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</si>
  <si>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</si>
  <si>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</si>
  <si>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</si>
  <si>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</si>
  <si>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</si>
  <si>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</si>
  <si>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</si>
  <si>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</si>
  <si>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</si>
  <si>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</si>
  <si>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</si>
  <si>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</si>
  <si>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</si>
  <si>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</si>
  <si>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</si>
  <si>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</si>
  <si>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</si>
  <si>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</si>
  <si>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</si>
  <si>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</si>
  <si>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</si>
  <si>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</si>
  <si>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</si>
  <si>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</si>
  <si>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</si>
  <si>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</si>
  <si>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</si>
  <si>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</si>
  <si>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</si>
  <si>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</si>
  <si>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</si>
  <si>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</si>
  <si>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</si>
  <si>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</si>
  <si>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</si>
  <si>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</si>
  <si>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</si>
  <si>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</si>
  <si>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</si>
  <si>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</si>
  <si>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</si>
  <si>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</si>
  <si>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</si>
  <si>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</si>
  <si>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</si>
  <si>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</si>
  <si>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</si>
  <si>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</si>
  <si>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</si>
  <si>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</si>
  <si>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</si>
  <si>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</si>
  <si>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</si>
  <si>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</si>
  <si>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</si>
  <si>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</si>
  <si>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</si>
  <si>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</si>
  <si>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</si>
  <si>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</si>
  <si>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</si>
  <si>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</si>
  <si>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</si>
  <si>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</si>
  <si>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</si>
  <si>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</si>
  <si>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</si>
  <si>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</si>
  <si>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</si>
  <si>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</si>
  <si>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</si>
  <si>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</si>
  <si>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</si>
  <si>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</si>
  <si>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</si>
  <si>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</si>
  <si>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</si>
  <si>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</si>
  <si>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</si>
  <si>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</si>
  <si>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</si>
  <si>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</si>
  <si>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</si>
  <si>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</si>
  <si>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</si>
  <si>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</si>
  <si>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</si>
  <si>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</si>
  <si>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</si>
  <si>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</si>
  <si>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</si>
  <si>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</si>
  <si>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</si>
  <si>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</si>
  <si>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</si>
  <si>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</si>
  <si>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</si>
  <si>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</si>
  <si>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</si>
  <si>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</si>
  <si>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</si>
  <si>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</si>
  <si>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</si>
  <si>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</si>
  <si>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</si>
  <si>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</si>
  <si>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</si>
  <si>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</si>
  <si>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</si>
  <si>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</si>
  <si>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</si>
  <si>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</si>
  <si>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</si>
  <si>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</si>
  <si>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</si>
  <si>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</si>
  <si>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</si>
  <si>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</si>
  <si>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</si>
  <si>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</si>
  <si>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</si>
  <si>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</si>
  <si>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</si>
  <si>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</si>
  <si>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</si>
  <si>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</si>
  <si>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</si>
  <si>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</si>
  <si>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</si>
  <si>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</si>
  <si>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</si>
  <si>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</si>
  <si>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</si>
  <si>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</si>
  <si>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</si>
  <si>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</si>
  <si>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</si>
  <si>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</si>
  <si>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</si>
  <si>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</si>
  <si>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</si>
  <si>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</si>
  <si>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</si>
  <si>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</si>
  <si>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</si>
  <si>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</si>
  <si>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</si>
  <si>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</si>
  <si>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</si>
  <si>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</si>
  <si>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</si>
  <si>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</si>
  <si>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</si>
  <si>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</si>
  <si>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</si>
  <si>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</si>
  <si>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</si>
  <si>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</si>
  <si>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</si>
  <si>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</si>
  <si>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</si>
  <si>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</si>
  <si>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</si>
  <si>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</si>
  <si>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</si>
  <si>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</si>
  <si>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</si>
  <si>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</si>
  <si>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</si>
  <si>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</si>
  <si>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</si>
  <si>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</si>
  <si>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</si>
  <si>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</si>
  <si>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</si>
  <si>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</si>
  <si>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</si>
  <si>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</si>
  <si>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</si>
  <si>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</si>
  <si>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</si>
  <si>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</si>
  <si>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</si>
  <si>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</si>
  <si>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</si>
  <si>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</si>
  <si>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</si>
  <si>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</si>
  <si>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</si>
  <si>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</si>
  <si>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</si>
  <si>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</si>
  <si>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</si>
  <si>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</si>
  <si>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</si>
  <si>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</si>
  <si>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</si>
  <si>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</si>
  <si>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</si>
  <si>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</si>
  <si>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</si>
  <si>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</si>
  <si>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</si>
  <si>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</si>
  <si>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</si>
  <si>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</si>
  <si>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</si>
  <si>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</si>
  <si>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</si>
  <si>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</si>
  <si>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</si>
  <si>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</si>
  <si>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</si>
  <si>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</si>
  <si>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</si>
  <si>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</si>
  <si>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</si>
  <si>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</si>
  <si>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</si>
  <si>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</si>
  <si>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</si>
  <si>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</si>
  <si>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</si>
  <si>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</si>
  <si>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</si>
  <si>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</si>
  <si>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</si>
  <si>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</si>
  <si>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</si>
  <si>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</si>
  <si>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</si>
  <si>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</si>
  <si>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</si>
  <si>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</si>
  <si>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</si>
  <si>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</si>
  <si>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</si>
  <si>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</si>
  <si>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</si>
  <si>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</si>
  <si>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</si>
  <si>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</si>
  <si>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</si>
  <si>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</si>
  <si>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</si>
  <si>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</si>
  <si>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</si>
  <si>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</si>
  <si>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</si>
  <si>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</si>
  <si>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</si>
  <si>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</si>
  <si>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</si>
  <si>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</si>
  <si>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</si>
  <si>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</si>
  <si>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</si>
  <si>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</si>
  <si>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</si>
  <si>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</si>
  <si>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</si>
  <si>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</si>
  <si>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</si>
  <si>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</si>
  <si>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</si>
  <si>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</si>
  <si>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</si>
  <si>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</si>
  <si>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</si>
  <si>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</si>
  <si>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</si>
  <si>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</si>
  <si>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</si>
  <si>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</si>
  <si>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</si>
  <si>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</si>
  <si>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</si>
  <si>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</si>
  <si>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</si>
  <si>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</si>
  <si>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</si>
  <si>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</si>
  <si>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</si>
  <si>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</si>
  <si>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</si>
  <si>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</si>
  <si>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</si>
  <si>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</si>
  <si>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</si>
  <si>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</si>
  <si>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</si>
  <si>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</si>
  <si>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</si>
  <si>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</si>
  <si>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</si>
  <si>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</si>
  <si>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</si>
  <si>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</si>
  <si>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</si>
  <si>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</si>
  <si>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</si>
  <si>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</si>
  <si>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</si>
  <si>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</si>
  <si>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</si>
  <si>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</si>
  <si>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</si>
  <si>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</si>
  <si>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</si>
  <si>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</si>
  <si>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</si>
  <si>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</si>
  <si>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</si>
  <si>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</si>
  <si>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</si>
  <si>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</si>
  <si>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</si>
  <si>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</si>
  <si>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</si>
  <si>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</si>
  <si>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</si>
  <si>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</si>
  <si>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</si>
  <si>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</si>
  <si>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</si>
  <si>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</si>
  <si>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</si>
  <si>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</si>
  <si>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</si>
  <si>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</si>
  <si>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</si>
  <si>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</si>
  <si>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</si>
  <si>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</si>
  <si>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</si>
  <si>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</si>
  <si>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</si>
  <si>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</si>
  <si>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</si>
  <si>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</si>
  <si>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</si>
  <si>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</si>
  <si>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</si>
  <si>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</si>
  <si>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</si>
  <si>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</si>
  <si>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</si>
  <si>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</si>
  <si>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</si>
  <si>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</si>
  <si>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</si>
  <si>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</si>
  <si>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</si>
  <si>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</si>
  <si>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</si>
  <si>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</si>
  <si>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</si>
  <si>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</si>
  <si>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</si>
  <si>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</si>
  <si>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</si>
  <si>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</si>
  <si>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</si>
  <si>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</si>
  <si>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</si>
  <si>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</si>
  <si>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</si>
  <si>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</si>
  <si>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</si>
  <si>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</si>
  <si>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</si>
  <si>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</si>
  <si>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</si>
  <si>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</si>
  <si>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</si>
  <si>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</si>
  <si>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</si>
  <si>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</si>
  <si>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</si>
  <si>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</si>
  <si>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</si>
  <si>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</si>
  <si>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</si>
  <si>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</si>
  <si>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</si>
  <si>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</si>
  <si>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</si>
  <si>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</si>
  <si>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</si>
  <si>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</si>
  <si>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</si>
  <si>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</si>
  <si>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</si>
  <si>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</si>
  <si>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</si>
  <si>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</si>
  <si>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</si>
  <si>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</si>
  <si>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</si>
  <si>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</si>
  <si>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</si>
  <si>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</si>
  <si>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</si>
  <si>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</si>
  <si>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</si>
  <si>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</si>
  <si>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</si>
  <si>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</si>
  <si>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</si>
  <si>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</si>
  <si>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</si>
  <si>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</si>
  <si>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</si>
  <si>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</si>
  <si>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</si>
  <si>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</si>
  <si>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</si>
  <si>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</si>
  <si>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</si>
  <si>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</si>
  <si>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</si>
  <si>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</si>
  <si>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</si>
  <si>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</si>
  <si>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</si>
  <si>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</si>
  <si>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</si>
  <si>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</si>
  <si>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</si>
  <si>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</si>
  <si>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</si>
  <si>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</si>
  <si>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</si>
  <si>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</si>
  <si>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</si>
  <si>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</si>
  <si>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</si>
  <si>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</si>
  <si>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</si>
  <si>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</si>
  <si>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</si>
  <si>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</si>
  <si>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</si>
  <si>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</si>
  <si>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</si>
  <si>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</si>
  <si>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</si>
  <si>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</si>
  <si>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</si>
  <si>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</si>
  <si>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</si>
  <si>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</si>
  <si>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</si>
  <si>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</si>
  <si>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</si>
  <si>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</si>
  <si>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</si>
  <si>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</si>
  <si>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</si>
  <si>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</si>
  <si>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</si>
  <si>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</si>
  <si>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</si>
  <si>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</si>
  <si>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</si>
  <si>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</si>
  <si>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</si>
  <si>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</si>
  <si>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</si>
  <si>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</si>
  <si>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</si>
  <si>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</si>
  <si>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</si>
  <si>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</si>
  <si>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</si>
  <si>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</si>
  <si>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</si>
  <si>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</si>
  <si>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</si>
  <si>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</si>
  <si>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</si>
  <si>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</si>
  <si>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</si>
  <si>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</si>
  <si>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</si>
  <si>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</si>
  <si>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</si>
  <si>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</si>
  <si>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</si>
  <si>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</si>
  <si>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</si>
  <si>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</si>
  <si>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</si>
  <si>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</si>
  <si>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</si>
  <si>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</si>
  <si>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</si>
  <si>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</si>
  <si>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</si>
  <si>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</si>
  <si>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</si>
  <si>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</si>
  <si>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</si>
  <si>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</si>
  <si>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</si>
  <si>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</si>
  <si>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</si>
  <si>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</si>
  <si>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</si>
  <si>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</si>
  <si>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</si>
  <si>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</si>
  <si>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</si>
  <si>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</si>
  <si>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</si>
  <si>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</si>
  <si>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</si>
  <si>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</si>
  <si>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</si>
  <si>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</si>
  <si>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</si>
  <si>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</si>
  <si>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</si>
  <si>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</si>
  <si>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</si>
  <si>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</si>
  <si>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</si>
  <si>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</si>
  <si>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</si>
  <si>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</si>
  <si>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</si>
  <si>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</si>
  <si>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</si>
  <si>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</si>
  <si>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</si>
  <si>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</si>
  <si>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</si>
  <si>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</si>
  <si>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</si>
  <si>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</si>
  <si>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</si>
  <si>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</si>
  <si>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</si>
  <si>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</si>
  <si>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</si>
  <si>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</si>
  <si>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</si>
  <si>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</si>
  <si>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</si>
  <si>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</si>
  <si>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</si>
  <si>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</si>
  <si>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</si>
  <si>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</si>
  <si>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</si>
  <si>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</si>
  <si>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</si>
  <si>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</si>
  <si>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</si>
  <si>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</si>
  <si>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</si>
  <si>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</si>
  <si>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</si>
  <si>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</si>
  <si>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</si>
  <si>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</si>
  <si>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</si>
  <si>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</si>
  <si>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</si>
  <si>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</si>
  <si>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</si>
  <si>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</si>
  <si>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</si>
  <si>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</si>
  <si>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</si>
  <si>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</si>
  <si>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</si>
  <si>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</si>
  <si>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</si>
  <si>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</si>
  <si>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</si>
  <si>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</si>
  <si>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</si>
  <si>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</si>
  <si>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</si>
  <si>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</si>
  <si>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</si>
  <si>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</si>
  <si>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</si>
  <si>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</si>
  <si>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</si>
  <si>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</si>
  <si>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</si>
  <si>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</si>
  <si>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</si>
  <si>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</si>
  <si>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</si>
  <si>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</si>
  <si>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</si>
  <si>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</si>
  <si>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</si>
  <si>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</si>
  <si>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</si>
  <si>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</si>
  <si>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</si>
  <si>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</si>
  <si>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</si>
  <si>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</si>
  <si>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</si>
  <si>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</si>
  <si>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</si>
  <si>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</si>
  <si>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</si>
  <si>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</si>
  <si>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</si>
  <si>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</si>
  <si>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</si>
  <si>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</si>
  <si>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</si>
  <si>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</si>
  <si>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</si>
  <si>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</si>
  <si>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</si>
  <si>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</si>
  <si>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</si>
  <si>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</si>
  <si>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</si>
  <si>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</si>
  <si>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</si>
  <si>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</si>
  <si>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</si>
  <si>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</si>
  <si>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</si>
  <si>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</si>
  <si>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</si>
  <si>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</si>
  <si>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</si>
  <si>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</si>
  <si>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</si>
  <si>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</si>
  <si>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</si>
  <si>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</si>
  <si>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</si>
  <si>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</si>
  <si>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</si>
  <si>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</si>
  <si>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</si>
  <si>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</si>
  <si>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</si>
  <si>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</si>
  <si>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</si>
  <si>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</si>
  <si>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</si>
  <si>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</si>
  <si>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</si>
  <si>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</si>
  <si>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</si>
  <si>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</si>
  <si>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</si>
  <si>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</si>
  <si>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</si>
  <si>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</si>
  <si>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</si>
  <si>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</si>
  <si>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</si>
  <si>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</si>
  <si>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</si>
  <si>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</si>
  <si>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</si>
  <si>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</si>
  <si>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</si>
  <si>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</si>
  <si>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</si>
  <si>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</si>
  <si>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</si>
  <si>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</si>
  <si>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</si>
  <si>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</si>
  <si>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</si>
  <si>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</si>
  <si>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</si>
  <si>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</si>
  <si>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</si>
  <si>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</si>
  <si>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</si>
  <si>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</si>
  <si>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</si>
  <si>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</si>
  <si>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</si>
  <si>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</si>
  <si>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</si>
  <si>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</si>
  <si>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</si>
  <si>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</si>
  <si>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</si>
  <si>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</si>
  <si>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</si>
  <si>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</si>
  <si>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</si>
  <si>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</si>
  <si>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</si>
  <si>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</si>
  <si>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</si>
  <si>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</si>
  <si>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</si>
  <si>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</si>
  <si>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</si>
  <si>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</si>
  <si>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</si>
  <si>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</si>
  <si>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</si>
  <si>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</si>
  <si>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</si>
  <si>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</si>
  <si>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</si>
  <si>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</si>
  <si>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</si>
  <si>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</si>
  <si>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</si>
  <si>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</si>
  <si>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</si>
  <si>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</si>
  <si>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</si>
  <si>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</si>
  <si>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</si>
  <si>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</si>
  <si>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</si>
  <si>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</si>
  <si>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</si>
  <si>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</si>
  <si>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</si>
  <si>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</si>
  <si>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</si>
  <si>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</si>
  <si>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</si>
  <si>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</si>
  <si>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</si>
  <si>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</si>
  <si>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</si>
  <si>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</si>
  <si>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</si>
  <si>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</si>
  <si>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</si>
  <si>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</si>
  <si>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</si>
  <si>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</si>
  <si>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</si>
  <si>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</si>
  <si>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</si>
  <si>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</si>
  <si>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</si>
  <si>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</si>
  <si>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</si>
  <si>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</si>
  <si>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</si>
  <si>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</si>
  <si>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</si>
  <si>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</si>
  <si>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</si>
  <si>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</si>
  <si>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</si>
  <si>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</si>
  <si>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</si>
  <si>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</si>
  <si>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</si>
  <si>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</si>
  <si>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</si>
  <si>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</si>
  <si>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</si>
  <si>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</si>
  <si>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</si>
  <si>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</si>
  <si>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</si>
  <si>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</si>
  <si>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</si>
  <si>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</si>
  <si>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</si>
  <si>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</si>
  <si>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</si>
  <si>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</si>
  <si>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</si>
  <si>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</si>
  <si>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</si>
  <si>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</si>
  <si>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</si>
  <si>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</si>
  <si>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</si>
  <si>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</si>
  <si>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</si>
  <si>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</si>
  <si>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</si>
  <si>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</si>
  <si>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</si>
  <si>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</si>
  <si>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</si>
  <si>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</si>
  <si>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</si>
  <si>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</si>
  <si>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</si>
  <si>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</si>
  <si>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</si>
  <si>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</si>
  <si>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</si>
  <si>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</si>
  <si>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</si>
  <si>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</si>
  <si>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</si>
  <si>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</si>
  <si>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</si>
  <si>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</si>
  <si>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</si>
  <si>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</si>
  <si>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</si>
  <si>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</si>
  <si>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</si>
  <si>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</si>
  <si>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</si>
  <si>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</si>
  <si>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</si>
  <si>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</si>
  <si>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</si>
  <si>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</si>
  <si>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</si>
  <si>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</si>
  <si>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</si>
  <si>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</si>
  <si>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</si>
  <si>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</si>
  <si>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</si>
  <si>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</si>
  <si>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</si>
  <si>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</si>
  <si>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</si>
  <si>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</si>
  <si>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</si>
  <si>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</si>
  <si>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</si>
  <si>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</si>
  <si>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</si>
  <si>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</si>
  <si>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</si>
  <si>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</si>
  <si>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</si>
  <si>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</si>
  <si>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</si>
  <si>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</si>
  <si>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</si>
  <si>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</si>
  <si>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</si>
  <si>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</si>
  <si>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</si>
  <si>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</si>
  <si>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</si>
  <si>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</si>
  <si>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</si>
  <si>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</si>
  <si>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</si>
  <si>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</si>
  <si>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</si>
  <si>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</si>
  <si>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</si>
  <si>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</si>
  <si>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</si>
  <si>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</si>
  <si>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</si>
  <si>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</si>
  <si>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</si>
  <si>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</si>
  <si>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</si>
  <si>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</si>
  <si>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</si>
  <si>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</si>
  <si>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</si>
  <si>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</si>
  <si>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</si>
  <si>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</si>
  <si>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</si>
  <si>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</si>
  <si>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</si>
  <si>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</si>
  <si>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</si>
  <si>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</si>
  <si>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</si>
  <si>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</si>
  <si>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</si>
  <si>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</si>
  <si>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</si>
  <si>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</si>
  <si>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</si>
  <si>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</si>
  <si>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</si>
  <si>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</si>
  <si>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</si>
  <si>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</si>
  <si>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</si>
  <si>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</si>
  <si>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</si>
  <si>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</si>
  <si>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</si>
  <si>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</si>
  <si>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</si>
  <si>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</si>
  <si>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</si>
  <si>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</si>
  <si>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</si>
  <si>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</si>
  <si>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</si>
  <si>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</si>
  <si>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</si>
  <si>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</si>
  <si>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</si>
  <si>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</si>
  <si>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</si>
  <si>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</si>
  <si>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</si>
  <si>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</si>
  <si>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</si>
  <si>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</si>
  <si>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</si>
  <si>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</si>
  <si>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</si>
  <si>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</si>
  <si>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</si>
  <si>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</si>
  <si>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</si>
  <si>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</si>
  <si>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</si>
  <si>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</si>
  <si>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</si>
  <si>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</si>
  <si>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</si>
  <si>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</si>
  <si>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</si>
  <si>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</si>
  <si>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</si>
  <si>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</si>
  <si>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</si>
  <si>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</si>
  <si>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</si>
  <si>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</si>
  <si>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</si>
  <si>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</si>
  <si>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</si>
  <si>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</si>
  <si>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</si>
  <si>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</si>
  <si>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</si>
  <si>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</si>
  <si>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</si>
  <si>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</si>
  <si>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</si>
  <si>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</si>
  <si>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</si>
  <si>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</si>
  <si>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</si>
  <si>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</si>
  <si>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</si>
  <si>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</si>
  <si>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</si>
  <si>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</si>
  <si>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</si>
  <si>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</si>
  <si>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</si>
  <si>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</si>
  <si>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</si>
  <si>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</si>
  <si>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</si>
  <si>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</si>
  <si>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</si>
  <si>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</si>
  <si>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</si>
  <si>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</si>
  <si>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</si>
  <si>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</si>
  <si>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</si>
  <si>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</si>
  <si>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</si>
  <si>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</si>
  <si>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</si>
  <si>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</si>
  <si>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</si>
  <si>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</si>
  <si>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</si>
  <si>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</si>
  <si>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</si>
  <si>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</si>
  <si>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</si>
  <si>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</si>
  <si>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</si>
  <si>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</si>
  <si>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</si>
  <si>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</si>
  <si>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</si>
  <si>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</si>
  <si>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</si>
  <si>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</si>
  <si>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</si>
  <si>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</si>
  <si>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</si>
  <si>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</si>
  <si>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</si>
  <si>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</si>
  <si>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</si>
  <si>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</si>
  <si>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</si>
  <si>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</si>
  <si>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</si>
  <si>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</si>
  <si>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</si>
  <si>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</si>
  <si>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</si>
  <si>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</si>
  <si>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</si>
  <si>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</si>
  <si>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</si>
  <si>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</si>
  <si>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</si>
  <si>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</si>
  <si>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</si>
  <si>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</si>
  <si>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</si>
  <si>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</si>
  <si>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</si>
  <si>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</si>
  <si>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</si>
  <si>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</si>
  <si>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</si>
  <si>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</si>
  <si>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</si>
  <si>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</si>
  <si>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</si>
  <si>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</si>
  <si>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</si>
  <si>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</si>
  <si>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</si>
  <si>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</si>
  <si>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</si>
  <si>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</si>
  <si>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</si>
  <si>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</si>
  <si>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</si>
  <si>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</si>
  <si>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</si>
  <si>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</si>
  <si>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</si>
  <si>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</si>
  <si>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</si>
  <si>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</si>
  <si>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</si>
  <si>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</si>
  <si>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</si>
  <si>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</si>
  <si>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</si>
  <si>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</si>
  <si>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</si>
  <si>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</si>
  <si>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</si>
  <si>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</si>
  <si>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</si>
  <si>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</si>
  <si>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</si>
  <si>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</si>
  <si>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</si>
  <si>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</si>
  <si>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</si>
  <si>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</si>
  <si>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</si>
  <si>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</si>
  <si>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</si>
  <si>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</si>
  <si>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</si>
  <si>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</si>
  <si>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</si>
  <si>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</si>
  <si>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</si>
  <si>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</si>
  <si>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</si>
  <si>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</si>
  <si>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</si>
  <si>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</si>
  <si>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</si>
  <si>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</si>
  <si>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</si>
  <si>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</si>
  <si>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</si>
  <si>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</si>
  <si>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</si>
  <si>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</si>
  <si>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</si>
  <si>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</si>
  <si>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</si>
  <si>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</si>
  <si>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</si>
  <si>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</si>
  <si>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</si>
  <si>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</si>
  <si>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</si>
  <si>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</si>
  <si>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</si>
  <si>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</si>
  <si>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</si>
  <si>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</si>
  <si>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</si>
  <si>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</si>
  <si>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</si>
  <si>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</si>
  <si>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</si>
  <si>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</si>
  <si>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</si>
  <si>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</si>
  <si>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</si>
  <si>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</si>
  <si>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</si>
  <si>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</si>
  <si>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</si>
  <si>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</si>
  <si>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</si>
  <si>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</si>
  <si>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</si>
  <si>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</si>
  <si>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</si>
  <si>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</si>
  <si>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</si>
  <si>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</si>
  <si>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</si>
  <si>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</si>
  <si>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</si>
  <si>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</si>
  <si>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</si>
  <si>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</si>
  <si>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</si>
  <si>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</si>
  <si>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</si>
  <si>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</si>
  <si>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</si>
  <si>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</si>
  <si>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</si>
  <si>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</si>
  <si>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</si>
  <si>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</si>
  <si>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</si>
  <si>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</si>
  <si>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</si>
  <si>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</si>
  <si>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</si>
  <si>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</si>
  <si>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</si>
  <si>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</si>
  <si>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</si>
  <si>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</si>
  <si>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</si>
  <si>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</si>
  <si>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</si>
  <si>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</si>
  <si>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</si>
  <si>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</si>
  <si>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</si>
  <si>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</si>
  <si>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</si>
  <si>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</si>
  <si>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</si>
  <si>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</si>
  <si>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</si>
  <si>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</si>
  <si>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</si>
  <si>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</si>
  <si>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</si>
  <si>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</si>
  <si>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</si>
  <si>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</si>
  <si>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</si>
  <si>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</si>
  <si>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</si>
  <si>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</si>
  <si>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</si>
  <si>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</si>
  <si>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</si>
  <si>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</si>
  <si>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</si>
  <si>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</si>
  <si>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</si>
  <si>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</si>
  <si>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</si>
  <si>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</si>
  <si>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</si>
  <si>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</si>
  <si>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</si>
  <si>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</si>
  <si>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</si>
  <si>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</si>
  <si>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</si>
  <si>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</si>
  <si>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</si>
  <si>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</si>
  <si>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</si>
  <si>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</si>
  <si>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</si>
  <si>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</si>
  <si>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</si>
  <si>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</si>
  <si>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</si>
  <si>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</si>
  <si>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</si>
  <si>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</si>
  <si>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</si>
  <si>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</si>
  <si>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</si>
  <si>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</si>
  <si>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</si>
  <si>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</si>
  <si>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</si>
  <si>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</si>
  <si>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</si>
  <si>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</si>
  <si>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</si>
  <si>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</si>
  <si>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</si>
  <si>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</si>
  <si>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</si>
  <si>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</si>
  <si>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</si>
  <si>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</si>
  <si>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</si>
  <si>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</si>
  <si>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</si>
  <si>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</si>
  <si>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</si>
  <si>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</si>
  <si>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</si>
  <si>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</si>
  <si>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</si>
  <si>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</si>
  <si>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</si>
  <si>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</si>
  <si>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</si>
  <si>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</si>
  <si>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</si>
  <si>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</si>
  <si>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</si>
  <si>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</si>
  <si>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</si>
  <si>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</si>
  <si>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</si>
  <si>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</si>
  <si>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</si>
  <si>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</si>
  <si>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</si>
  <si>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</si>
  <si>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</si>
  <si>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</si>
  <si>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</si>
  <si>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</si>
  <si>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</si>
  <si>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</si>
  <si>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</si>
  <si>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</si>
  <si>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</si>
  <si>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</si>
  <si>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</si>
  <si>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</si>
  <si>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</si>
  <si>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</si>
  <si>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</si>
  <si>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</si>
  <si>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</si>
  <si>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</si>
  <si>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</si>
  <si>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</si>
  <si>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</si>
  <si>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</si>
  <si>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</si>
  <si>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</si>
  <si>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</si>
  <si>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</si>
  <si>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</si>
  <si>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</si>
  <si>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</si>
  <si>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</si>
  <si>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</si>
  <si>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</si>
  <si>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</si>
  <si>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</si>
  <si>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</si>
  <si>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</si>
  <si>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</si>
  <si>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</si>
  <si>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</si>
  <si>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</si>
  <si>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</si>
  <si>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</si>
  <si>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</si>
  <si>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</si>
  <si>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</si>
  <si>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</si>
  <si>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</si>
  <si>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</si>
  <si>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</si>
  <si>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</si>
  <si>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</si>
  <si>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</si>
  <si>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</si>
  <si>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</si>
  <si>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</si>
  <si>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</si>
  <si>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</si>
  <si>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</si>
  <si>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</si>
  <si>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</si>
  <si>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</si>
  <si>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</si>
  <si>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</si>
  <si>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</si>
  <si>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</si>
  <si>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</si>
  <si>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</si>
  <si>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</si>
  <si>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</si>
  <si>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</si>
  <si>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</si>
  <si>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</si>
  <si>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</si>
  <si>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</si>
  <si>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</si>
  <si>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</si>
  <si>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</si>
  <si>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</si>
  <si>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</si>
  <si>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</si>
  <si>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</si>
  <si>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</si>
  <si>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</si>
  <si>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</si>
  <si>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</si>
  <si>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</si>
  <si>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</si>
  <si>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</si>
  <si>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</si>
  <si>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</si>
  <si>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</si>
  <si>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</si>
  <si>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</si>
  <si>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</si>
  <si>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</si>
  <si>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</si>
  <si>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</si>
  <si>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</si>
  <si>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</si>
  <si>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</si>
  <si>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</si>
  <si>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</si>
  <si>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</si>
  <si>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</si>
  <si>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</si>
  <si>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</si>
  <si>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</si>
  <si>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</si>
  <si>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</si>
  <si>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</si>
  <si>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</si>
  <si>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</si>
  <si>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</si>
  <si>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</si>
  <si>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</si>
  <si>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</si>
  <si>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</si>
  <si>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</si>
  <si>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</si>
  <si>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</si>
  <si>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</si>
  <si>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</si>
  <si>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</si>
  <si>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</si>
  <si>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</si>
  <si>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</si>
  <si>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</si>
  <si>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</si>
  <si>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</si>
  <si>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</si>
  <si>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</si>
  <si>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</si>
  <si>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</si>
  <si>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</si>
  <si>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</si>
  <si>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</si>
  <si>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</si>
  <si>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</si>
  <si>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</si>
  <si>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</si>
  <si>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</si>
  <si>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</si>
  <si>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</si>
  <si>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</si>
  <si>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</si>
  <si>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</si>
  <si>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</si>
  <si>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</si>
  <si>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</si>
  <si>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</si>
  <si>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</si>
  <si>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</si>
  <si>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</si>
  <si>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</si>
  <si>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</si>
  <si>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</si>
  <si>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</si>
  <si>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</si>
  <si>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</si>
  <si>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</si>
  <si>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</si>
  <si>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</si>
  <si>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</si>
  <si>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</si>
  <si>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</si>
  <si>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</si>
  <si>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</si>
  <si>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</si>
  <si>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</si>
  <si>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</si>
  <si>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</si>
  <si>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</si>
  <si>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</si>
  <si>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</si>
  <si>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</si>
  <si>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</si>
  <si>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</si>
  <si>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</si>
  <si>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</si>
  <si>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</si>
  <si>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</si>
  <si>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</si>
  <si>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</si>
  <si>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</si>
  <si>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</si>
  <si>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</si>
  <si>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</si>
  <si>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</si>
  <si>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</si>
  <si>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</si>
  <si>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</si>
  <si>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</si>
  <si>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</si>
  <si>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</si>
  <si>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</si>
  <si>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</si>
  <si>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</si>
  <si>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</si>
  <si>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</si>
  <si>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</si>
  <si>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</si>
  <si>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</si>
  <si>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</si>
  <si>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</si>
  <si>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</si>
  <si>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</si>
  <si>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</si>
  <si>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</si>
  <si>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</si>
  <si>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</si>
  <si>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</si>
  <si>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</si>
  <si>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</si>
  <si>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</si>
  <si>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</si>
  <si>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</si>
  <si>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</si>
  <si>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</si>
  <si>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</si>
  <si>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</si>
  <si>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</si>
  <si>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</si>
  <si>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</si>
  <si>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</si>
  <si>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</si>
  <si>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</si>
  <si>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</si>
  <si>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</si>
  <si>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</si>
  <si>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</si>
  <si>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</si>
  <si>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</si>
  <si>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</si>
  <si>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</si>
  <si>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</si>
  <si>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</si>
  <si>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</si>
  <si>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</si>
  <si>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</si>
  <si>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</si>
  <si>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</si>
  <si>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</si>
  <si>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</si>
  <si>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</si>
  <si>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</si>
  <si>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</si>
  <si>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</si>
  <si>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</si>
  <si>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</si>
  <si>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</si>
  <si>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</si>
  <si>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</si>
  <si>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</si>
  <si>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</si>
  <si>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</si>
  <si>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</si>
  <si>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</si>
  <si>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</si>
  <si>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</si>
  <si>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</si>
  <si>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</si>
  <si>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</si>
  <si>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</si>
  <si>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</si>
  <si>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</si>
  <si>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</si>
  <si>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</si>
  <si>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</si>
  <si>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</si>
  <si>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</si>
  <si>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</si>
  <si>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</si>
  <si>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</si>
  <si>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</si>
  <si>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</si>
  <si>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</si>
  <si>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</si>
  <si>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</si>
  <si>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</si>
  <si>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</si>
  <si>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</si>
  <si>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</si>
  <si>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</si>
  <si>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</si>
  <si>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</si>
  <si>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</si>
  <si>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</si>
  <si>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</si>
  <si>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</si>
  <si>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</si>
  <si>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</si>
  <si>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</si>
  <si>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</si>
  <si>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</si>
  <si>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</si>
  <si>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</si>
  <si>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</si>
  <si>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</si>
  <si>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</si>
  <si>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</si>
  <si>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</si>
  <si>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</si>
  <si>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</si>
  <si>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</si>
  <si>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</si>
  <si>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</si>
  <si>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</si>
  <si>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</si>
  <si>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</si>
  <si>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</si>
  <si>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</si>
  <si>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</si>
  <si>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</si>
  <si>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</si>
  <si>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</si>
  <si>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</si>
  <si>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</si>
  <si>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</si>
  <si>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</si>
  <si>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</si>
  <si>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</si>
  <si>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</si>
  <si>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</si>
  <si>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</si>
  <si>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</si>
  <si>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</si>
  <si>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</si>
  <si>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</si>
  <si>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</si>
  <si>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</si>
  <si>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</si>
  <si>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</si>
  <si>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</si>
  <si>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</si>
  <si>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</si>
  <si>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</si>
  <si>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</si>
  <si>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</si>
  <si>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</si>
  <si>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</si>
  <si>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</si>
  <si>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</si>
  <si>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</si>
  <si>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</si>
  <si>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</si>
  <si>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</si>
  <si>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</si>
  <si>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</si>
  <si>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</si>
  <si>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</si>
  <si>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</si>
  <si>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</si>
  <si>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</si>
  <si>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</si>
  <si>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</si>
  <si>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</si>
  <si>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</si>
  <si>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</si>
  <si>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</si>
  <si>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</si>
  <si>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</si>
  <si>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</si>
  <si>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</si>
  <si>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</si>
  <si>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</si>
  <si>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</si>
  <si>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</si>
  <si>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</si>
  <si>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</si>
  <si>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</si>
  <si>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</si>
  <si>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</si>
  <si>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</si>
  <si>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</si>
  <si>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</si>
  <si>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</si>
  <si>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</si>
  <si>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</si>
  <si>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</si>
  <si>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</si>
  <si>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</si>
  <si>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</si>
  <si>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</si>
  <si>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</si>
  <si>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</si>
  <si>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</si>
  <si>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</si>
  <si>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</si>
  <si>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</si>
  <si>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</si>
  <si>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</si>
  <si>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</si>
  <si>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</si>
  <si>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</si>
  <si>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</si>
  <si>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</si>
  <si>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</si>
  <si>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</si>
  <si>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</si>
  <si>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</si>
  <si>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</si>
  <si>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</si>
  <si>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</si>
  <si>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</si>
  <si>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</si>
  <si>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</si>
  <si>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</si>
  <si>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</si>
  <si>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</si>
  <si>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</si>
  <si>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</si>
  <si>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</si>
  <si>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</si>
  <si>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</si>
  <si>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</si>
  <si>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</si>
  <si>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</si>
  <si>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</si>
  <si>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</si>
  <si>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</si>
  <si>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</si>
  <si>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</si>
  <si>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</si>
  <si>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</si>
  <si>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</si>
  <si>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</si>
  <si>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</si>
  <si>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</si>
  <si>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</si>
  <si>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</si>
  <si>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</si>
  <si>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</si>
  <si>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</si>
  <si>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</si>
  <si>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</si>
  <si>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</si>
  <si>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</si>
  <si>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</si>
  <si>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</si>
  <si>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</si>
  <si>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</si>
  <si>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</si>
  <si>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</si>
  <si>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</si>
  <si>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</si>
  <si>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</si>
  <si>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</si>
  <si>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</si>
  <si>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</si>
  <si>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</si>
  <si>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</si>
  <si>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</si>
  <si>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</si>
  <si>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</si>
  <si>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</si>
  <si>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</si>
  <si>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</si>
  <si>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</si>
  <si>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</si>
  <si>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</si>
  <si>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</si>
  <si>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</si>
  <si>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</si>
  <si>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</si>
  <si>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</si>
  <si>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</si>
  <si>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</si>
  <si>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</si>
  <si>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</si>
  <si>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</si>
  <si>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</si>
  <si>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</si>
  <si>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</si>
  <si>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</si>
  <si>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</si>
  <si>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</si>
  <si>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</si>
  <si>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</si>
  <si>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</si>
  <si>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</si>
  <si>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</si>
  <si>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</si>
  <si>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</si>
  <si>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</si>
  <si>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</si>
  <si>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</si>
  <si>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</si>
  <si>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</si>
  <si>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</si>
  <si>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</si>
  <si>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</si>
  <si>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</si>
  <si>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</si>
  <si>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</si>
  <si>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</si>
  <si>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</si>
  <si>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</si>
  <si>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</si>
  <si>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</si>
  <si>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</si>
  <si>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</si>
  <si>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</si>
  <si>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</si>
  <si>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</si>
  <si>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</si>
  <si>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</si>
  <si>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</si>
  <si>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</si>
  <si>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</si>
  <si>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</si>
  <si>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</si>
  <si>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</si>
  <si>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</si>
  <si>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</si>
  <si>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</si>
  <si>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</si>
  <si>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</si>
  <si>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</si>
  <si>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</si>
  <si>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</si>
  <si>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</si>
  <si>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</si>
  <si>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</si>
  <si>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</si>
  <si>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</si>
  <si>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</si>
  <si>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</si>
  <si>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</si>
  <si>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</si>
  <si>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</si>
  <si>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</si>
  <si>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</si>
  <si>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</si>
  <si>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</si>
  <si>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</si>
  <si>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</si>
  <si>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</si>
  <si>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</si>
  <si>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</si>
  <si>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</si>
  <si>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</si>
  <si>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</si>
  <si>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</si>
  <si>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</si>
  <si>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</si>
  <si>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</si>
  <si>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</si>
  <si>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</si>
  <si>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</si>
  <si>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</si>
  <si>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</si>
  <si>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</si>
  <si>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</si>
  <si>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</si>
  <si>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</si>
  <si>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</si>
  <si>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</si>
  <si>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</si>
  <si>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</si>
  <si>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</si>
  <si>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</si>
  <si>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</si>
  <si>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</si>
  <si>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</si>
  <si>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</si>
  <si>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</si>
  <si>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</si>
  <si>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</si>
  <si>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</si>
  <si>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</si>
  <si>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</si>
  <si>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</si>
  <si>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</si>
  <si>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</si>
  <si>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</si>
  <si>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</si>
  <si>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</si>
  <si>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</si>
  <si>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</si>
  <si>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</si>
  <si>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</si>
  <si>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</si>
  <si>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</si>
  <si>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</si>
  <si>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</si>
  <si>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</si>
  <si>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</si>
  <si>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</si>
  <si>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</si>
  <si>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</si>
  <si>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</si>
  <si>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</si>
  <si>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</si>
  <si>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</si>
  <si>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</si>
  <si>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</si>
  <si>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</si>
  <si>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</si>
  <si>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</si>
  <si>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</si>
  <si>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</si>
  <si>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</si>
  <si>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</si>
  <si>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</si>
  <si>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</si>
  <si>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</si>
  <si>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</si>
  <si>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</si>
  <si>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</si>
  <si>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</si>
  <si>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</si>
  <si>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</si>
  <si>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</si>
  <si>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</si>
  <si>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</si>
  <si>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</si>
  <si>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</si>
  <si>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</si>
  <si>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</si>
  <si>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</si>
  <si>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</si>
  <si>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</si>
  <si>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</si>
  <si>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</si>
  <si>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</si>
  <si>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</si>
  <si>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</si>
  <si>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</si>
  <si>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</si>
  <si>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</si>
  <si>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</si>
  <si>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</si>
  <si>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</si>
  <si>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</si>
  <si>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</si>
  <si>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</si>
  <si>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</si>
  <si>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</si>
  <si>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</si>
  <si>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</si>
  <si>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</si>
  <si>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</si>
  <si>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</si>
  <si>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</si>
  <si>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</si>
  <si>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</si>
  <si>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</si>
  <si>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</si>
  <si>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</si>
  <si>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</si>
  <si>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</si>
  <si>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</si>
  <si>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</si>
  <si>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</si>
  <si>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</si>
  <si>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</si>
  <si>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</si>
  <si>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</si>
  <si>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</si>
  <si>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</si>
  <si>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</si>
  <si>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</si>
  <si>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</si>
  <si>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</si>
  <si>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</si>
  <si>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</si>
  <si>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</si>
  <si>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</si>
  <si>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</si>
  <si>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</si>
  <si>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</si>
  <si>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</si>
  <si>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</si>
  <si>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</si>
  <si>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</si>
  <si>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</si>
  <si>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</si>
  <si>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</si>
  <si>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</si>
  <si>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</si>
  <si>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</si>
  <si>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</si>
  <si>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</si>
  <si>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</si>
  <si>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</si>
  <si>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</si>
  <si>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</si>
  <si>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</si>
  <si>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</si>
  <si>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</si>
  <si>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</si>
  <si>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</si>
  <si>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</si>
  <si>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</si>
  <si>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</si>
  <si>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</si>
  <si>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</si>
  <si>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</si>
  <si>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</si>
  <si>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</si>
  <si>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</si>
  <si>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</si>
  <si>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</si>
  <si>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</si>
  <si>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</si>
  <si>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</si>
  <si>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</si>
  <si>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</si>
  <si>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</si>
  <si>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</si>
  <si>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</si>
  <si>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</si>
  <si>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</si>
  <si>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</si>
  <si>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</si>
  <si>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</si>
  <si>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</si>
  <si>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</si>
  <si>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</si>
  <si>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</si>
  <si>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</si>
  <si>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</si>
  <si>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</si>
  <si>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</si>
  <si>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</si>
  <si>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</si>
  <si>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</si>
  <si>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</si>
  <si>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</si>
  <si>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</si>
  <si>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</si>
  <si>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</si>
  <si>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</si>
  <si>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</si>
  <si>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</si>
  <si>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</si>
  <si>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</si>
  <si>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</si>
  <si>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</si>
  <si>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</si>
  <si>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</si>
  <si>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</si>
  <si>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</si>
  <si>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</si>
  <si>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</si>
  <si>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</si>
  <si>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</si>
  <si>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</si>
  <si>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</si>
  <si>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</si>
  <si>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</si>
  <si>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</si>
  <si>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</si>
  <si>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</si>
  <si>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</si>
  <si>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</si>
  <si>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</si>
  <si>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</si>
  <si>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</si>
  <si>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</si>
  <si>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</si>
  <si>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</si>
  <si>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</si>
  <si>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</si>
  <si>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</si>
  <si>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</si>
  <si>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</si>
  <si>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</si>
  <si>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</si>
  <si>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</si>
  <si>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</si>
  <si>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</si>
  <si>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</si>
  <si>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</si>
  <si>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</si>
  <si>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</si>
  <si>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</si>
  <si>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</si>
  <si>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</si>
  <si>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</si>
  <si>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</si>
  <si>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</si>
  <si>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</si>
  <si>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</si>
  <si>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</si>
  <si>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</si>
  <si>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</si>
  <si>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</si>
  <si>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</si>
  <si>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</si>
  <si>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</si>
  <si>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</si>
  <si>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</si>
  <si>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</si>
  <si>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</si>
  <si>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</si>
  <si>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</si>
  <si>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</si>
  <si>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</si>
  <si>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</si>
  <si>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</si>
  <si>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</si>
  <si>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</si>
  <si>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</si>
  <si>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</si>
  <si>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</si>
  <si>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</si>
  <si>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</si>
  <si>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</si>
  <si>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</si>
  <si>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</si>
  <si>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</si>
  <si>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</si>
  <si>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</si>
  <si>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</si>
  <si>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</si>
  <si>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</si>
  <si>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</si>
  <si>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</si>
  <si>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</si>
  <si>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</si>
  <si>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</si>
  <si>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</si>
  <si>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</si>
  <si>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</si>
  <si>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</si>
  <si>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</si>
  <si>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</si>
  <si>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</si>
  <si>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</si>
  <si>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</si>
  <si>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</si>
  <si>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</si>
  <si>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</si>
  <si>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</si>
  <si>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</si>
  <si>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</si>
  <si>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</si>
  <si>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</si>
  <si>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</si>
  <si>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</si>
  <si>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</si>
  <si>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</si>
  <si>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</si>
  <si>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</si>
  <si>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</si>
  <si>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</si>
  <si>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</si>
  <si>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</si>
  <si>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</si>
  <si>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</si>
  <si>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</si>
  <si>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</si>
  <si>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</si>
  <si>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</si>
  <si>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</si>
  <si>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</si>
  <si>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</si>
  <si>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</si>
  <si>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</si>
  <si>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</si>
  <si>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</si>
  <si>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</si>
  <si>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</si>
  <si>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</si>
  <si>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</si>
  <si>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</si>
  <si>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</si>
  <si>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</si>
  <si>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</si>
  <si>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</si>
  <si>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</si>
  <si>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</si>
  <si>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</si>
  <si>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</si>
  <si>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</si>
  <si>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</si>
  <si>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</si>
  <si>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</si>
  <si>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</si>
  <si>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</si>
  <si>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</si>
  <si>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</si>
  <si>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</si>
  <si>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</si>
  <si>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</si>
  <si>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</si>
  <si>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</si>
  <si>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</si>
  <si>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</si>
  <si>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</si>
  <si>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</si>
  <si>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</si>
  <si>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</si>
  <si>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</si>
  <si>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</si>
  <si>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</si>
  <si>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</si>
  <si>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</si>
  <si>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</si>
  <si>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</si>
  <si>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</si>
  <si>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</si>
  <si>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</si>
  <si>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</si>
  <si>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</si>
  <si>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</si>
  <si>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</si>
  <si>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</si>
  <si>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</si>
  <si>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</si>
  <si>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</si>
  <si>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</si>
  <si>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</si>
  <si>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</si>
  <si>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</si>
  <si>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</si>
  <si>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</si>
  <si>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</si>
  <si>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</si>
  <si>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</si>
  <si>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</si>
  <si>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</si>
  <si>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</si>
  <si>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</si>
  <si>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</si>
  <si>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</si>
  <si>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</si>
  <si>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</si>
  <si>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</si>
  <si>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</si>
  <si>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</si>
  <si>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</si>
  <si>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</si>
  <si>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</si>
  <si>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</si>
  <si>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</si>
  <si>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</si>
  <si>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</si>
  <si>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</si>
  <si>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</si>
  <si>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</si>
  <si>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</si>
  <si>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</si>
  <si>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</si>
  <si>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</si>
  <si>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</si>
  <si>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</si>
  <si>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</si>
  <si>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</si>
  <si>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</si>
  <si>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</si>
  <si>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</si>
  <si>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</si>
  <si>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</si>
  <si>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</si>
  <si>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</si>
  <si>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</si>
  <si>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</si>
  <si>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</si>
  <si>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</si>
  <si>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</si>
  <si>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</si>
  <si>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</si>
  <si>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</si>
  <si>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</si>
  <si>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</si>
  <si>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</si>
  <si>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</si>
  <si>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</si>
  <si>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</si>
  <si>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</si>
  <si>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</si>
  <si>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</si>
  <si>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</si>
  <si>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</si>
  <si>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</si>
  <si>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</si>
  <si>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</si>
  <si>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</si>
  <si>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</si>
  <si>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</si>
  <si>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</si>
  <si>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</si>
  <si>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</si>
  <si>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</si>
  <si>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</si>
  <si>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</si>
  <si>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</si>
  <si>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</si>
  <si>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</si>
  <si>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</si>
  <si>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</si>
  <si>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</si>
  <si>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</si>
  <si>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</si>
  <si>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</si>
  <si>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</si>
  <si>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</si>
  <si>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</si>
  <si>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</si>
  <si>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</si>
  <si>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</si>
  <si>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</si>
  <si>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</si>
  <si>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</si>
  <si>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</si>
  <si>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</si>
  <si>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</si>
  <si>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</si>
  <si>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</si>
  <si>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</si>
  <si>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</si>
  <si>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</si>
  <si>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</si>
  <si>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</si>
  <si>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</si>
  <si>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</si>
  <si>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</si>
  <si>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</si>
  <si>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</si>
  <si>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</si>
  <si>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</si>
  <si>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</si>
  <si>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</si>
  <si>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</si>
  <si>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</si>
  <si>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</si>
  <si>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</si>
  <si>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</si>
  <si>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</si>
  <si>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</si>
  <si>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</si>
  <si>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</si>
  <si>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</si>
  <si>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</si>
  <si>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</si>
  <si>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</si>
  <si>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</si>
  <si>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</si>
  <si>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</si>
  <si>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</si>
  <si>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</si>
  <si>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</si>
  <si>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</si>
  <si>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</si>
  <si>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</si>
  <si>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</si>
  <si>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</si>
  <si>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</si>
  <si>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</si>
  <si>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</si>
  <si>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</si>
  <si>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</si>
  <si>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</si>
  <si>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</si>
  <si>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</si>
  <si>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</si>
  <si>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</si>
  <si>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</si>
  <si>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</si>
  <si>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</si>
  <si>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</si>
  <si>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</si>
  <si>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</si>
  <si>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</si>
  <si>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</si>
  <si>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</si>
  <si>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</si>
  <si>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</si>
  <si>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</si>
  <si>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</si>
  <si>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</si>
  <si>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</si>
  <si>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</si>
  <si>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</si>
  <si>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</si>
  <si>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</si>
  <si>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</si>
  <si>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</si>
  <si>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</si>
  <si>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</si>
  <si>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</si>
  <si>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</si>
  <si>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</si>
  <si>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</si>
  <si>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</si>
  <si>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</si>
  <si>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</si>
  <si>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</si>
  <si>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</si>
  <si>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</si>
  <si>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</si>
  <si>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</si>
  <si>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</si>
  <si>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</si>
  <si>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</si>
  <si>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</si>
  <si>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</si>
  <si>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</si>
  <si>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</si>
  <si>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</si>
  <si>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</si>
  <si>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</si>
  <si>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</si>
  <si>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</si>
  <si>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</si>
  <si>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</si>
  <si>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</si>
  <si>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</si>
  <si>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</si>
  <si>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</si>
  <si>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</si>
  <si>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</si>
  <si>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</si>
  <si>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</si>
  <si>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</si>
  <si>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</si>
  <si>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</si>
  <si>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</si>
  <si>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</si>
  <si>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</si>
  <si>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</si>
  <si>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</si>
  <si>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</si>
  <si>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</si>
  <si>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</si>
  <si>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</si>
  <si>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</si>
  <si>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</si>
  <si>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</si>
  <si>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</si>
  <si>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</si>
  <si>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</si>
  <si>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</si>
  <si>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</si>
  <si>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</si>
  <si>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</si>
  <si>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</si>
  <si>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</si>
  <si>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</si>
  <si>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</si>
  <si>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</si>
  <si>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</si>
  <si>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</si>
  <si>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</si>
  <si>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</si>
  <si>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</si>
  <si>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</si>
  <si>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</si>
  <si>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</si>
  <si>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</si>
  <si>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</si>
  <si>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</si>
  <si>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</si>
  <si>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</si>
  <si>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</si>
  <si>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</si>
  <si>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</si>
  <si>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</si>
  <si>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</si>
  <si>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</si>
  <si>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</si>
  <si>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</si>
  <si>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</si>
  <si>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</si>
  <si>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</si>
  <si>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</si>
  <si>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</si>
  <si>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</si>
  <si>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</si>
  <si>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</si>
  <si>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</si>
  <si>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</si>
  <si>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</si>
  <si>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</si>
  <si>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</si>
  <si>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</si>
  <si>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</si>
  <si>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</si>
  <si>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</si>
  <si>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</si>
  <si>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</si>
  <si>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</si>
  <si>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</si>
  <si>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</si>
  <si>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</si>
  <si>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</si>
  <si>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</si>
  <si>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</si>
  <si>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</si>
  <si>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</si>
  <si>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</si>
  <si>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</si>
  <si>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</si>
  <si>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</si>
  <si>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</si>
  <si>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</si>
  <si>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</si>
  <si>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</si>
  <si>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</si>
  <si>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</si>
  <si>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</si>
  <si>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</si>
  <si>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</si>
  <si>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</si>
  <si>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</si>
  <si>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</si>
  <si>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</si>
  <si>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</si>
  <si>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</si>
  <si>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</si>
  <si>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</si>
  <si>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</si>
  <si>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</si>
  <si>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</si>
  <si>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</si>
  <si>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</si>
  <si>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</si>
  <si>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</si>
  <si>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</si>
  <si>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</si>
  <si>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</si>
  <si>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</si>
  <si>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</si>
  <si>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</si>
  <si>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</si>
  <si>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</si>
  <si>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</si>
  <si>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</si>
  <si>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</si>
  <si>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</si>
  <si>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</si>
  <si>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</si>
  <si>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</si>
  <si>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</si>
  <si>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</si>
  <si>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</si>
  <si>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</si>
  <si>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</si>
  <si>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</si>
  <si>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</si>
  <si>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</si>
  <si>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</si>
  <si>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</si>
  <si>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</si>
  <si>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</si>
  <si>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</si>
  <si>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</si>
  <si>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</si>
  <si>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</si>
  <si>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</si>
  <si>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</si>
  <si>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</si>
  <si>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</si>
  <si>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</si>
  <si>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</si>
  <si>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</si>
  <si>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</si>
  <si>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</si>
  <si>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</si>
  <si>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</si>
  <si>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</si>
  <si>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Count of TX ID</t>
  </si>
  <si>
    <t>Sum of Quantity</t>
  </si>
  <si>
    <t>Sum of Amount</t>
  </si>
  <si>
    <t>Average of Rating C</t>
  </si>
  <si>
    <t>Average of Days to Deliver</t>
  </si>
  <si>
    <t>AVG Rating</t>
  </si>
  <si>
    <t>AVG Days to deliver</t>
  </si>
  <si>
    <t>Grand Total</t>
  </si>
  <si>
    <t>For Matrix</t>
  </si>
  <si>
    <t>Female</t>
  </si>
  <si>
    <t>Male</t>
  </si>
  <si>
    <t>Other</t>
  </si>
  <si>
    <t>Unknown</t>
  </si>
  <si>
    <t>Quantity2</t>
  </si>
  <si>
    <t>6 To 10</t>
  </si>
  <si>
    <t>More than 10</t>
  </si>
  <si>
    <t>Map Chart (Qty)</t>
  </si>
  <si>
    <t>Map Chart for Amount</t>
  </si>
  <si>
    <t>Qty</t>
  </si>
  <si>
    <t>Months (Order Date)</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</si>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</sst>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0"/>
  </numFmts>
  <fonts count="4"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s>
  <fills count="9">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rgb="FFCCFF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20">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2" fontId="0" fillId="0" borderId="0" xfId="0" applyNumberFormat="1"/>
    <xf numFmtId="0" fontId="0" fillId="8" borderId="1" xfId="0" applyFill="1" applyBorder="1"/>
    <xf numFmtId="0" fontId="1" fillId="0" borderId="1" xfId="0" applyFont="1" applyBorder="1"/>
    <xf numFmtId="0" fontId="1" fillId="0" borderId="0" xfId="0" applyFont="1"/>
    <xf numFmtId="0" fontId="0" fillId="0" borderId="0" xfId="0" pivotButton="1"/>
    <xf numFmtId="164" fontId="0" fillId="0" borderId="0" xfId="0" applyNumberFormat="1"/>
    <xf numFmtId="10" fontId="0" fillId="0" borderId="0" xfId="0" applyNumberFormat="1"/>
    <xf numFmtId="10" fontId="1" fillId="0" borderId="0" xfId="0" applyNumberFormat="1" applyFont="1" applyAlignment="1">
      <alignment horizontal="center" vertical="center"/>
    </xf>
  </cellXfs>
  <cellStyles count="2">
    <cellStyle name="Hyperlink" xfId="1" builtinId="8"/>
    <cellStyle name="Normal" xfId="0" builtinId="0"/>
  </cellStyles>
  <dxfs count="7">
    <dxf>
      <numFmt numFmtId="0" formatCode="General"/>
    </dxf>
    <dxf>
      <numFmt numFmtId="0" formatCode="General"/>
    </dxf>
    <dxf>
      <numFmt numFmtId="0" formatCode="General"/>
    </dxf>
    <dxf>
      <numFmt numFmtId="165" formatCode="d\-mmm\-yy"/>
    </dxf>
    <dxf>
      <numFmt numFmtId="165" formatCode="d\-mmm\-yy"/>
    </dxf>
    <dxf>
      <font>
        <b/>
        <i val="0"/>
        <sz val="11"/>
        <color theme="0"/>
        <name val="Aptos Narrow"/>
        <family val="2"/>
        <scheme val="minor"/>
      </font>
      <border>
        <left style="thin">
          <color theme="0"/>
        </left>
        <right style="thin">
          <color theme="0"/>
        </right>
        <top style="thin">
          <color theme="0"/>
        </top>
        <bottom style="thin">
          <color theme="0"/>
        </bottom>
      </border>
    </dxf>
    <dxf>
      <fill>
        <patternFill>
          <bgColor rgb="FF325F2B"/>
        </patternFill>
      </fill>
      <border>
        <left style="thin">
          <color theme="0"/>
        </left>
        <right style="thin">
          <color theme="0"/>
        </right>
        <top style="thin">
          <color theme="0"/>
        </top>
        <bottom style="thin">
          <color theme="0"/>
        </bottom>
      </border>
    </dxf>
  </dxfs>
  <tableStyles count="1" defaultTableStyle="TableStyleMedium2" defaultPivotStyle="PivotStyleLight16">
    <tableStyle name="Greeb Slicer" pivot="0" table="0" count="6" xr9:uid="{57531241-DB65-4ACE-B50A-DF99E19BED01}">
      <tableStyleElement type="wholeTable" dxfId="6"/>
      <tableStyleElement type="headerRow" dxfId="5"/>
    </tableStyle>
  </tableStyles>
  <colors>
    <mruColors>
      <color rgb="FF007033"/>
      <color rgb="FFDEA900"/>
      <color rgb="FFA5C3B2"/>
      <color rgb="FF325F2B"/>
      <color rgb="FFEAB200"/>
      <color rgb="FFCCFFCC"/>
      <color rgb="FFB4DAAE"/>
      <color rgb="FF2D6921"/>
    </mruColors>
  </colors>
  <extLst>
    <ext xmlns:x14="http://schemas.microsoft.com/office/spreadsheetml/2009/9/main" uri="{46F421CA-312F-682f-3DD2-61675219B42D}">
      <x14:dxfs count="4">
        <dxf>
          <font>
            <b/>
            <i val="0"/>
            <color theme="0"/>
            <name val="Aptos Narrow"/>
            <family val="2"/>
            <scheme val="minor"/>
          </font>
          <fill>
            <patternFill>
              <bgColor theme="4" tint="0.39994506668294322"/>
            </patternFill>
          </fill>
          <border>
            <left style="thin">
              <color theme="0"/>
            </left>
            <right style="thin">
              <color theme="0"/>
            </right>
            <top style="thin">
              <color theme="0"/>
            </top>
            <bottom style="thin">
              <color theme="0"/>
            </bottom>
          </border>
        </dxf>
        <dxf>
          <font>
            <b/>
            <i val="0"/>
            <color theme="0"/>
            <name val="Aptos Narrow"/>
            <family val="2"/>
            <scheme val="minor"/>
          </font>
          <fill>
            <patternFill>
              <bgColor rgb="FFA5C3B2"/>
            </patternFill>
          </fill>
          <border>
            <left style="thin">
              <color theme="0"/>
            </left>
            <right style="thin">
              <color theme="0"/>
            </right>
            <top style="thin">
              <color theme="0"/>
            </top>
            <bottom style="thin">
              <color theme="0"/>
            </bottom>
          </border>
        </dxf>
        <dxf>
          <font>
            <b val="0"/>
            <i val="0"/>
            <strike/>
            <color theme="0"/>
            <name val="Aptos Narrow"/>
            <family val="2"/>
            <scheme val="minor"/>
          </font>
          <border diagonalDown="1">
            <left style="thin">
              <color theme="0"/>
            </left>
            <right style="thin">
              <color theme="0"/>
            </right>
            <top style="thin">
              <color theme="0"/>
            </top>
            <bottom style="thin">
              <color theme="0"/>
            </bottom>
            <diagonal style="thin">
              <color theme="0"/>
            </diagonal>
          </border>
        </dxf>
        <dxf>
          <font>
            <b val="0"/>
            <i val="0"/>
            <strike/>
            <color theme="0"/>
            <name val="Aptos Narrow"/>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Greeb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[retail_clothing_sales_perf_completed.xlsx]Trends!Trends</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solidFill>
                  <a:schemeClr val="bg1">
                    <a:lumMod val="50000"/>
                  </a:schemeClr>
                </a:solidFill>
                <a:latin typeface="Cambria" panose="02040503050406030204" pitchFamily="18" charset="0"/>
                <a:ea typeface="Cambria" panose="02040503050406030204" pitchFamily="18" charset="0"/>
              </a:rPr>
              <a:t>Last 13 Week Trends - Qty</a:t>
            </a:r>
            <a:r>
              <a:rPr lang="en-IN" sz="1200" b="1" baseline="0">
                <a:solidFill>
                  <a:schemeClr val="bg1">
                    <a:lumMod val="50000"/>
                  </a:schemeClr>
                </a:solidFill>
                <a:latin typeface="Cambria" panose="02040503050406030204" pitchFamily="18" charset="0"/>
                <a:ea typeface="Cambria" panose="02040503050406030204" pitchFamily="18" charset="0"/>
              </a:rPr>
              <a:t> vs Amount</a:t>
            </a:r>
            <a:endParaRPr lang="en-IN" sz="1200" b="1">
              <a:solidFill>
                <a:schemeClr val="bg1">
                  <a:lumMod val="50000"/>
                </a:schemeClr>
              </a:solidFill>
              <a:latin typeface="Cambria" panose="02040503050406030204" pitchFamily="18" charset="0"/>
              <a:ea typeface="Cambria" panose="020405030504060302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Trends!$B$3</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Trends!$A$4:$A$17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Trends!$B$4:$B$17</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4B76-4779-B0E7-5D8A54B4D8A6}"/>
            </c:ext>
          </c:extLst>
        </c:ser>
        <c:dLbls>
          <c:showLegendKey val="0"/>
          <c:showVal val="0"/>
          <c:showCatName val="0"/>
          <c:showSerName val="0"/>
          <c:showPercent val="0"/>
          <c:showBubbleSize val="0"/>
        </c:dLbls>
        <c:marker val="1"/>
        <c:smooth val="0"/>
        <c:axId val="1850730095"/>
        <c:axId val="1760437039"/>
      </c:lineChart>
      <c:lineChart>
        <c:grouping val="standard"/>
        <c:varyColors val="0"/>
        <c:ser>
          <c:idx val="1"/>
          <c:order val="1"/>
          <c:tx>
            <c:strRef>
              <c:f>Trends!$C$3</c:f>
              <c:strCache>
                <c:ptCount val="1"/>
                <c:pt idx="0">
                  <c:v>Sum of Amount</c:v>
                </c:pt>
              </c:strCache>
            </c:strRef>
          </c:tx>
          <c:spPr>
            <a:ln w="28575" cap="rnd">
              <a:solidFill>
                <a:schemeClr val="accent2"/>
              </a:solidFill>
              <a:round/>
            </a:ln>
            <a:effectLst/>
          </c:spPr>
          <c:marker>
            <c:symbol val="none"/>
          </c:marker>
          <c:cat>
            <c:strRef>
              <c:f>Trends!$A$4:$A$17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Trends!$C$4:$C$17</c:f>
              <c:numCache>
                <c:formatCode>[$$-409]#,##0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4B76-4779-B0E7-5D8A54B4D8A6}"/>
            </c:ext>
          </c:extLst>
        </c:ser>
        <c:dLbls>
          <c:showLegendKey val="0"/>
          <c:showVal val="0"/>
          <c:showCatName val="0"/>
          <c:showSerName val="0"/>
          <c:showPercent val="0"/>
          <c:showBubbleSize val="0"/>
        </c:dLbls>
        <c:marker val="1"/>
        <c:smooth val="0"/>
        <c:axId val="1924004687"/>
        <c:axId val="1760431759"/>
      </c:lineChart>
      <c:catAx>
        <c:axId val="1850730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37039"/>
        <c:crosses val="autoZero"/>
        <c:auto val="1"/>
        <c:lblAlgn val="ctr"/>
        <c:lblOffset val="100"/>
        <c:noMultiLvlLbl val="0"/>
      </c:catAx>
      <c:valAx>
        <c:axId val="176043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730095"/>
        <c:crosses val="autoZero"/>
        <c:crossBetween val="between"/>
      </c:valAx>
      <c:valAx>
        <c:axId val="1760431759"/>
        <c:scaling>
          <c:orientation val="minMax"/>
        </c:scaling>
        <c:delete val="0"/>
        <c:axPos val="r"/>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4004687"/>
        <c:crosses val="max"/>
        <c:crossBetween val="between"/>
      </c:valAx>
      <c:catAx>
        <c:axId val="1924004687"/>
        <c:scaling>
          <c:orientation val="minMax"/>
        </c:scaling>
        <c:delete val="1"/>
        <c:axPos val="b"/>
        <c:numFmt formatCode="General" sourceLinked="1"/>
        <c:majorTickMark val="out"/>
        <c:minorTickMark val="none"/>
        <c:tickLblPos val="nextTo"/>
        <c:crossAx val="176043175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[retail_clothing_sales_perf_completed.xlsx]How Many!How many bought</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lumMod val="50000"/>
                  </a:schemeClr>
                </a:solidFill>
                <a:effectLst/>
                <a:latin typeface="Cambria" panose="02040503050406030204" pitchFamily="18" charset="0"/>
                <a:ea typeface="Cambria" panose="02040503050406030204" pitchFamily="18" charset="0"/>
              </a:rPr>
              <a:t>How many they buy?</a:t>
            </a:r>
            <a:endParaRPr lang="en-US" sz="1200" b="1">
              <a:solidFill>
                <a:schemeClr val="bg1">
                  <a:lumMod val="50000"/>
                </a:schemeClr>
              </a:solidFill>
              <a:latin typeface="Cambria" panose="02040503050406030204" pitchFamily="18" charset="0"/>
              <a:ea typeface="Cambria" panose="020405030504060302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chemeClr val="bg1">
                <a:lumMod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'How Many'!$B$3</c:f>
              <c:strCache>
                <c:ptCount val="1"/>
                <c:pt idx="0">
                  <c:v>Total</c:v>
                </c:pt>
              </c:strCache>
            </c:strRef>
          </c:tx>
          <c:spPr>
            <a:solidFill>
              <a:schemeClr val="accent1"/>
            </a:solidFill>
            <a:ln>
              <a:solidFill>
                <a:schemeClr val="bg1">
                  <a:lumMod val="85000"/>
                </a:schemeClr>
              </a:solidFill>
            </a:ln>
            <a:effectLst/>
          </c:spPr>
          <c:invertIfNegative val="0"/>
          <c:cat>
            <c:strRef>
              <c:f>'How Many'!$A$4:$A$11</c:f>
              <c:strCache>
                <c:ptCount val="7"/>
                <c:pt idx="0">
                  <c:v>1</c:v>
                </c:pt>
                <c:pt idx="1">
                  <c:v>2</c:v>
                </c:pt>
                <c:pt idx="2">
                  <c:v>3</c:v>
                </c:pt>
                <c:pt idx="3">
                  <c:v>4</c:v>
                </c:pt>
                <c:pt idx="4">
                  <c:v>5</c:v>
                </c:pt>
                <c:pt idx="5">
                  <c:v>6 To 10</c:v>
                </c:pt>
                <c:pt idx="6">
                  <c:v>More than 10</c:v>
                </c:pt>
              </c:strCache>
            </c:strRef>
          </c:cat>
          <c:val>
            <c:numRef>
              <c:f>'How Many'!$B$4:$B$11</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C8FC-4EA9-A44F-3329F767F73E}"/>
            </c:ext>
          </c:extLst>
        </c:ser>
        <c:dLbls>
          <c:showLegendKey val="0"/>
          <c:showVal val="0"/>
          <c:showCatName val="0"/>
          <c:showSerName val="0"/>
          <c:showPercent val="0"/>
          <c:showBubbleSize val="0"/>
        </c:dLbls>
        <c:gapWidth val="0"/>
        <c:overlap val="-27"/>
        <c:axId val="1917165615"/>
        <c:axId val="1760456719"/>
      </c:barChart>
      <c:catAx>
        <c:axId val="191716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56719"/>
        <c:crosses val="autoZero"/>
        <c:auto val="1"/>
        <c:lblAlgn val="ctr"/>
        <c:lblOffset val="100"/>
        <c:noMultiLvlLbl val="0"/>
      </c:catAx>
      <c:valAx>
        <c:axId val="17604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165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[retail_clothing_sales_perf_completed.xlsx]Popular Products!Popular prods</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solidFill>
                  <a:schemeClr val="bg1">
                    <a:lumMod val="50000"/>
                  </a:schemeClr>
                </a:solidFill>
                <a:effectLst/>
                <a:latin typeface="Cambria" panose="02040503050406030204" pitchFamily="18" charset="0"/>
                <a:ea typeface="Cambria" panose="02040503050406030204" pitchFamily="18" charset="0"/>
              </a:rPr>
              <a:t>Which products are popular?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'Popular Products'!$B$3:$B$4</c:f>
              <c:strCache>
                <c:ptCount val="1"/>
                <c:pt idx="0">
                  <c:v>Female</c:v>
                </c:pt>
              </c:strCache>
            </c:strRef>
          </c:tx>
          <c:spPr>
            <a:solidFill>
              <a:schemeClr val="accent1"/>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Products'!$B$5:$B$25</c:f>
              <c:numCache>
                <c:formatCode>General</c:formatCode>
                <c:ptCount val="20"/>
                <c:pt idx="0">
                  <c:v>744</c:v>
                </c:pt>
                <c:pt idx="1">
                  <c:v>716</c:v>
                </c:pt>
                <c:pt idx="2">
                  <c:v>627</c:v>
                </c:pt>
                <c:pt idx="3">
                  <c:v>568</c:v>
                </c:pt>
                <c:pt idx="4">
                  <c:v>482</c:v>
                </c:pt>
                <c:pt idx="5">
                  <c:v>445</c:v>
                </c:pt>
                <c:pt idx="6">
                  <c:v>431</c:v>
                </c:pt>
                <c:pt idx="7">
                  <c:v>428</c:v>
                </c:pt>
                <c:pt idx="8">
                  <c:v>296</c:v>
                </c:pt>
                <c:pt idx="9">
                  <c:v>264</c:v>
                </c:pt>
                <c:pt idx="10">
                  <c:v>234</c:v>
                </c:pt>
                <c:pt idx="11">
                  <c:v>189</c:v>
                </c:pt>
                <c:pt idx="12">
                  <c:v>179</c:v>
                </c:pt>
                <c:pt idx="13">
                  <c:v>153</c:v>
                </c:pt>
                <c:pt idx="14">
                  <c:v>146</c:v>
                </c:pt>
                <c:pt idx="15">
                  <c:v>127</c:v>
                </c:pt>
                <c:pt idx="16">
                  <c:v>99</c:v>
                </c:pt>
                <c:pt idx="17">
                  <c:v>75</c:v>
                </c:pt>
                <c:pt idx="18">
                  <c:v>43</c:v>
                </c:pt>
                <c:pt idx="19">
                  <c:v>26</c:v>
                </c:pt>
              </c:numCache>
            </c:numRef>
          </c:val>
          <c:extLst>
            <c:ext xmlns:c16="http://schemas.microsoft.com/office/drawing/2014/chart" uri="{C3380CC4-5D6E-409C-BE32-E72D297353CC}">
              <c16:uniqueId val="{00000000-97C2-4B1E-ADBA-1E79F738109F}"/>
            </c:ext>
          </c:extLst>
        </c:ser>
        <c:ser>
          <c:idx val="1"/>
          <c:order val="1"/>
          <c:tx>
            <c:strRef>
              <c:f>'Popular Products'!$C$3:$C$4</c:f>
              <c:strCache>
                <c:ptCount val="1"/>
                <c:pt idx="0">
                  <c:v>Male</c:v>
                </c:pt>
              </c:strCache>
            </c:strRef>
          </c:tx>
          <c:spPr>
            <a:solidFill>
              <a:schemeClr val="accent2"/>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Products'!$C$5:$C$25</c:f>
              <c:numCache>
                <c:formatCode>General</c:formatCode>
                <c:ptCount val="20"/>
                <c:pt idx="0">
                  <c:v>713</c:v>
                </c:pt>
                <c:pt idx="1">
                  <c:v>598</c:v>
                </c:pt>
                <c:pt idx="2">
                  <c:v>393</c:v>
                </c:pt>
                <c:pt idx="3">
                  <c:v>306</c:v>
                </c:pt>
                <c:pt idx="4">
                  <c:v>295</c:v>
                </c:pt>
                <c:pt idx="5">
                  <c:v>202</c:v>
                </c:pt>
                <c:pt idx="6">
                  <c:v>187</c:v>
                </c:pt>
                <c:pt idx="7">
                  <c:v>293</c:v>
                </c:pt>
                <c:pt idx="8">
                  <c:v>275</c:v>
                </c:pt>
                <c:pt idx="9">
                  <c:v>318</c:v>
                </c:pt>
                <c:pt idx="10">
                  <c:v>93</c:v>
                </c:pt>
                <c:pt idx="11">
                  <c:v>168</c:v>
                </c:pt>
                <c:pt idx="12">
                  <c:v>76</c:v>
                </c:pt>
                <c:pt idx="13">
                  <c:v>246</c:v>
                </c:pt>
                <c:pt idx="14">
                  <c:v>94</c:v>
                </c:pt>
                <c:pt idx="15">
                  <c:v>118</c:v>
                </c:pt>
                <c:pt idx="16">
                  <c:v>69</c:v>
                </c:pt>
                <c:pt idx="17">
                  <c:v>103</c:v>
                </c:pt>
                <c:pt idx="18">
                  <c:v>90</c:v>
                </c:pt>
                <c:pt idx="19">
                  <c:v>35</c:v>
                </c:pt>
              </c:numCache>
            </c:numRef>
          </c:val>
          <c:extLst>
            <c:ext xmlns:c16="http://schemas.microsoft.com/office/drawing/2014/chart" uri="{C3380CC4-5D6E-409C-BE32-E72D297353CC}">
              <c16:uniqueId val="{00000001-97C2-4B1E-ADBA-1E79F738109F}"/>
            </c:ext>
          </c:extLst>
        </c:ser>
        <c:ser>
          <c:idx val="2"/>
          <c:order val="2"/>
          <c:tx>
            <c:strRef>
              <c:f>'Popular Products'!$D$3:$D$4</c:f>
              <c:strCache>
                <c:ptCount val="1"/>
                <c:pt idx="0">
                  <c:v>Other</c:v>
                </c:pt>
              </c:strCache>
            </c:strRef>
          </c:tx>
          <c:spPr>
            <a:solidFill>
              <a:schemeClr val="accent3"/>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Products'!$D$5:$D$25</c:f>
              <c:numCache>
                <c:formatCode>General</c:formatCode>
                <c:ptCount val="20"/>
                <c:pt idx="0">
                  <c:v>90</c:v>
                </c:pt>
                <c:pt idx="1">
                  <c:v>18</c:v>
                </c:pt>
                <c:pt idx="2">
                  <c:v>29</c:v>
                </c:pt>
                <c:pt idx="3">
                  <c:v>22</c:v>
                </c:pt>
                <c:pt idx="4">
                  <c:v>8</c:v>
                </c:pt>
                <c:pt idx="5">
                  <c:v>14</c:v>
                </c:pt>
                <c:pt idx="6">
                  <c:v>14</c:v>
                </c:pt>
                <c:pt idx="8">
                  <c:v>9</c:v>
                </c:pt>
                <c:pt idx="9">
                  <c:v>15</c:v>
                </c:pt>
                <c:pt idx="10">
                  <c:v>19</c:v>
                </c:pt>
                <c:pt idx="11">
                  <c:v>10</c:v>
                </c:pt>
                <c:pt idx="12">
                  <c:v>3</c:v>
                </c:pt>
                <c:pt idx="13">
                  <c:v>30</c:v>
                </c:pt>
                <c:pt idx="14">
                  <c:v>4</c:v>
                </c:pt>
                <c:pt idx="15">
                  <c:v>13</c:v>
                </c:pt>
                <c:pt idx="16">
                  <c:v>3</c:v>
                </c:pt>
                <c:pt idx="17">
                  <c:v>4</c:v>
                </c:pt>
                <c:pt idx="18">
                  <c:v>8</c:v>
                </c:pt>
                <c:pt idx="19">
                  <c:v>4</c:v>
                </c:pt>
              </c:numCache>
            </c:numRef>
          </c:val>
          <c:extLst>
            <c:ext xmlns:c16="http://schemas.microsoft.com/office/drawing/2014/chart" uri="{C3380CC4-5D6E-409C-BE32-E72D297353CC}">
              <c16:uniqueId val="{00000002-97C2-4B1E-ADBA-1E79F738109F}"/>
            </c:ext>
          </c:extLst>
        </c:ser>
        <c:ser>
          <c:idx val="3"/>
          <c:order val="3"/>
          <c:tx>
            <c:strRef>
              <c:f>'Popular Products'!$E$3:$E$4</c:f>
              <c:strCache>
                <c:ptCount val="1"/>
                <c:pt idx="0">
                  <c:v>Unknown</c:v>
                </c:pt>
              </c:strCache>
            </c:strRef>
          </c:tx>
          <c:spPr>
            <a:solidFill>
              <a:schemeClr val="accent4"/>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Products'!$E$5:$E$25</c:f>
              <c:numCache>
                <c:formatCode>General</c:formatCode>
                <c:ptCount val="20"/>
                <c:pt idx="0">
                  <c:v>98</c:v>
                </c:pt>
                <c:pt idx="1">
                  <c:v>214</c:v>
                </c:pt>
                <c:pt idx="2">
                  <c:v>137</c:v>
                </c:pt>
                <c:pt idx="3">
                  <c:v>16</c:v>
                </c:pt>
                <c:pt idx="4">
                  <c:v>22</c:v>
                </c:pt>
                <c:pt idx="5">
                  <c:v>39</c:v>
                </c:pt>
                <c:pt idx="6">
                  <c:v>15</c:v>
                </c:pt>
                <c:pt idx="7">
                  <c:v>24</c:v>
                </c:pt>
                <c:pt idx="8">
                  <c:v>23</c:v>
                </c:pt>
                <c:pt idx="9">
                  <c:v>9</c:v>
                </c:pt>
                <c:pt idx="10">
                  <c:v>24</c:v>
                </c:pt>
                <c:pt idx="11">
                  <c:v>31</c:v>
                </c:pt>
                <c:pt idx="13">
                  <c:v>8</c:v>
                </c:pt>
                <c:pt idx="14">
                  <c:v>28</c:v>
                </c:pt>
                <c:pt idx="15">
                  <c:v>12</c:v>
                </c:pt>
                <c:pt idx="16">
                  <c:v>24</c:v>
                </c:pt>
                <c:pt idx="17">
                  <c:v>6</c:v>
                </c:pt>
                <c:pt idx="18">
                  <c:v>6</c:v>
                </c:pt>
              </c:numCache>
            </c:numRef>
          </c:val>
          <c:extLst>
            <c:ext xmlns:c16="http://schemas.microsoft.com/office/drawing/2014/chart" uri="{C3380CC4-5D6E-409C-BE32-E72D297353CC}">
              <c16:uniqueId val="{00000003-97C2-4B1E-ADBA-1E79F738109F}"/>
            </c:ext>
          </c:extLst>
        </c:ser>
        <c:dLbls>
          <c:showLegendKey val="0"/>
          <c:showVal val="0"/>
          <c:showCatName val="0"/>
          <c:showSerName val="0"/>
          <c:showPercent val="0"/>
          <c:showBubbleSize val="0"/>
        </c:dLbls>
        <c:gapWidth val="60"/>
        <c:overlap val="100"/>
        <c:axId val="1917165615"/>
        <c:axId val="1760456719"/>
      </c:barChart>
      <c:catAx>
        <c:axId val="1917165615"/>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56719"/>
        <c:crosses val="autoZero"/>
        <c:auto val="1"/>
        <c:lblAlgn val="ctr"/>
        <c:lblOffset val="100"/>
        <c:noMultiLvlLbl val="0"/>
      </c:catAx>
      <c:valAx>
        <c:axId val="1760456719"/>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16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[retail_clothing_sales_perf_completed.xlsx]Gender Split!Gender split</c:name>
    <c:fmtId val="29"/>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1666666666666563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4"/>
          </a:solidFill>
          <a:ln w="19050">
            <a:solidFill>
              <a:schemeClr val="lt1"/>
            </a:solidFill>
          </a:ln>
          <a:effectLst/>
        </c:spPr>
        <c:dLbl>
          <c:idx val="0"/>
          <c:layout>
            <c:manualLayout>
              <c:x val="-0.05"/>
              <c:y val="-0.1435185185185185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1277777777777778"/>
              <c:y val="-3.703703703703703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solidFill>
          <a:ln w="19050">
            <a:solidFill>
              <a:schemeClr val="lt1"/>
            </a:solidFill>
          </a:ln>
          <a:effectLst/>
        </c:spPr>
        <c:dLbl>
          <c:idx val="0"/>
          <c:layout>
            <c:manualLayout>
              <c:x val="-0.1027777777777778"/>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9.1666666666666563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027777777777778"/>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277777777777778"/>
              <c:y val="-3.703703703703703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05"/>
              <c:y val="-0.1435185185185185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9.3797327058255567E-2"/>
              <c:y val="0.33160968515299222"/>
            </c:manualLayout>
          </c:layout>
          <c:spPr>
            <a:noFill/>
            <a:ln>
              <a:noFill/>
            </a:ln>
            <a:effectLst/>
          </c:spPr>
          <c:txPr>
            <a:bodyPr rot="0" spcFirstLastPara="1" vertOverflow="overflow" horzOverflow="overflow" vert="horz" wrap="square" lIns="38100" tIns="19050" rIns="38100" bIns="19050" anchor="ctr" anchorCtr="1">
              <a:no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7547892720306516"/>
                  <c:h val="0.29809531384334531"/>
                </c:manualLayout>
              </c15:layout>
            </c:ext>
          </c:extLst>
        </c:dLbl>
      </c:pivotFmt>
      <c:pivotFmt>
        <c:idx val="12"/>
        <c:spPr>
          <a:solidFill>
            <a:schemeClr val="accent1"/>
          </a:solidFill>
          <a:ln w="19050">
            <a:solidFill>
              <a:schemeClr val="lt1"/>
            </a:solidFill>
          </a:ln>
          <a:effectLst/>
        </c:spPr>
        <c:dLbl>
          <c:idx val="0"/>
          <c:layout>
            <c:manualLayout>
              <c:x val="-0.15086206896551724"/>
              <c:y val="0.32105874374067805"/>
            </c:manualLayout>
          </c:layout>
          <c:spPr>
            <a:noFill/>
            <a:ln>
              <a:noFill/>
            </a:ln>
            <a:effectLst/>
          </c:spPr>
          <c:txPr>
            <a:bodyPr rot="0" spcFirstLastPara="1" vertOverflow="overflow" horzOverflow="overflow"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27658008266208106"/>
              <c:y val="-9.1990891016785981E-2"/>
            </c:manualLayout>
          </c:layout>
          <c:spPr>
            <a:noFill/>
            <a:ln>
              <a:noFill/>
            </a:ln>
            <a:effectLst/>
          </c:spPr>
          <c:txPr>
            <a:bodyPr rot="0" spcFirstLastPara="1" vertOverflow="overflow" horzOverflow="overflow"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2088122605363986"/>
                  <c:h val="0.24026011900027647"/>
                </c:manualLayout>
              </c15:layout>
            </c:ext>
          </c:extLst>
        </c:dLbl>
      </c:pivotFmt>
      <c:pivotFmt>
        <c:idx val="14"/>
        <c:spPr>
          <a:solidFill>
            <a:schemeClr val="accent1"/>
          </a:solidFill>
          <a:ln w="19050">
            <a:solidFill>
              <a:schemeClr val="lt1"/>
            </a:solidFill>
          </a:ln>
          <a:effectLst/>
        </c:spPr>
        <c:dLbl>
          <c:idx val="0"/>
          <c:layout>
            <c:manualLayout>
              <c:x val="0.40238860228678308"/>
              <c:y val="-7.5156135786057052E-2"/>
            </c:manualLayout>
          </c:layout>
          <c:spPr>
            <a:noFill/>
            <a:ln>
              <a:noFill/>
            </a:ln>
            <a:effectLst/>
          </c:spPr>
          <c:txPr>
            <a:bodyPr rot="0" spcFirstLastPara="1" vertOverflow="overflow" horzOverflow="overflow" vert="horz" wrap="square" lIns="38100" tIns="19050" rIns="38100" bIns="19050" anchor="ctr" anchorCtr="1">
              <a:no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9833016562584852"/>
                  <c:h val="0.30110630110630104"/>
                </c:manualLayout>
              </c15:layout>
            </c:ext>
          </c:extLst>
        </c:dLbl>
      </c:pivotFmt>
    </c:pivotFmts>
    <c:plotArea>
      <c:layout/>
      <c:doughnutChart>
        <c:varyColors val="1"/>
        <c:ser>
          <c:idx val="0"/>
          <c:order val="0"/>
          <c:tx>
            <c:strRef>
              <c:f>'Gender Split'!$B$3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B8-4617-8FE9-FBFFE2388B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B8-4617-8FE9-FBFFE2388B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B8-4617-8FE9-FBFFE2388B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5B8-4617-8FE9-FBFFE2388BA9}"/>
              </c:ext>
            </c:extLst>
          </c:dPt>
          <c:dLbls>
            <c:dLbl>
              <c:idx val="0"/>
              <c:layout>
                <c:manualLayout>
                  <c:x val="9.3797327058255567E-2"/>
                  <c:y val="0.33160968515299222"/>
                </c:manualLayout>
              </c:layout>
              <c:spPr>
                <a:noFill/>
                <a:ln>
                  <a:noFill/>
                </a:ln>
                <a:effectLst/>
              </c:spPr>
              <c:txPr>
                <a:bodyPr rot="0" spcFirstLastPara="1" vertOverflow="overflow" horzOverflow="overflow" vert="horz" wrap="square" lIns="38100" tIns="19050" rIns="38100" bIns="19050" anchor="ctr" anchorCtr="1">
                  <a:no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7547892720306516"/>
                      <c:h val="0.29809531384334531"/>
                    </c:manualLayout>
                  </c15:layout>
                </c:ext>
                <c:ext xmlns:c16="http://schemas.microsoft.com/office/drawing/2014/chart" uri="{C3380CC4-5D6E-409C-BE32-E72D297353CC}">
                  <c16:uniqueId val="{00000001-35B8-4617-8FE9-FBFFE2388BA9}"/>
                </c:ext>
              </c:extLst>
            </c:dLbl>
            <c:dLbl>
              <c:idx val="1"/>
              <c:layout>
                <c:manualLayout>
                  <c:x val="-0.15086206896551724"/>
                  <c:y val="0.32105874374067805"/>
                </c:manualLayout>
              </c:layout>
              <c:spPr>
                <a:noFill/>
                <a:ln>
                  <a:noFill/>
                </a:ln>
                <a:effectLst/>
              </c:spPr>
              <c:txPr>
                <a:bodyPr rot="0" spcFirstLastPara="1" vertOverflow="overflow" horzOverflow="overflow"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5B8-4617-8FE9-FBFFE2388BA9}"/>
                </c:ext>
              </c:extLst>
            </c:dLbl>
            <c:dLbl>
              <c:idx val="2"/>
              <c:layout>
                <c:manualLayout>
                  <c:x val="-0.27658008266208106"/>
                  <c:y val="-9.1990891016785981E-2"/>
                </c:manualLayout>
              </c:layout>
              <c:spPr>
                <a:noFill/>
                <a:ln>
                  <a:noFill/>
                </a:ln>
                <a:effectLst/>
              </c:spPr>
              <c:txPr>
                <a:bodyPr rot="0" spcFirstLastPara="1" vertOverflow="overflow" horzOverflow="overflow"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2088122605363986"/>
                      <c:h val="0.24026011900027647"/>
                    </c:manualLayout>
                  </c15:layout>
                </c:ext>
                <c:ext xmlns:c16="http://schemas.microsoft.com/office/drawing/2014/chart" uri="{C3380CC4-5D6E-409C-BE32-E72D297353CC}">
                  <c16:uniqueId val="{00000005-35B8-4617-8FE9-FBFFE2388BA9}"/>
                </c:ext>
              </c:extLst>
            </c:dLbl>
            <c:dLbl>
              <c:idx val="3"/>
              <c:layout>
                <c:manualLayout>
                  <c:x val="0.40238860228678308"/>
                  <c:y val="-7.5156135786057052E-2"/>
                </c:manualLayout>
              </c:layout>
              <c:spPr>
                <a:noFill/>
                <a:ln>
                  <a:noFill/>
                </a:ln>
                <a:effectLst/>
              </c:spPr>
              <c:txPr>
                <a:bodyPr rot="0" spcFirstLastPara="1" vertOverflow="overflow" horzOverflow="overflow" vert="horz" wrap="square" lIns="38100" tIns="19050" rIns="38100" bIns="19050" anchor="ctr" anchorCtr="1">
                  <a:no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9833016562584852"/>
                      <c:h val="0.30110630110630104"/>
                    </c:manualLayout>
                  </c15:layout>
                </c:ext>
                <c:ext xmlns:c16="http://schemas.microsoft.com/office/drawing/2014/chart" uri="{C3380CC4-5D6E-409C-BE32-E72D297353CC}">
                  <c16:uniqueId val="{00000007-35B8-4617-8FE9-FBFFE2388BA9}"/>
                </c:ext>
              </c:extLst>
            </c:dLbl>
            <c:spPr>
              <a:noFill/>
              <a:ln>
                <a:noFill/>
              </a:ln>
              <a:effectLst/>
            </c:spPr>
            <c:txPr>
              <a:bodyPr rot="0" spcFirstLastPara="1" vertOverflow="overflow" horzOverflow="overflow"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'Gender Split'!$A$4:$A$8</c:f>
              <c:strCache>
                <c:ptCount val="4"/>
                <c:pt idx="0">
                  <c:v>Female</c:v>
                </c:pt>
                <c:pt idx="1">
                  <c:v>Male</c:v>
                </c:pt>
                <c:pt idx="2">
                  <c:v>Other</c:v>
                </c:pt>
                <c:pt idx="3">
                  <c:v>Unknown</c:v>
                </c:pt>
              </c:strCache>
            </c:strRef>
          </c:cat>
          <c:val>
            <c:numRef>
              <c:f>'Gender Split'!$B$4:$B$8</c:f>
              <c:numCache>
                <c:formatCode>General</c:formatCode>
                <c:ptCount val="4"/>
                <c:pt idx="0">
                  <c:v>6272</c:v>
                </c:pt>
                <c:pt idx="1">
                  <c:v>4672</c:v>
                </c:pt>
                <c:pt idx="2">
                  <c:v>317</c:v>
                </c:pt>
                <c:pt idx="3">
                  <c:v>736</c:v>
                </c:pt>
              </c:numCache>
            </c:numRef>
          </c:val>
          <c:extLst>
            <c:ext xmlns:c16="http://schemas.microsoft.com/office/drawing/2014/chart" uri="{C3380CC4-5D6E-409C-BE32-E72D297353CC}">
              <c16:uniqueId val="{00000008-35B8-4617-8FE9-FBFFE2388BA9}"/>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[retail_clothing_sales_perf_completed.xlsx]cust satisfaction!cust satisfa</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solidFill>
                  <a:schemeClr val="bg1">
                    <a:lumMod val="50000"/>
                  </a:schemeClr>
                </a:solidFill>
                <a:latin typeface="Cambria" panose="02040503050406030204" pitchFamily="18" charset="0"/>
                <a:ea typeface="Cambria" panose="02040503050406030204" pitchFamily="18" charset="0"/>
              </a:rPr>
              <a:t>Customer Satisfaction</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marker>
          <c:symbol val="none"/>
        </c:marker>
        <c:dLbl>
          <c:idx val="0"/>
          <c:delete val="1"/>
          <c:extLst>
            <c:ext xmlns:c15="http://schemas.microsoft.com/office/drawing/2012/chart" uri="{CE6537A1-D6FC-4f65-9D91-7224C49458BB}"/>
          </c:extLst>
        </c:dLbl>
      </c:pivotFmt>
      <c:pivotFmt>
        <c:idx val="5"/>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'cust satisfaction'!$B$3:$B$4</c:f>
              <c:strCache>
                <c:ptCount val="1"/>
                <c:pt idx="0">
                  <c:v>1</c:v>
                </c:pt>
              </c:strCache>
            </c:strRef>
          </c:tx>
          <c:spPr>
            <a:solidFill>
              <a:schemeClr val="accent1"/>
            </a:solidFill>
            <a:ln>
              <a:noFill/>
            </a:ln>
            <a:effectLst/>
          </c:spPr>
          <c:invertIfNegative val="0"/>
          <c:cat>
            <c:strRef>
              <c:f>'cust satisfaction'!$A$5:$A$8</c:f>
              <c:strCache>
                <c:ptCount val="3"/>
                <c:pt idx="0">
                  <c:v>Jan</c:v>
                </c:pt>
                <c:pt idx="1">
                  <c:v>Feb</c:v>
                </c:pt>
                <c:pt idx="2">
                  <c:v>Mar</c:v>
                </c:pt>
              </c:strCache>
            </c:strRef>
          </c:cat>
          <c:val>
            <c:numRef>
              <c:f>'cust satisfaction'!$B$5:$B$8</c:f>
              <c:numCache>
                <c:formatCode>General</c:formatCode>
                <c:ptCount val="3"/>
                <c:pt idx="0">
                  <c:v>7</c:v>
                </c:pt>
                <c:pt idx="1">
                  <c:v>8</c:v>
                </c:pt>
                <c:pt idx="2">
                  <c:v>6</c:v>
                </c:pt>
              </c:numCache>
            </c:numRef>
          </c:val>
          <c:extLst>
            <c:ext xmlns:c16="http://schemas.microsoft.com/office/drawing/2014/chart" uri="{C3380CC4-5D6E-409C-BE32-E72D297353CC}">
              <c16:uniqueId val="{00000006-E51A-477D-B888-5C1FFF48BDE5}"/>
            </c:ext>
          </c:extLst>
        </c:ser>
        <c:ser>
          <c:idx val="1"/>
          <c:order val="1"/>
          <c:tx>
            <c:strRef>
              <c:f>'cust satisfaction'!$C$3:$C$4</c:f>
              <c:strCache>
                <c:ptCount val="1"/>
                <c:pt idx="0">
                  <c:v>2</c:v>
                </c:pt>
              </c:strCache>
            </c:strRef>
          </c:tx>
          <c:invertIfNegative val="0"/>
          <c:cat>
            <c:strRef>
              <c:f>'cust satisfaction'!$A$5:$A$8</c:f>
              <c:strCache>
                <c:ptCount val="3"/>
                <c:pt idx="0">
                  <c:v>Jan</c:v>
                </c:pt>
                <c:pt idx="1">
                  <c:v>Feb</c:v>
                </c:pt>
                <c:pt idx="2">
                  <c:v>Mar</c:v>
                </c:pt>
              </c:strCache>
            </c:strRef>
          </c:cat>
          <c:val>
            <c:numRef>
              <c:f>'cust satisfaction'!$C$5:$C$8</c:f>
              <c:numCache>
                <c:formatCode>General</c:formatCode>
                <c:ptCount val="3"/>
                <c:pt idx="0">
                  <c:v>37</c:v>
                </c:pt>
                <c:pt idx="1">
                  <c:v>51</c:v>
                </c:pt>
                <c:pt idx="2">
                  <c:v>39</c:v>
                </c:pt>
              </c:numCache>
            </c:numRef>
          </c:val>
          <c:extLst>
            <c:ext xmlns:c16="http://schemas.microsoft.com/office/drawing/2014/chart" uri="{C3380CC4-5D6E-409C-BE32-E72D297353CC}">
              <c16:uniqueId val="{00000007-E51A-477D-B888-5C1FFF48BDE5}"/>
            </c:ext>
          </c:extLst>
        </c:ser>
        <c:ser>
          <c:idx val="2"/>
          <c:order val="2"/>
          <c:tx>
            <c:strRef>
              <c:f>'cust satisfaction'!$D$3:$D$4</c:f>
              <c:strCache>
                <c:ptCount val="1"/>
                <c:pt idx="0">
                  <c:v>3</c:v>
                </c:pt>
              </c:strCache>
            </c:strRef>
          </c:tx>
          <c:invertIfNegative val="0"/>
          <c:cat>
            <c:strRef>
              <c:f>'cust satisfaction'!$A$5:$A$8</c:f>
              <c:strCache>
                <c:ptCount val="3"/>
                <c:pt idx="0">
                  <c:v>Jan</c:v>
                </c:pt>
                <c:pt idx="1">
                  <c:v>Feb</c:v>
                </c:pt>
                <c:pt idx="2">
                  <c:v>Mar</c:v>
                </c:pt>
              </c:strCache>
            </c:strRef>
          </c:cat>
          <c:val>
            <c:numRef>
              <c:f>'cust satisfaction'!$D$5:$D$8</c:f>
              <c:numCache>
                <c:formatCode>General</c:formatCode>
                <c:ptCount val="3"/>
                <c:pt idx="0">
                  <c:v>150</c:v>
                </c:pt>
                <c:pt idx="1">
                  <c:v>182</c:v>
                </c:pt>
                <c:pt idx="2">
                  <c:v>163</c:v>
                </c:pt>
              </c:numCache>
            </c:numRef>
          </c:val>
          <c:extLst>
            <c:ext xmlns:c16="http://schemas.microsoft.com/office/drawing/2014/chart" uri="{C3380CC4-5D6E-409C-BE32-E72D297353CC}">
              <c16:uniqueId val="{00000008-E51A-477D-B888-5C1FFF48BDE5}"/>
            </c:ext>
          </c:extLst>
        </c:ser>
        <c:ser>
          <c:idx val="3"/>
          <c:order val="3"/>
          <c:tx>
            <c:strRef>
              <c:f>'cust satisfaction'!$E$3:$E$4</c:f>
              <c:strCache>
                <c:ptCount val="1"/>
                <c:pt idx="0">
                  <c:v>4</c:v>
                </c:pt>
              </c:strCache>
            </c:strRef>
          </c:tx>
          <c:invertIfNegative val="0"/>
          <c:cat>
            <c:strRef>
              <c:f>'cust satisfaction'!$A$5:$A$8</c:f>
              <c:strCache>
                <c:ptCount val="3"/>
                <c:pt idx="0">
                  <c:v>Jan</c:v>
                </c:pt>
                <c:pt idx="1">
                  <c:v>Feb</c:v>
                </c:pt>
                <c:pt idx="2">
                  <c:v>Mar</c:v>
                </c:pt>
              </c:strCache>
            </c:strRef>
          </c:cat>
          <c:val>
            <c:numRef>
              <c:f>'cust satisfaction'!$E$5:$E$8</c:f>
              <c:numCache>
                <c:formatCode>General</c:formatCode>
                <c:ptCount val="3"/>
                <c:pt idx="0">
                  <c:v>312</c:v>
                </c:pt>
                <c:pt idx="1">
                  <c:v>373</c:v>
                </c:pt>
                <c:pt idx="2">
                  <c:v>351</c:v>
                </c:pt>
              </c:numCache>
            </c:numRef>
          </c:val>
          <c:extLst>
            <c:ext xmlns:c16="http://schemas.microsoft.com/office/drawing/2014/chart" uri="{C3380CC4-5D6E-409C-BE32-E72D297353CC}">
              <c16:uniqueId val="{00000009-E51A-477D-B888-5C1FFF48BDE5}"/>
            </c:ext>
          </c:extLst>
        </c:ser>
        <c:ser>
          <c:idx val="4"/>
          <c:order val="4"/>
          <c:tx>
            <c:strRef>
              <c:f>'cust satisfaction'!$F$3:$F$4</c:f>
              <c:strCache>
                <c:ptCount val="1"/>
                <c:pt idx="0">
                  <c:v>5</c:v>
                </c:pt>
              </c:strCache>
            </c:strRef>
          </c:tx>
          <c:invertIfNegative val="0"/>
          <c:cat>
            <c:strRef>
              <c:f>'cust satisfaction'!$A$5:$A$8</c:f>
              <c:strCache>
                <c:ptCount val="3"/>
                <c:pt idx="0">
                  <c:v>Jan</c:v>
                </c:pt>
                <c:pt idx="1">
                  <c:v>Feb</c:v>
                </c:pt>
                <c:pt idx="2">
                  <c:v>Mar</c:v>
                </c:pt>
              </c:strCache>
            </c:strRef>
          </c:cat>
          <c:val>
            <c:numRef>
              <c:f>'cust satisfaction'!$F$5:$F$8</c:f>
              <c:numCache>
                <c:formatCode>General</c:formatCode>
                <c:ptCount val="3"/>
                <c:pt idx="0">
                  <c:v>224</c:v>
                </c:pt>
                <c:pt idx="1">
                  <c:v>247</c:v>
                </c:pt>
                <c:pt idx="2">
                  <c:v>250</c:v>
                </c:pt>
              </c:numCache>
            </c:numRef>
          </c:val>
          <c:extLst>
            <c:ext xmlns:c16="http://schemas.microsoft.com/office/drawing/2014/chart" uri="{C3380CC4-5D6E-409C-BE32-E72D297353CC}">
              <c16:uniqueId val="{0000000E-E51A-477D-B888-5C1FFF48BDE5}"/>
            </c:ext>
          </c:extLst>
        </c:ser>
        <c:dLbls>
          <c:showLegendKey val="0"/>
          <c:showVal val="0"/>
          <c:showCatName val="0"/>
          <c:showSerName val="0"/>
          <c:showPercent val="0"/>
          <c:showBubbleSize val="0"/>
        </c:dLbls>
        <c:gapWidth val="11"/>
        <c:overlap val="-27"/>
        <c:axId val="3947232"/>
        <c:axId val="1967592815"/>
      </c:barChart>
      <c:catAx>
        <c:axId val="394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92815"/>
        <c:crosses val="autoZero"/>
        <c:auto val="1"/>
        <c:lblAlgn val="ctr"/>
        <c:lblOffset val="100"/>
        <c:noMultiLvlLbl val="0"/>
      </c:catAx>
      <c:valAx>
        <c:axId val="196759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232"/>
        <c:crosses val="autoZero"/>
        <c:crossBetween val="between"/>
      </c:valAx>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[retail_clothing_sales_perf_completed.xlsx]time to ship!Time to ship</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bg1">
                    <a:lumMod val="50000"/>
                  </a:schemeClr>
                </a:solidFill>
                <a:latin typeface="Cambria" panose="02040503050406030204" pitchFamily="18" charset="0"/>
                <a:ea typeface="Cambria" panose="02040503050406030204" pitchFamily="18" charset="0"/>
              </a:rPr>
              <a:t>How</a:t>
            </a:r>
            <a:r>
              <a:rPr lang="en-US" sz="1200" b="1" baseline="0">
                <a:solidFill>
                  <a:schemeClr val="bg1">
                    <a:lumMod val="50000"/>
                  </a:schemeClr>
                </a:solidFill>
                <a:latin typeface="Cambria" panose="02040503050406030204" pitchFamily="18" charset="0"/>
                <a:ea typeface="Cambria" panose="02040503050406030204" pitchFamily="18" charset="0"/>
              </a:rPr>
              <a:t> long we take to ship ?</a:t>
            </a:r>
            <a:endParaRPr lang="en-US" sz="1200" b="1">
              <a:solidFill>
                <a:schemeClr val="bg1">
                  <a:lumMod val="50000"/>
                </a:schemeClr>
              </a:solidFill>
              <a:latin typeface="Cambria" panose="02040503050406030204" pitchFamily="18" charset="0"/>
              <a:ea typeface="Cambria" panose="020405030504060302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to ship'!$B$3</c:f>
              <c:strCache>
                <c:ptCount val="1"/>
                <c:pt idx="0">
                  <c:v>Total</c:v>
                </c:pt>
              </c:strCache>
            </c:strRef>
          </c:tx>
          <c:spPr>
            <a:solidFill>
              <a:schemeClr val="accent1"/>
            </a:solidFill>
            <a:ln>
              <a:noFill/>
            </a:ln>
            <a:effectLst/>
          </c:spPr>
          <c:invertIfNegative val="0"/>
          <c:cat>
            <c:strRef>
              <c:f>'time to ship'!$A$4:$A$19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'time to ship'!$B$4:$B$19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4D1A-4705-8C78-DD13EED37FE1}"/>
            </c:ext>
          </c:extLst>
        </c:ser>
        <c:dLbls>
          <c:showLegendKey val="0"/>
          <c:showVal val="0"/>
          <c:showCatName val="0"/>
          <c:showSerName val="0"/>
          <c:showPercent val="0"/>
          <c:showBubbleSize val="0"/>
        </c:dLbls>
        <c:gapWidth val="11"/>
        <c:overlap val="-27"/>
        <c:axId val="3947232"/>
        <c:axId val="1967592815"/>
      </c:barChart>
      <c:catAx>
        <c:axId val="394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92815"/>
        <c:crosses val="autoZero"/>
        <c:auto val="1"/>
        <c:lblAlgn val="ctr"/>
        <c:lblOffset val="100"/>
        <c:noMultiLvlLbl val="0"/>
      </c:catAx>
      <c:valAx>
        <c:axId val="196759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[retail_clothing_sales_perf_completed.xlsx]Trends!Trends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latin typeface="Cambria" panose="02040503050406030204" pitchFamily="18" charset="0"/>
                <a:ea typeface="Cambria" panose="02040503050406030204" pitchFamily="18" charset="0"/>
              </a:rPr>
              <a:t>Last 13 Week Trends - Qty</a:t>
            </a:r>
            <a:r>
              <a:rPr lang="en-IN" sz="1200" b="1" baseline="0">
                <a:latin typeface="Cambria" panose="02040503050406030204" pitchFamily="18" charset="0"/>
                <a:ea typeface="Cambria" panose="02040503050406030204" pitchFamily="18" charset="0"/>
              </a:rPr>
              <a:t> vs Amount</a:t>
            </a:r>
            <a:endParaRPr lang="en-IN" sz="1200" b="1">
              <a:latin typeface="Cambria" panose="02040503050406030204" pitchFamily="18" charset="0"/>
              <a:ea typeface="Cambria" panose="020405030504060302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Trends!$B$3</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Trends!$A$4:$A$17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Trends!$B$4:$B$17</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B111-4123-9686-91B7BDE02739}"/>
            </c:ext>
          </c:extLst>
        </c:ser>
        <c:dLbls>
          <c:showLegendKey val="0"/>
          <c:showVal val="0"/>
          <c:showCatName val="0"/>
          <c:showSerName val="0"/>
          <c:showPercent val="0"/>
          <c:showBubbleSize val="0"/>
        </c:dLbls>
        <c:marker val="1"/>
        <c:smooth val="0"/>
        <c:axId val="1850730095"/>
        <c:axId val="1760437039"/>
      </c:lineChart>
      <c:lineChart>
        <c:grouping val="standard"/>
        <c:varyColors val="0"/>
        <c:ser>
          <c:idx val="1"/>
          <c:order val="1"/>
          <c:tx>
            <c:strRef>
              <c:f>Trends!$C$3</c:f>
              <c:strCache>
                <c:ptCount val="1"/>
                <c:pt idx="0">
                  <c:v>Sum of Amount</c:v>
                </c:pt>
              </c:strCache>
            </c:strRef>
          </c:tx>
          <c:spPr>
            <a:ln w="28575" cap="rnd">
              <a:solidFill>
                <a:schemeClr val="accent2"/>
              </a:solidFill>
              <a:round/>
            </a:ln>
            <a:effectLst/>
          </c:spPr>
          <c:marker>
            <c:symbol val="none"/>
          </c:marker>
          <c:cat>
            <c:strRef>
              <c:f>Trends!$A$4:$A$17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Trends!$C$4:$C$17</c:f>
              <c:numCache>
                <c:formatCode>[$$-409]#,##0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B111-4123-9686-91B7BDE02739}"/>
            </c:ext>
          </c:extLst>
        </c:ser>
        <c:dLbls>
          <c:showLegendKey val="0"/>
          <c:showVal val="0"/>
          <c:showCatName val="0"/>
          <c:showSerName val="0"/>
          <c:showPercent val="0"/>
          <c:showBubbleSize val="0"/>
        </c:dLbls>
        <c:marker val="1"/>
        <c:smooth val="0"/>
        <c:axId val="1924004687"/>
        <c:axId val="1760431759"/>
      </c:lineChart>
      <c:catAx>
        <c:axId val="1850730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37039"/>
        <c:crosses val="autoZero"/>
        <c:auto val="1"/>
        <c:lblAlgn val="ctr"/>
        <c:lblOffset val="100"/>
        <c:noMultiLvlLbl val="0"/>
      </c:catAx>
      <c:valAx>
        <c:axId val="176043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730095"/>
        <c:crosses val="autoZero"/>
        <c:crossBetween val="between"/>
      </c:valAx>
      <c:valAx>
        <c:axId val="1760431759"/>
        <c:scaling>
          <c:orientation val="minMax"/>
        </c:scaling>
        <c:delete val="0"/>
        <c:axPos val="r"/>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4004687"/>
        <c:crosses val="max"/>
        <c:crossBetween val="between"/>
      </c:valAx>
      <c:catAx>
        <c:axId val="1924004687"/>
        <c:scaling>
          <c:orientation val="minMax"/>
        </c:scaling>
        <c:delete val="1"/>
        <c:axPos val="b"/>
        <c:numFmt formatCode="General" sourceLinked="1"/>
        <c:majorTickMark val="out"/>
        <c:minorTickMark val="none"/>
        <c:tickLblPos val="nextTo"/>
        <c:crossAx val="176043175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[retail_clothing_sales_perf_completed.xlsx]How Many!How many bought</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'How Many'!$B$3</c:f>
              <c:strCache>
                <c:ptCount val="1"/>
                <c:pt idx="0">
                  <c:v>Total</c:v>
                </c:pt>
              </c:strCache>
            </c:strRef>
          </c:tx>
          <c:spPr>
            <a:solidFill>
              <a:schemeClr val="accent1"/>
            </a:solidFill>
            <a:ln>
              <a:noFill/>
            </a:ln>
            <a:effectLst/>
          </c:spPr>
          <c:invertIfNegative val="0"/>
          <c:cat>
            <c:strRef>
              <c:f>'How Many'!$A$4:$A$11</c:f>
              <c:strCache>
                <c:ptCount val="7"/>
                <c:pt idx="0">
                  <c:v>1</c:v>
                </c:pt>
                <c:pt idx="1">
                  <c:v>2</c:v>
                </c:pt>
                <c:pt idx="2">
                  <c:v>3</c:v>
                </c:pt>
                <c:pt idx="3">
                  <c:v>4</c:v>
                </c:pt>
                <c:pt idx="4">
                  <c:v>5</c:v>
                </c:pt>
                <c:pt idx="5">
                  <c:v>6 To 10</c:v>
                </c:pt>
                <c:pt idx="6">
                  <c:v>More than 10</c:v>
                </c:pt>
              </c:strCache>
            </c:strRef>
          </c:cat>
          <c:val>
            <c:numRef>
              <c:f>'How Many'!$B$4:$B$11</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7326-457C-B2DB-63603E98AC47}"/>
            </c:ext>
          </c:extLst>
        </c:ser>
        <c:dLbls>
          <c:showLegendKey val="0"/>
          <c:showVal val="0"/>
          <c:showCatName val="0"/>
          <c:showSerName val="0"/>
          <c:showPercent val="0"/>
          <c:showBubbleSize val="0"/>
        </c:dLbls>
        <c:gapWidth val="219"/>
        <c:overlap val="-27"/>
        <c:axId val="1917165615"/>
        <c:axId val="1760456719"/>
      </c:barChart>
      <c:catAx>
        <c:axId val="191716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56719"/>
        <c:crosses val="autoZero"/>
        <c:auto val="1"/>
        <c:lblAlgn val="ctr"/>
        <c:lblOffset val="100"/>
        <c:noMultiLvlLbl val="0"/>
      </c:catAx>
      <c:valAx>
        <c:axId val="17604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165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[retail_clothing_sales_perf_completed.xlsx]Popular Products!Popular prods</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'Popular Products'!$B$3:$B$4</c:f>
              <c:strCache>
                <c:ptCount val="1"/>
                <c:pt idx="0">
                  <c:v>Female</c:v>
                </c:pt>
              </c:strCache>
            </c:strRef>
          </c:tx>
          <c:spPr>
            <a:solidFill>
              <a:schemeClr val="accent1"/>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Products'!$B$5:$B$25</c:f>
              <c:numCache>
                <c:formatCode>General</c:formatCode>
                <c:ptCount val="20"/>
                <c:pt idx="0">
                  <c:v>744</c:v>
                </c:pt>
                <c:pt idx="1">
                  <c:v>716</c:v>
                </c:pt>
                <c:pt idx="2">
                  <c:v>627</c:v>
                </c:pt>
                <c:pt idx="3">
                  <c:v>568</c:v>
                </c:pt>
                <c:pt idx="4">
                  <c:v>482</c:v>
                </c:pt>
                <c:pt idx="5">
                  <c:v>445</c:v>
                </c:pt>
                <c:pt idx="6">
                  <c:v>431</c:v>
                </c:pt>
                <c:pt idx="7">
                  <c:v>428</c:v>
                </c:pt>
                <c:pt idx="8">
                  <c:v>296</c:v>
                </c:pt>
                <c:pt idx="9">
                  <c:v>264</c:v>
                </c:pt>
                <c:pt idx="10">
                  <c:v>234</c:v>
                </c:pt>
                <c:pt idx="11">
                  <c:v>189</c:v>
                </c:pt>
                <c:pt idx="12">
                  <c:v>179</c:v>
                </c:pt>
                <c:pt idx="13">
                  <c:v>153</c:v>
                </c:pt>
                <c:pt idx="14">
                  <c:v>146</c:v>
                </c:pt>
                <c:pt idx="15">
                  <c:v>127</c:v>
                </c:pt>
                <c:pt idx="16">
                  <c:v>99</c:v>
                </c:pt>
                <c:pt idx="17">
                  <c:v>75</c:v>
                </c:pt>
                <c:pt idx="18">
                  <c:v>43</c:v>
                </c:pt>
                <c:pt idx="19">
                  <c:v>26</c:v>
                </c:pt>
              </c:numCache>
            </c:numRef>
          </c:val>
          <c:extLst>
            <c:ext xmlns:c16="http://schemas.microsoft.com/office/drawing/2014/chart" uri="{C3380CC4-5D6E-409C-BE32-E72D297353CC}">
              <c16:uniqueId val="{00000001-4824-4567-A145-829EA83AC3A4}"/>
            </c:ext>
          </c:extLst>
        </c:ser>
        <c:ser>
          <c:idx val="1"/>
          <c:order val="1"/>
          <c:tx>
            <c:strRef>
              <c:f>'Popular Products'!$C$3:$C$4</c:f>
              <c:strCache>
                <c:ptCount val="1"/>
                <c:pt idx="0">
                  <c:v>Male</c:v>
                </c:pt>
              </c:strCache>
            </c:strRef>
          </c:tx>
          <c:spPr>
            <a:solidFill>
              <a:schemeClr val="accent2"/>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Products'!$C$5:$C$25</c:f>
              <c:numCache>
                <c:formatCode>General</c:formatCode>
                <c:ptCount val="20"/>
                <c:pt idx="0">
                  <c:v>713</c:v>
                </c:pt>
                <c:pt idx="1">
                  <c:v>598</c:v>
                </c:pt>
                <c:pt idx="2">
                  <c:v>393</c:v>
                </c:pt>
                <c:pt idx="3">
                  <c:v>306</c:v>
                </c:pt>
                <c:pt idx="4">
                  <c:v>295</c:v>
                </c:pt>
                <c:pt idx="5">
                  <c:v>202</c:v>
                </c:pt>
                <c:pt idx="6">
                  <c:v>187</c:v>
                </c:pt>
                <c:pt idx="7">
                  <c:v>293</c:v>
                </c:pt>
                <c:pt idx="8">
                  <c:v>275</c:v>
                </c:pt>
                <c:pt idx="9">
                  <c:v>318</c:v>
                </c:pt>
                <c:pt idx="10">
                  <c:v>93</c:v>
                </c:pt>
                <c:pt idx="11">
                  <c:v>168</c:v>
                </c:pt>
                <c:pt idx="12">
                  <c:v>76</c:v>
                </c:pt>
                <c:pt idx="13">
                  <c:v>246</c:v>
                </c:pt>
                <c:pt idx="14">
                  <c:v>94</c:v>
                </c:pt>
                <c:pt idx="15">
                  <c:v>118</c:v>
                </c:pt>
                <c:pt idx="16">
                  <c:v>69</c:v>
                </c:pt>
                <c:pt idx="17">
                  <c:v>103</c:v>
                </c:pt>
                <c:pt idx="18">
                  <c:v>90</c:v>
                </c:pt>
                <c:pt idx="19">
                  <c:v>35</c:v>
                </c:pt>
              </c:numCache>
            </c:numRef>
          </c:val>
          <c:extLst>
            <c:ext xmlns:c16="http://schemas.microsoft.com/office/drawing/2014/chart" uri="{C3380CC4-5D6E-409C-BE32-E72D297353CC}">
              <c16:uniqueId val="{00000003-4824-4567-A145-829EA83AC3A4}"/>
            </c:ext>
          </c:extLst>
        </c:ser>
        <c:ser>
          <c:idx val="2"/>
          <c:order val="2"/>
          <c:tx>
            <c:strRef>
              <c:f>'Popular Products'!$D$3:$D$4</c:f>
              <c:strCache>
                <c:ptCount val="1"/>
                <c:pt idx="0">
                  <c:v>Other</c:v>
                </c:pt>
              </c:strCache>
            </c:strRef>
          </c:tx>
          <c:spPr>
            <a:solidFill>
              <a:schemeClr val="accent3"/>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Products'!$D$5:$D$25</c:f>
              <c:numCache>
                <c:formatCode>General</c:formatCode>
                <c:ptCount val="20"/>
                <c:pt idx="0">
                  <c:v>90</c:v>
                </c:pt>
                <c:pt idx="1">
                  <c:v>18</c:v>
                </c:pt>
                <c:pt idx="2">
                  <c:v>29</c:v>
                </c:pt>
                <c:pt idx="3">
                  <c:v>22</c:v>
                </c:pt>
                <c:pt idx="4">
                  <c:v>8</c:v>
                </c:pt>
                <c:pt idx="5">
                  <c:v>14</c:v>
                </c:pt>
                <c:pt idx="6">
                  <c:v>14</c:v>
                </c:pt>
                <c:pt idx="8">
                  <c:v>9</c:v>
                </c:pt>
                <c:pt idx="9">
                  <c:v>15</c:v>
                </c:pt>
                <c:pt idx="10">
                  <c:v>19</c:v>
                </c:pt>
                <c:pt idx="11">
                  <c:v>10</c:v>
                </c:pt>
                <c:pt idx="12">
                  <c:v>3</c:v>
                </c:pt>
                <c:pt idx="13">
                  <c:v>30</c:v>
                </c:pt>
                <c:pt idx="14">
                  <c:v>4</c:v>
                </c:pt>
                <c:pt idx="15">
                  <c:v>13</c:v>
                </c:pt>
                <c:pt idx="16">
                  <c:v>3</c:v>
                </c:pt>
                <c:pt idx="17">
                  <c:v>4</c:v>
                </c:pt>
                <c:pt idx="18">
                  <c:v>8</c:v>
                </c:pt>
                <c:pt idx="19">
                  <c:v>4</c:v>
                </c:pt>
              </c:numCache>
            </c:numRef>
          </c:val>
          <c:extLst>
            <c:ext xmlns:c16="http://schemas.microsoft.com/office/drawing/2014/chart" uri="{C3380CC4-5D6E-409C-BE32-E72D297353CC}">
              <c16:uniqueId val="{00000004-4824-4567-A145-829EA83AC3A4}"/>
            </c:ext>
          </c:extLst>
        </c:ser>
        <c:ser>
          <c:idx val="3"/>
          <c:order val="3"/>
          <c:tx>
            <c:strRef>
              <c:f>'Popular Products'!$E$3:$E$4</c:f>
              <c:strCache>
                <c:ptCount val="1"/>
                <c:pt idx="0">
                  <c:v>Unknown</c:v>
                </c:pt>
              </c:strCache>
            </c:strRef>
          </c:tx>
          <c:spPr>
            <a:solidFill>
              <a:schemeClr val="accent4"/>
            </a:solidFill>
            <a:ln>
              <a:noFill/>
            </a:ln>
            <a:effectLst/>
          </c:spPr>
          <c:invertIfNegative val="0"/>
          <c:cat>
            <c:strRef>
              <c:f>'Popular Products'!$A$5:$A$25</c:f>
              <c:strCache>
                <c:ptCount val="20"/>
                <c:pt idx="0">
                  <c:v>T-Shirts</c:v>
                </c:pt>
                <c:pt idx="1">
                  <c:v>Jeans</c:v>
                </c:pt>
                <c:pt idx="2">
                  <c:v>Sneakers</c:v>
                </c:pt>
                <c:pt idx="3">
                  <c:v>Tank Tops</c:v>
                </c:pt>
                <c:pt idx="4">
                  <c:v>Bikinis</c:v>
                </c:pt>
                <c:pt idx="5">
                  <c:v>Sundresses</c:v>
                </c:pt>
                <c:pt idx="6">
                  <c:v>Graphic Tees</c:v>
                </c:pt>
                <c:pt idx="7">
                  <c:v>Shorts</c:v>
                </c:pt>
                <c:pt idx="8">
                  <c:v>Sandals</c:v>
                </c:pt>
                <c:pt idx="9">
                  <c:v>Hoodies &amp; Sweatshirts</c:v>
                </c:pt>
                <c:pt idx="10">
                  <c:v>Casual Dresses</c:v>
                </c:pt>
                <c:pt idx="11">
                  <c:v>Leggings</c:v>
                </c:pt>
                <c:pt idx="12">
                  <c:v>Maxi Dresses</c:v>
                </c:pt>
                <c:pt idx="13">
                  <c:v>Crop Tops</c:v>
                </c:pt>
                <c:pt idx="14">
                  <c:v>Workout Tops</c:v>
                </c:pt>
                <c:pt idx="15">
                  <c:v>Pajama Sets</c:v>
                </c:pt>
                <c:pt idx="16">
                  <c:v>Sunglasses</c:v>
                </c:pt>
                <c:pt idx="17">
                  <c:v>Tote Bags</c:v>
                </c:pt>
                <c:pt idx="18">
                  <c:v>Baseball Caps</c:v>
                </c:pt>
                <c:pt idx="19">
                  <c:v>Jewelry</c:v>
                </c:pt>
              </c:strCache>
            </c:strRef>
          </c:cat>
          <c:val>
            <c:numRef>
              <c:f>'Popular Products'!$E$5:$E$25</c:f>
              <c:numCache>
                <c:formatCode>General</c:formatCode>
                <c:ptCount val="20"/>
                <c:pt idx="0">
                  <c:v>98</c:v>
                </c:pt>
                <c:pt idx="1">
                  <c:v>214</c:v>
                </c:pt>
                <c:pt idx="2">
                  <c:v>137</c:v>
                </c:pt>
                <c:pt idx="3">
                  <c:v>16</c:v>
                </c:pt>
                <c:pt idx="4">
                  <c:v>22</c:v>
                </c:pt>
                <c:pt idx="5">
                  <c:v>39</c:v>
                </c:pt>
                <c:pt idx="6">
                  <c:v>15</c:v>
                </c:pt>
                <c:pt idx="7">
                  <c:v>24</c:v>
                </c:pt>
                <c:pt idx="8">
                  <c:v>23</c:v>
                </c:pt>
                <c:pt idx="9">
                  <c:v>9</c:v>
                </c:pt>
                <c:pt idx="10">
                  <c:v>24</c:v>
                </c:pt>
                <c:pt idx="11">
                  <c:v>31</c:v>
                </c:pt>
                <c:pt idx="13">
                  <c:v>8</c:v>
                </c:pt>
                <c:pt idx="14">
                  <c:v>28</c:v>
                </c:pt>
                <c:pt idx="15">
                  <c:v>12</c:v>
                </c:pt>
                <c:pt idx="16">
                  <c:v>24</c:v>
                </c:pt>
                <c:pt idx="17">
                  <c:v>6</c:v>
                </c:pt>
                <c:pt idx="18">
                  <c:v>6</c:v>
                </c:pt>
              </c:numCache>
            </c:numRef>
          </c:val>
          <c:extLst>
            <c:ext xmlns:c16="http://schemas.microsoft.com/office/drawing/2014/chart" uri="{C3380CC4-5D6E-409C-BE32-E72D297353CC}">
              <c16:uniqueId val="{00000005-4824-4567-A145-829EA83AC3A4}"/>
            </c:ext>
          </c:extLst>
        </c:ser>
        <c:dLbls>
          <c:showLegendKey val="0"/>
          <c:showVal val="0"/>
          <c:showCatName val="0"/>
          <c:showSerName val="0"/>
          <c:showPercent val="0"/>
          <c:showBubbleSize val="0"/>
        </c:dLbls>
        <c:gapWidth val="60"/>
        <c:overlap val="100"/>
        <c:axId val="1917165615"/>
        <c:axId val="1760456719"/>
      </c:barChart>
      <c:catAx>
        <c:axId val="1917165615"/>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456719"/>
        <c:crosses val="autoZero"/>
        <c:auto val="1"/>
        <c:lblAlgn val="ctr"/>
        <c:lblOffset val="100"/>
        <c:noMultiLvlLbl val="0"/>
      </c:catAx>
      <c:valAx>
        <c:axId val="1760456719"/>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16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[retail_clothing_sales_perf_completed.xlsx]Gender Split!Gender split</c:name>
    <c:fmtId val="27"/>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1666666666666563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05"/>
              <c:y val="-0.1435185185185185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277777777777778"/>
              <c:y val="-3.703703703703703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027777777777778"/>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'Gender Split'!$B$3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5F2A-4F5E-882E-E23880B025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5F2A-4F5E-882E-E23880B0252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5F2A-4F5E-882E-E23880B0252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5F2A-4F5E-882E-E23880B02520}"/>
              </c:ext>
            </c:extLst>
          </c:dPt>
          <c:dLbls>
            <c:dLbl>
              <c:idx val="0"/>
              <c:layout>
                <c:manualLayout>
                  <c:x val="9.1666666666666563E-2"/>
                  <c:y val="2.777777777777777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F2A-4F5E-882E-E23880B02520}"/>
                </c:ext>
              </c:extLst>
            </c:dLbl>
            <c:dLbl>
              <c:idx val="1"/>
              <c:layout>
                <c:manualLayout>
                  <c:x val="-0.1027777777777778"/>
                  <c:y val="-3.703703703703712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F2A-4F5E-882E-E23880B02520}"/>
                </c:ext>
              </c:extLst>
            </c:dLbl>
            <c:dLbl>
              <c:idx val="2"/>
              <c:layout>
                <c:manualLayout>
                  <c:x val="-0.1277777777777778"/>
                  <c:y val="-3.703703703703703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F2A-4F5E-882E-E23880B02520}"/>
                </c:ext>
              </c:extLst>
            </c:dLbl>
            <c:dLbl>
              <c:idx val="3"/>
              <c:layout>
                <c:manualLayout>
                  <c:x val="-0.05"/>
                  <c:y val="-0.1435185185185185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F2A-4F5E-882E-E23880B0252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'Gender Split'!$A$4:$A$8</c:f>
              <c:strCache>
                <c:ptCount val="4"/>
                <c:pt idx="0">
                  <c:v>Female</c:v>
                </c:pt>
                <c:pt idx="1">
                  <c:v>Male</c:v>
                </c:pt>
                <c:pt idx="2">
                  <c:v>Other</c:v>
                </c:pt>
                <c:pt idx="3">
                  <c:v>Unknown</c:v>
                </c:pt>
              </c:strCache>
            </c:strRef>
          </c:cat>
          <c:val>
            <c:numRef>
              <c:f>'Gender Split'!$B$4:$B$8</c:f>
              <c:numCache>
                <c:formatCode>General</c:formatCode>
                <c:ptCount val="4"/>
                <c:pt idx="0">
                  <c:v>6272</c:v>
                </c:pt>
                <c:pt idx="1">
                  <c:v>4672</c:v>
                </c:pt>
                <c:pt idx="2">
                  <c:v>317</c:v>
                </c:pt>
                <c:pt idx="3">
                  <c:v>736</c:v>
                </c:pt>
              </c:numCache>
            </c:numRef>
          </c:val>
          <c:extLst>
            <c:ext xmlns:c16="http://schemas.microsoft.com/office/drawing/2014/chart" uri="{C3380CC4-5D6E-409C-BE32-E72D297353CC}">
              <c16:uniqueId val="{00000000-5F2A-4F5E-882E-E23880B02520}"/>
            </c:ext>
          </c:extLst>
        </c:ser>
        <c:dLbls>
          <c:showLegendKey val="0"/>
          <c:showVal val="1"/>
          <c:showCatName val="0"/>
          <c:showSerName val="0"/>
          <c:showPercent val="0"/>
          <c:showBubbleSize val="0"/>
          <c:showLeaderLines val="0"/>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[retail_clothing_sales_perf_completed.xlsx]time to ship!Time to ship</c:name>
    <c:fmtId val="2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to ship'!$B$3</c:f>
              <c:strCache>
                <c:ptCount val="1"/>
                <c:pt idx="0">
                  <c:v>Total</c:v>
                </c:pt>
              </c:strCache>
            </c:strRef>
          </c:tx>
          <c:spPr>
            <a:solidFill>
              <a:schemeClr val="accent1"/>
            </a:solidFill>
            <a:ln>
              <a:noFill/>
            </a:ln>
            <a:effectLst/>
          </c:spPr>
          <c:invertIfNegative val="0"/>
          <c:cat>
            <c:strRef>
              <c:f>'time to ship'!$A$4:$A$19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'time to ship'!$B$4:$B$19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2F96-4F0B-BC45-97746832EA8D}"/>
            </c:ext>
          </c:extLst>
        </c:ser>
        <c:dLbls>
          <c:showLegendKey val="0"/>
          <c:showVal val="0"/>
          <c:showCatName val="0"/>
          <c:showSerName val="0"/>
          <c:showPercent val="0"/>
          <c:showBubbleSize val="0"/>
        </c:dLbls>
        <c:gapWidth val="11"/>
        <c:overlap val="-27"/>
        <c:axId val="3947232"/>
        <c:axId val="1967592815"/>
      </c:barChart>
      <c:catAx>
        <c:axId val="394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92815"/>
        <c:crosses val="autoZero"/>
        <c:auto val="1"/>
        <c:lblAlgn val="ctr"/>
        <c:lblOffset val="100"/>
        <c:noMultiLvlLbl val="0"/>
      </c:catAx>
      <c:valAx>
        <c:axId val="196759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[retail_clothing_sales_perf_completed.xlsx]cust satisfaction!cust satisfa</c:name>
    <c:fmtId val="2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 satisfaction'!$B$3:$B$4</c:f>
              <c:strCache>
                <c:ptCount val="1"/>
                <c:pt idx="0">
                  <c:v>1</c:v>
                </c:pt>
              </c:strCache>
            </c:strRef>
          </c:tx>
          <c:spPr>
            <a:solidFill>
              <a:schemeClr val="accent1"/>
            </a:solidFill>
            <a:ln>
              <a:noFill/>
            </a:ln>
            <a:effectLst/>
          </c:spPr>
          <c:invertIfNegative val="0"/>
          <c:cat>
            <c:strRef>
              <c:f>'cust satisfaction'!$A$5:$A$8</c:f>
              <c:strCache>
                <c:ptCount val="3"/>
                <c:pt idx="0">
                  <c:v>Jan</c:v>
                </c:pt>
                <c:pt idx="1">
                  <c:v>Feb</c:v>
                </c:pt>
                <c:pt idx="2">
                  <c:v>Mar</c:v>
                </c:pt>
              </c:strCache>
            </c:strRef>
          </c:cat>
          <c:val>
            <c:numRef>
              <c:f>'cust satisfaction'!$B$5:$B$8</c:f>
              <c:numCache>
                <c:formatCode>General</c:formatCode>
                <c:ptCount val="3"/>
                <c:pt idx="0">
                  <c:v>7</c:v>
                </c:pt>
                <c:pt idx="1">
                  <c:v>8</c:v>
                </c:pt>
                <c:pt idx="2">
                  <c:v>6</c:v>
                </c:pt>
              </c:numCache>
            </c:numRef>
          </c:val>
          <c:extLst>
            <c:ext xmlns:c16="http://schemas.microsoft.com/office/drawing/2014/chart" uri="{C3380CC4-5D6E-409C-BE32-E72D297353CC}">
              <c16:uniqueId val="{00000000-5800-408F-8E98-B9E75E03875B}"/>
            </c:ext>
          </c:extLst>
        </c:ser>
        <c:ser>
          <c:idx val="1"/>
          <c:order val="1"/>
          <c:tx>
            <c:strRef>
              <c:f>'cust satisfaction'!$C$3:$C$4</c:f>
              <c:strCache>
                <c:ptCount val="1"/>
                <c:pt idx="0">
                  <c:v>2</c:v>
                </c:pt>
              </c:strCache>
            </c:strRef>
          </c:tx>
          <c:spPr>
            <a:solidFill>
              <a:schemeClr val="accent2"/>
            </a:solidFill>
            <a:ln>
              <a:noFill/>
            </a:ln>
            <a:effectLst/>
          </c:spPr>
          <c:invertIfNegative val="0"/>
          <c:cat>
            <c:strRef>
              <c:f>'cust satisfaction'!$A$5:$A$8</c:f>
              <c:strCache>
                <c:ptCount val="3"/>
                <c:pt idx="0">
                  <c:v>Jan</c:v>
                </c:pt>
                <c:pt idx="1">
                  <c:v>Feb</c:v>
                </c:pt>
                <c:pt idx="2">
                  <c:v>Mar</c:v>
                </c:pt>
              </c:strCache>
            </c:strRef>
          </c:cat>
          <c:val>
            <c:numRef>
              <c:f>'cust satisfaction'!$C$5:$C$8</c:f>
              <c:numCache>
                <c:formatCode>General</c:formatCode>
                <c:ptCount val="3"/>
                <c:pt idx="0">
                  <c:v>37</c:v>
                </c:pt>
                <c:pt idx="1">
                  <c:v>51</c:v>
                </c:pt>
                <c:pt idx="2">
                  <c:v>39</c:v>
                </c:pt>
              </c:numCache>
            </c:numRef>
          </c:val>
          <c:extLst>
            <c:ext xmlns:c16="http://schemas.microsoft.com/office/drawing/2014/chart" uri="{C3380CC4-5D6E-409C-BE32-E72D297353CC}">
              <c16:uniqueId val="{00000059-5800-408F-8E98-B9E75E03875B}"/>
            </c:ext>
          </c:extLst>
        </c:ser>
        <c:ser>
          <c:idx val="2"/>
          <c:order val="2"/>
          <c:tx>
            <c:strRef>
              <c:f>'cust satisfaction'!$D$3:$D$4</c:f>
              <c:strCache>
                <c:ptCount val="1"/>
                <c:pt idx="0">
                  <c:v>3</c:v>
                </c:pt>
              </c:strCache>
            </c:strRef>
          </c:tx>
          <c:spPr>
            <a:solidFill>
              <a:schemeClr val="accent3"/>
            </a:solidFill>
            <a:ln>
              <a:noFill/>
            </a:ln>
            <a:effectLst/>
          </c:spPr>
          <c:invertIfNegative val="0"/>
          <c:cat>
            <c:strRef>
              <c:f>'cust satisfaction'!$A$5:$A$8</c:f>
              <c:strCache>
                <c:ptCount val="3"/>
                <c:pt idx="0">
                  <c:v>Jan</c:v>
                </c:pt>
                <c:pt idx="1">
                  <c:v>Feb</c:v>
                </c:pt>
                <c:pt idx="2">
                  <c:v>Mar</c:v>
                </c:pt>
              </c:strCache>
            </c:strRef>
          </c:cat>
          <c:val>
            <c:numRef>
              <c:f>'cust satisfaction'!$D$5:$D$8</c:f>
              <c:numCache>
                <c:formatCode>General</c:formatCode>
                <c:ptCount val="3"/>
                <c:pt idx="0">
                  <c:v>150</c:v>
                </c:pt>
                <c:pt idx="1">
                  <c:v>182</c:v>
                </c:pt>
                <c:pt idx="2">
                  <c:v>163</c:v>
                </c:pt>
              </c:numCache>
            </c:numRef>
          </c:val>
          <c:extLst>
            <c:ext xmlns:c16="http://schemas.microsoft.com/office/drawing/2014/chart" uri="{C3380CC4-5D6E-409C-BE32-E72D297353CC}">
              <c16:uniqueId val="{0000005A-5800-408F-8E98-B9E75E03875B}"/>
            </c:ext>
          </c:extLst>
        </c:ser>
        <c:ser>
          <c:idx val="3"/>
          <c:order val="3"/>
          <c:tx>
            <c:strRef>
              <c:f>'cust satisfaction'!$E$3:$E$4</c:f>
              <c:strCache>
                <c:ptCount val="1"/>
                <c:pt idx="0">
                  <c:v>4</c:v>
                </c:pt>
              </c:strCache>
            </c:strRef>
          </c:tx>
          <c:spPr>
            <a:solidFill>
              <a:schemeClr val="accent4"/>
            </a:solidFill>
            <a:ln>
              <a:noFill/>
            </a:ln>
            <a:effectLst/>
          </c:spPr>
          <c:invertIfNegative val="0"/>
          <c:cat>
            <c:strRef>
              <c:f>'cust satisfaction'!$A$5:$A$8</c:f>
              <c:strCache>
                <c:ptCount val="3"/>
                <c:pt idx="0">
                  <c:v>Jan</c:v>
                </c:pt>
                <c:pt idx="1">
                  <c:v>Feb</c:v>
                </c:pt>
                <c:pt idx="2">
                  <c:v>Mar</c:v>
                </c:pt>
              </c:strCache>
            </c:strRef>
          </c:cat>
          <c:val>
            <c:numRef>
              <c:f>'cust satisfaction'!$E$5:$E$8</c:f>
              <c:numCache>
                <c:formatCode>General</c:formatCode>
                <c:ptCount val="3"/>
                <c:pt idx="0">
                  <c:v>312</c:v>
                </c:pt>
                <c:pt idx="1">
                  <c:v>373</c:v>
                </c:pt>
                <c:pt idx="2">
                  <c:v>351</c:v>
                </c:pt>
              </c:numCache>
            </c:numRef>
          </c:val>
          <c:extLst>
            <c:ext xmlns:c16="http://schemas.microsoft.com/office/drawing/2014/chart" uri="{C3380CC4-5D6E-409C-BE32-E72D297353CC}">
              <c16:uniqueId val="{0000005B-5800-408F-8E98-B9E75E03875B}"/>
            </c:ext>
          </c:extLst>
        </c:ser>
        <c:ser>
          <c:idx val="4"/>
          <c:order val="4"/>
          <c:tx>
            <c:strRef>
              <c:f>'cust satisfaction'!$F$3:$F$4</c:f>
              <c:strCache>
                <c:ptCount val="1"/>
                <c:pt idx="0">
                  <c:v>5</c:v>
                </c:pt>
              </c:strCache>
            </c:strRef>
          </c:tx>
          <c:spPr>
            <a:solidFill>
              <a:schemeClr val="accent5"/>
            </a:solidFill>
            <a:ln>
              <a:noFill/>
            </a:ln>
            <a:effectLst/>
          </c:spPr>
          <c:invertIfNegative val="0"/>
          <c:cat>
            <c:strRef>
              <c:f>'cust satisfaction'!$A$5:$A$8</c:f>
              <c:strCache>
                <c:ptCount val="3"/>
                <c:pt idx="0">
                  <c:v>Jan</c:v>
                </c:pt>
                <c:pt idx="1">
                  <c:v>Feb</c:v>
                </c:pt>
                <c:pt idx="2">
                  <c:v>Mar</c:v>
                </c:pt>
              </c:strCache>
            </c:strRef>
          </c:cat>
          <c:val>
            <c:numRef>
              <c:f>'cust satisfaction'!$F$5:$F$8</c:f>
              <c:numCache>
                <c:formatCode>General</c:formatCode>
                <c:ptCount val="3"/>
                <c:pt idx="0">
                  <c:v>224</c:v>
                </c:pt>
                <c:pt idx="1">
                  <c:v>247</c:v>
                </c:pt>
                <c:pt idx="2">
                  <c:v>250</c:v>
                </c:pt>
              </c:numCache>
            </c:numRef>
          </c:val>
          <c:extLst>
            <c:ext xmlns:c16="http://schemas.microsoft.com/office/drawing/2014/chart" uri="{C3380CC4-5D6E-409C-BE32-E72D297353CC}">
              <c16:uniqueId val="{0000005F-5800-408F-8E98-B9E75E03875B}"/>
            </c:ext>
          </c:extLst>
        </c:ser>
        <c:dLbls>
          <c:showLegendKey val="0"/>
          <c:showVal val="0"/>
          <c:showCatName val="0"/>
          <c:showSerName val="0"/>
          <c:showPercent val="0"/>
          <c:showBubbleSize val="0"/>
        </c:dLbls>
        <c:gapWidth val="11"/>
        <c:overlap val="-27"/>
        <c:axId val="3947232"/>
        <c:axId val="1967592815"/>
      </c:barChart>
      <c:catAx>
        <c:axId val="394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92815"/>
        <c:crosses val="autoZero"/>
        <c:auto val="1"/>
        <c:lblAlgn val="ctr"/>
        <c:lblOffset val="100"/>
        <c:noMultiLvlLbl val="0"/>
      </c:catAx>
      <c:valAx>
        <c:axId val="196759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solidFill>
              <a:schemeClr val="accent1">
                <a:lumMod val="20000"/>
                <a:lumOff val="80000"/>
              </a:schemeClr>
            </a:solidFill>
          </cx:spPr>
        </cx:plotSurface>
        <cx:series layoutId="regionMap" uniqueId="{00000000-23A4-4707-8751-1377DCEC9AC0}">
          <cx:tx>
            <cx:txData>
              <cx:f>_xlchart.v5.2</cx:f>
              <cx:v>Amount</cx:v>
            </cx:txData>
          </cx:tx>
          <cx:spPr>
            <a:ln w="3175">
              <a:solidFill>
                <a:schemeClr val="accent1">
                  <a:shade val="15000"/>
                </a:schemeClr>
              </a:solidFill>
            </a:ln>
          </cx:spPr>
          <cx:dataId val="0"/>
          <cx:layoutPr>
            <cx:geography cultureLanguage="en-US" cultureRegion="IN" attribution="Powered by Bing">
              <cx:geoCache provider="{E9337A44-BEBE-4D9F-B70C-5C5E7DAFC167}">
                <cx:binary>7H1Zc9u6su5fSeX50gsTCWDXXqdqgZQsz7MzvLAUW+FMcADHX39bdpJtDc6Wq+KHq3uUVcmypYaa
/Ah099eNxr8f+n89pIt59aHP0rz+10P/98fQmOJff/1VP4SLbF4fZNFDpWv93Rw86Owv/f179LD4
67Gad1Ee/EUQZn89hPPKLPqP//NvGC1Y6FP9MDeRzq+aRTVcL+omNfVv3tv61of5YxblXlSbKnow
+O+P7jyNvusqj+YfV98jf388mz8uqvkHVze5GT5+WOQmMsPtUCz+/rgyDPn44a/1b9vQ7EMKypvm
EYSpcyAdQm3CbfT0wh8/pDoPfrxtYYIOkEOZYFj+/NrzeQaSu2v0pM/88bFa1DVc2NO/G/IrVwH3
4p//eg8elvdiefcDAOLvj3d5ZBaPH27M3Czqjx+iWj/drGpw9fJC726e7sxfq/j9z7/XfgH3au03
LyBev7H/7a1VFP8LwoD+vAWM63cAWRxgQBkTzp9BhqdkHWRHIEkoc1ZBfpNS23HeHGIHqDeF9gzt
83nxHrNZHBDJCcMEPwNN14EmB0RIhmwBj8DzIvI8m3fVZzvGK9I7wLvy+T1D9p8UlsfH9wCXHwjE
BBEOlU8vvgVcAJ87a9i+QaPt8K4PsAPC6yJ7BvJRViyqaJ6+w1pNDrgkwmb0lSmM7QPbsW0bc+en
wX45kd+i2Xa0N0bYAe4NmT3D+5+0iPLFO6AtDhxJbQfb7HlOi7U5jeUBh5dtc7a6YO+u0XaU1+R3
wHhNYt8QzuaPunoXhCksyYgIAHDd6eKcEEmR3DaR/9lZoVcAXpXfBeBViT0DWDXGvMcMlgc2BscZ
vTaDCT6wbeZg8MlWZ/DOCm3Hd1V8B3hXBfYMXVenTf0eTpc8IMvACFboV0IncoCQoI5k9iq8u2u0
Hd81+R0AXpPYO4Qh2l8iXJv3wFkcICykpJRvN8SEHGCgQWyOwUS/dLhc/Ta9XkN7yyg7Yb5Fbs+Q
9xbph3MN/Nuft84MH3CbgRleYr98bcRUDOY/oxBTrQVVb1JqO+abQ+wA+KbQnqE9ST94ugJn7M+j
TcUBJ9KxyY8AWgKlueGSSYlhmm+Nrd6k2nbMN4fYAfNNoT3D/LaKgL0d/jziDB1wCtw2t51X5jc5
WNJhGAz86rL+BpW2I70+wA44r4vsGco38/yDWlT5vHqM8veY3uwAgyuGBaXb2U/MgR5lSPK1VMbb
FdsO+Svj7ID8K5J79gBMIQP0LsA7MMsxkGIYP8/y9XV9yaIIG/7gNSd9d422I74mvwPSaxJ7hvDZ
In/UD+8zu+UBXpJknP8gRjcylRRcNe5QunTiXnrob1JqO86bQ+wA9abQnqF9mC7y/M8bbQqUCgGb
LAlkI1f9MwjCpMAc8tWrEO+syXZ4V8V3gHZVYM9gnTXZN50+mj+P7NIdEw5mbBNZsN0OpgjSW89L
+Cq+b1FpO8QbI+yA8obMngF9lA/v4YY5kKckMIP5j5zGhjVeliNIxxFijUrZVZ/tCK9I74Duyuf3
DNmlP3naRPWHi29RXbwHyDYUEhAHSyaefe0Na4wOHAiigfbe4my/UbXteL92jTtA/5ronj0FJxBs
/flFnNoHlD8lPJ5JErQOPXjbSy4VQ+C9uorvqs92vFekdwB55fP7hixUJr5HoZhzAKBBDQmzXw2k
HHgPclnr0O6q0CvYrojvAu6KwJ6he6Nznb1PkoNR6UCF2I86wC3lYRzbDoNyz9WZu7tG2/Fdk98B
4DWJPUP4dJ68QzYDAifIVWCOoKbg6QVR0nr8JLGNHcHX6jx31Wc7uivSO2C78vm9Q7auF+9gdSF0
YlAlJCR5hhZtzF1wuOBtJpy1pfl0vqtGr6G7Ir8TvisS+4awrj/8kweLdPEeFpgdIJsQKn5a4I2C
MCjxZRRKimCaL19raYvTtyn3CuJbBtkF9i1ie4b9MnCYVvP8Iaof9E8T+Se2YXAgRhDiEBJvd7yg
/IDBThRb0C3h1C+NdnH2t0O+cmG/htkB9O2Cewb72RwSlL/uyjO3/GdQl5xBchL9SEivT3ZA3YZ8
lsPlGlOys0Lb0V4V3wHlVYE9Q/dm/lBBzX5u3oMnEQc2hxJfoEmeJzYY51WXDB8wufwDEfWW9fxt
um1He8sYO0C+RWrPcF8+1IV+l6pBfgAhFNQdiB/e2haKRDqMCwjEttHdb9FsO+YbI+yA+IbMvuG9
qB5gh6D7x/dQ8gOKHOkI54fx3ljGwXcXWILLtnWOn+2s1ytYr8rvgvSqxL7hrCEH/edhhlpBJpEE
9utHLdFGdhId2IxAHTiG2GwlAb2rQq/guyK+C7wrAnuH7ruUkEBYBZtsfk3hjUJQILUJAe8cFux1
cHfT5zVsX0jvBO2Lz+8fsmZRLd6hDBB2uTvc4Zyi14hPfOAA7+nQ9b2TZ1DdvatOryK8OsJuKK/K
7BnSt4tw/h4EN5BksC3SAQbllUIwCKhgrw6G7TjPjtkae7K7XtuxXpPfAek1iT3D+XzRzt9lKzQs
xg7hgqIfu3I2yFAMKUjYksPkGtG9u0bbEV6T3wHhNYk9Q3hJ/5xBx433CJ2fgijOYX/sK6EzTGYi
oCiQrU3jNym1HefNIXaAelNoz9C+AOozeI/EFYVN77DtQjivbYOG3gc2bJR11vnu3TXajvOa/A4g
r0nsGcKX6fxh8T7boMF3XmL8vNl5M30FKzZfNj0gvwjwlyHU7nptx3lNfgec1yT2DucGOl/9+SAZ
UtCSOhy2WP3wwDb4TgQbbgRE0XStFP8y3VWj1xBekd8J4RWJPUP4OoJuUnX0+D7LtRTIpvRHAdhm
BRgwYtBrCqqE1oLlNym1HefNIXaAelNoz9Beuh5qAZvo3sMRg4Jemyy7HLxSFQYtDhgiCAq717zt
t2m1He8tY+wA+BapPUTcixbBewAOPYgwpCWhD9Fatgp20GGHCthi9+NRWOXClnd9Z51eh3t1iB3R
XhXaQ7CP9bxs3isNDWgzAhUGT68t0TSRUBQq5XO4vSXceoNyr+O+PsiOyK+L7R/20PFCzatv83fp
AMqWlSXLGoNXODNgvh0pgDWDJidPr405/zb1XsV/yzC7PQFbBPfyGXDT93kCwFuDgjIoGn0tf4kP
oDAJA5225rPDeg/3fme1fof86iA7474qtp+oV834DoEaNP7lwISjn9nMdVMPVDk0LYOitHUK9Qfo
O2r1W8xfjrE75C+l9g3xcP4u7Y0gMQIdBMFzo691ACYH4NYhAXu61pb3nTV6BelV+V1QXpXYN4Sj
RfUuZhw2TTuIwv7Z5xqTTYINHcCbYOjFdiduZ71ewXlVfhecVyX2Duc6iQbd/PmVe9mzikIlMPnZ
Bxg4ltWSQnLgQE9RG/q2r83laHedXkN5bYSdcF6T2TekdTp/UZTx56qDlyUpQJgvyxaeXutFhEsL
zSRM5w3aZWeNXkF5VX4XjFcl9g1hM8+jOp0370GYc9i2g6CjhfPani1IjKDllg++VgMOJx28QatX
kN4cYxe0N6X2DfFls9j3SINBExtKCBzF8CPY3vC6oRBpOes3ChdudtboFaRX5XdBeVVizxD+otP3
YE6hnzeHvhfQUm7dKIPV5rBrC7qcrBrlXRXZDuuK9A6grnx+zyC9bYAfeY90F+yKp2hZMfYjd71u
iJe1oXLJkNhrDtfuGm1Hd01+B3zXJPYOYWjznL1LI35+IAU0B4SF9xVnC0GATDAWZAPj3XV6DeW1
EXbCeU1mz5C+Bze6eZc4GRr6QhRM0WuNnp8mM9ShOGjN33qDSttxXh9gB5jXRfYM5S/NN6CP//h+
nGWnQAzdIKFY/+m10QYBWvJDCwQBhNiaLd5Rn+34rlzNDuCufP7/AWR/r+LKBS/POvvn573dslP2
rafUQeNWOEPBgRTV9tV5maPC0NYEcN+Wo4LjxH6drPdqfP58uN/GOXUvZVeu8fkSf39T3ucUutdP
qPt11J83N/PJ0yGBLw6p+/27Tw81nG24JvpjJ9MWEH/1YDx6/PsjNOWksI8Zfvfr/MHlQCv7oP6z
pfTno7EquQDy+++PcOYghLwEmpQgQNSmEgEl3S1+vSUcAnumf7wD35dDa/gQTjKE5t4UQmkw0PAP
gb08Hz/UuvnxFjSkYsu+kbB/XjAqfh3keKnTIdD5rzvz4+cPeZNd6ig39d8fIfH98UPx/Lmlvjay
OQdWBrQD6oURYsM3FQ/z62VLIrgR/4fGbV6Puu8u+lQglzVRMaVtGE+KuHUz3ptpbSU1Vb3N2i9d
nJ0UdS8Pwd5wxcoocv0hqD0/F/g6CJyJJexMZUPOXQdF1gky49z2yXguG7PonLKe8DgJVJH6N7Sx
nLO8TUM1tLScFn1bnkNPxUkchPcm7CYdyqNpJMVxZsgxq/D3pB/uuzA75iy5KNPK45jMZBTGSsZZ
qKKMFl6c4kCNA029HrHaDWQTKmY7i5izu86xviattejasPS4P2Ru3w29gt5Fj2U2BCpB1rlBbePh
Kh9Ul3S5aqXzbQhZ4kk488hNeWtU25jIawZ9H2b6ijjBxNFVovjAGrdsTDsJqsMmOAuiI6eg12Xt
nNHUX4xppob80sFF59EqOc+lMx37+FNWUuUT/yHM7dvW9kOF4u9DwAovSsmVqIZBiWZEkzao77Rl
iBoaU7hNGqbT3qS9KiUtvcoZbrLA2J7hHZvVAsUuTcNqgvKGq1Gz0c0iPLq1H8uJZZzaYyaYJSGr
VWbRw6ax4msbp8TrSapVPLBY4chuPVtb9Kwqk0hx3bVuInBxPFrVta77VDFLo8Omr49shCOvoiaa
sia2Z40vh+Q+DywenJF6zD7FtW1JlWZlAbevHd2eOp1q+6ib5Lb4Xstw1oftRWiqxKVZbfiZ8U0t
v1b2GD1mqeaWJ3EqZxHD/tSuHXzBUdS79SgbNyBDPi1Yp8+ykUR3ohP3lYn6GaT9vyZRn7l2W0QX
HYuJZxVNNSWDuJV5d0Qz+7Co/OYwHXE6qzC+sxofew3q6KT3x/yw7fLgOmNZqXhN8os6l16J4F7S
uj3rw0HfwhPA3YJx7cZl2l9CV8p6IpquuA3K9lsNhWUnPCGt68ThosBh745sQJNI4nNLaN8o1PRw
623scmmaWdX41YxUTnpTOmV60Wqe3yZkMF6Bo9BtWXGrhfGMcSw1NqNRQWTPeidPVONbsRvTRiuj
h4vOSN+1aNW7WaLlxI5Id2IcLKZD5DvHZkDz3i/cMuzuxcAKl+ZoUDooYi9gclCkZ9aRZcnuaxJ3
ncrH0vciYfLDvtDJQ0LtepY2XanGUhwnXdjP2tGISWXkyLxqLHzl2LK66ij2T8OAijPRDuc1lGgo
mVqDy3UEMzNrq2mPRO8Zktdnlhi1qnGCVGL34+TlYacra9yDLoYqCsIf59X++vF/bnUG/z2dfvqf
Xy6Pu/3PT4cLvTwtsl7/0NIe/frUf05QXa7/v45TXbMqz2fmvmJyfvvmm+zRsvnk6/boucR70xY9
taz8aYvg/FugX23HgYTKhi2CXf6MUQd64tnQvOU/tkgeQD9yCrEkkTbDkGN/aYuABLKhXhJYQEDU
kW+xRWC9Nm0RtD2HRgIQvoKPRIGbeGmL2qFrmWG8uzB9m7jMJJ90O1xz3baTVAYXGS7jBx21uYoG
eksNjd2WWv6N4N13K0RT4thMjdQaVSBKWAJToTIepJOo8r9VQYLdPuUVrOH5NZNpcIik9g+71j8T
cNayFxb8W0OjG6cdP4WZcVySmkaRgrm9DrNZwotjWtRg3TjYHCrz6ZiSG/gurzO4UVXXhB5pBqxi
0cSuPzpnJpF3sHcvVHkSPMa1OGOVf4VYfxEG9UxzXKi2Ha5IiNCUCdqqmLWXPeF6IihxFCd9p7I0
cf2AqHEsXVo28RFiJFJdgWc49LOpNLD2JBFMxmYo6IQm/qGTpJXSNJMzv2C3lQSTNUivoXTSFDVS
ZWVHbpQNRyOOmWvyUKgAjfe2fMy071WkP6trMLGt+dygMXKLuO4Vo1GrmsFPldOCQbX7YdEifdRi
PuXU4kqi8D7AWaCksNxUpKViVQYr1TiLCb/oIn7OWeAGurrXlv2taYYTrpNDKxk9h3K3rPFR4ydX
ZKC5CmznWsAd8iMeKEtX0y5Nzysmr50IfUv6EakeSazA7oxK8u4uI+xLLOQ5KXjnmjZn06LBtZI9
P8GxuLVSmrvOiO6jNk5Vl8cnI/Xvir46LxrrJKgSqeo0XTAr/Nq31m1Bm9M+7K8N2GfkWJ/BOD6k
MraVbQ+tWxUBWNRUiwmpy+98GG5QY0WqZPIMYDrtYu6VVez57Dsu7IlP4HK6ZpwWXNceYdGNDuOZ
EwutUMAPx5jbqsr1V5o7X8D2DW4+9HPWdPB84bJUWQBrfGv0KW7TRx+eSFnRzGNEH+LUOW6cYaYd
89haYK9JSG/tOjgMogiMhF9eYtQZhZO29+B0qFBV1hB7VtgINVBRKCST+9jATRpzK1Z2WNuKZeTa
OMVEFtlsQFklJ7XJi2M/6IJz0uj7vv6SlkcU5tyXzERKDyWahQH4BqNhd7ocwquhq+SRn4Cfo3nd
H7LWj8DQdcxtShxPhia0VWQV3+0YDNVph0uTX/mhHw8TkyXleNfaOkqU3failirwE3aT+7RIXCug
9xGL9YTh5gaaGYzKH5jqc2Z7smu9VMSxx3N5OBRd7VlYCM90VXocgXWeZK2PJ0VHv+jWjifjCNMt
DeGRzjvjqLCv3Mi2qWtFmRcI2d+IoneUDsOLPhwfielVVAbCi6JyirrGa5IMT8Ye+5PcEaGXiGCa
cn7eM6ZMEbkjEp8iO5+GwvaVEeHUMeYoElRVaPDSXl+mUTMtWsu4o1Wf6KIulNWaYxbmwXma9HcJ
c27g7uLDUrLzOq4u+7K5k4mcVZTlbuB332qH3WtNP2eIp4r4pRunNFNlOY5Tp4vu7bBnSo9Z6MKJ
Iued30qVd7RzkzA9Rd14CL8lbh/FhSqN/aWwnEKR0ppUNPk+jOVdEfP7oozO0op9qyAYcFHGLxwj
j51GI3DzQ6po2WE1mMBykY+/oT6+FiQ/BfBK8L/HTpmE32Vt28EMoca1OxFOShF4zmgxcJ/lqOKk
9LSByTTA1OMjXGdIjuqgbVUUmuu4gVWA4GOE+YnfmNPETivwkLhRaeeEym8zqWiUparhIvZYhseJ
n5iFFY5mqmUZT00jI1UU6Dz3pTVp02aYkRwfj4E/t4bsNEzGO2ugROF+eLDaMr4Zir53q66bFTXL
IWSRiceD8qHTKFJWhQpXZ/ldJJyTsCgeopEbcDlRdtvn1czKyR0nTeb6BaCRcn86NAnyhC9g2eiO
eFb4nu80syIG61CYB0k6puoshWetzprOVikKrOq4QnhoFUqDfMIcWU/rJ+eXPDnC/+sRPUXoy706
r3tEz4eObnpET9suX3hE0CIYwl6IfQV0E12JzhGBOrNl3yOYH5ADexGcQ/YEsijLo5bgDL2V4Bz2
CYFDBM1xoCk8PKFvcogI2nCIoNUOglNCgAyCQ1+WtREvHSJd2GNiD359gVJ6m+j6htT2Scbqq6Qv
YgXeUngcINVlmM3iAdb5LEn8qd86YA37xleoLCCOGWAF04N1jdg4uuDmYNUxWATrEV8ZVBLFJIyV
cx1O0rjARzKoiCrC9KbieQxmQguFdX9mlUirLI8Ltxtby7V62/e44fEkbYmlKtOV5yjPbqFzhX3G
2zE/jQkxSjukhCW9DiYk5YesloESre5cJwwhVK/y2zAX1EutDCxTVR+VhT31hQkmdYKJ4ixbjGV4
X6HUUimxZ5paN9aYYOWX9dk4jq0a7eAbMG2xKu1mcCsNoWV1FONTHNDHNpxX1DUymGntB17XNkSV
YxPDHUlSL0/7xCNjXUyKIZ53oy5Ub6rHxnTH2BQduDVwQVXrH9WVuBwsXkAMP7HG08bg456Jr3bs
HGkUMyUHG3mS26dVUF1GWQ8eUwuGVvf4InGqFBysZoIFAkgor5UJgvqIVwyp2s+uSdCxK2mFDz3J
r+pcNCd+SlM3wiGeklITVfMWT6lTNZPC12aSJksXI4G1uELilETh0dBETNlV6MUiv+6TOlZobPCk
pBl3RQ0cgiOzfuIgXk6C0rQ3gUHU9bH8FFg6VhCbHZYoPq4TfsvkOMdWkB9mQ6IMMpO4DaWnSZio
glahKlgx61BLXMeUx9C4F1yIqjyUNIvdxMc5uiyYyW+EX8IXV7UqEn0xsuoh0p0+Iq11CQ/4XOpI
qyoO8uMwwZ+rsj2rQtl4lmCxF3V00XfNogXfalqbHoxVLfwZ7+1vGUxRpUEVN4mcZBp1zY1Ngvok
E+i4jeMvxShPxhJ4DluHh7qzTsthKFSNBJqawMdKJ36nqro+N/EI06e9DQP/WxlyMcup7FVsZTf+
SEPVk+ZTSflRUgJLImx9DEVxKTg8TjYVdX7kBPZdFaLwuDW5o5J4vIExu9OytVu3l1pPTOBUbh6N
kWqrPJliuQSvp4OLHN/xsM8+1Tqu3HZsGlXXeX5ck6Z3e4tzFQ5RqdI6BR+hr/XnAPnBLA/D6jJ2
bKk6oHr6fMBT0WT3goyxCkw47dsYq5posHy0yCd+GjeTOkoimO0GjGukQ6VjJwS/vjlCo0BHpQiP
OPbTQwd0UaVDBwXLolEiqy/r2IxKl/mMmXIWW44XayAc4tjEbpFaGGYaM66FSK8GFnJPAu1nGM4V
h/+xmH0ZB1Lpur3DfXxiV82xpsO5ZNVNy9tGjXV2GFp+ovLMHyEgwudt39xF2s5VOoSXGWuukgDY
iQQCkGz8XPuMqwT8X5Xp+N5pgQHs0Wyo61sjHIhimhwpBP4QMAz9aVKXE44qPc0GUStS9Wd+Ra+S
fEgnfYcnnBTHpGlyNdTNd2b7X6MAXzAdn1ttcVnGvHRFW3/zfbtXTTJ+TkMgO1kpxCSPs691xgk4
ncDNGQJcTMhOeqvQ4F/AU2Oe6C66ZL4i5uT0EKrbyCTU/bG0I+39rwl/MuHst6TGc6HQpglfSr0g
2KH0f7mhk9rQ731pqF8Q7LA/G0N3QoyhVEmAu/DThi9JDahbElBGDj3Q1kkNypa7gcG2U9hLRN5i
wyEfu2HDOUwibC93pEFXrmUxzUsb3pKcmNKSwwUc61hPkZXmk5qhOlEJhcXyBCjb3lawhliWa/t5
cdbB6oaAprRF0qq6GhvwkJF92ud9qdqY5Kqp2TG4H8hNB1pPCTby3IFFdgYUenFFWFUohxnrBFht
+7CO9WcJwb5r2eghL8Hs4HC8yiKdKL/TKZCjbapowC9GkbZurlukgoInLqzao8IioKqJgtzNM3KV
UCs9ajNwJjLfnqAqtGcWB2tnU78+wkmTCyWd3HajIrlmWCy6pLzRbXRaZF3lVRBQH8W91R8HMk3d
0cjiAjXOVyCWrmUJo/g4OYO+ox0EuY1X93nq+Z08QwxuDSWp6oP2CiXjfdYUdzIuT6Kw/oqAwY6L
DJQdO+LmIj5lNlD64GGfjYV4HCWwJ8OQwAQn7cnAtXb9tCtdqzGZCp1+KoF7T0JaK1voqQ9UCrfK
s5wUn+NoSf/SwnejMKsmnT18GyNyjqMKfhDFdRQGqYtiWorLmgprOLQayBmAywRsDQK6vKy0J3A1
qQp9SHg/RbI7JMicNFhOcTUuRiGiic3bk7y3IcypuABrMABR1NSFy7I4cyvRFTMZSK06wj4VTXrW
WDTwSlZM2p7YXj0sfO5MCCmMS/xgPgz594YH2uOJncO6POopRiY9Eym59KsB6CQHgvYiLq7CapyL
svYVNlbghql23IoBCZA7QOkQcx/H+qpBGVKOA06QSOPpWE7tNKvckOaHDXau+i74BPyAVCargUQx
qddaWTsRDjyuooYIOEoC4/FhRDOe5tFEZzUEp4FvJlEp7ws/vkyyoATixznxO1F5Q1kDLWxHczSM
AbA4es57Wrl1b0VebfnjzDeaAcuWJJMiYJHKSAOrPx4Lr2cBA0MY3HCfwzOlKZmRLIMsgu7dJgd2
x+9HCyJ5HirK2ElqdVfAx33JOfVV3mdiAkmF08whMzjdybhtIC/6vK7BGyW2y0N8hAJUK6fARtkd
mIA47S90bx1V2lRq6JKHJm4+xRn9VgzdZcya3sNBtoBF6rwiQQaUoDhvOxtNYiEq5dd5eyqH+pIW
9DFmEbgnRTij6fCti+U5uH83UZ7GbmaPQLYY8A4tO5gKO46nRVA1YGycL7Uur0gQpmCUk0U8tuVs
IP7h2HQcuEoLHHpWp0oGS6op6GBSR+nEKpJPeac/4SoET7Bl8wrFX3OnyQB+bVSh/UJFmp41WtzH
lXWCg/ZYyAxNUG9PnBBIIG3HbqMbtwXiVsXS+mLK4ZDH+lRXEI53vO5UGPDPZgQ3IgmonLUFlxDn
ymzWYXjwylqyC5JoYXnlMq/z/6NZfGnfbNiL/rug9mUG/zn7/5TGfZL6aRExnD+3bLqP4KBvG04K
hQF/WUTYILvsM7bMLUNctGw29cMiMijAx8uekWhZdgBniL+Iapedu2FA6OouYNMVGMy3WES8ZPFX
Ms4SOtbBuR0O7AWgsFF7zSCakeqibJr+HDgqOWlhakG0RGOwOgnv2ivHsofjuG/zZIJQYr7A7G+B
IqvB/NUyLz+9uHtbEuDLs37WtQFjCQcFQcjOlqeArZpnlg9FIsOmPSdljs+DZMx9YJm0E7o9OKBS
tR1rvvC2AK63yoSBhSuuIIftjzVnLrQJyh+lMegCxggbj6QpvhttS+DDwbH9BR4s3E9/rzHZyNiD
PwMdIOH0DAnuBIQ+axpHPARsB3NOezsAjq0f07sW9lbQqeGDtoHx7zGEU9wXauTOEKkhQfQQMnAD
9qpWm8ewr2vsAiMLhsREuoWVPESt4pWdBJNAx+Fl0sjjDBK0tQdVSfK+DsuTJO3sfhLVkLaPqrDN
Dn9/VZswQMMkxAEIB54N+nTRL8oQ+GAFnVWk9XkOfvW9DgTE/ywh8GgUedNfdn0lbwofp59//7XL
Z+3lswjMChA4nEoCzyL8tVTrxdfaqIeEex3k57kY8TlOwuY8r4EcFn54//tvWs9tLb8JUmjADMGh
kZIvfdGX31TkDKjWKtTnokBsXna6Sg99IwaikiKcoLJJR5eiQUBemdpd9t8emnUvFK6SLA8yZODa
Qh3F+tfDvhzwWvIsOudlYs+zuLHnSbrUwR6zeuJUWqsBAfSHXVp2wJMkmi9MKuujTg7stHdohVza
xTpxY55nd7QqCPVCMQyLAgIpD1kjEA621Kya2dQBp/X3d295tvEaUFDkBssGJPAJW1alr94+5DR2
btu+dYYbP5tHlakDha3E5ExR8H6C4y6Mkm/A5RenPXBGU0ezPnIJbvl3w0fgtAcwUy7Efe0iqih/
bO0i5Me/V5I9FcusPE6UUXiIlr0FoJWfzaEk7yXITiUicIwNPYtZWfgSEhIyHA9701M5NW3TuFVf
oqs2G+xGhWHI3QrnhzWpisOUFcRN0jK7LlI76xVPwc2Ceht9NNQGLLVdFndOnQjPL3MfLHIcRyqC
DGin/LjOz7vCqi9Ka6STIMAyVtbo55lLWshc2o5Jr0kcXAZDTnuVNrw8N355awiUgHgQXMONjIb/
y965LcltY1n7VeYF2AEQPF4OD3msrLOqVHXDkCyJAAiQBE8A+fSz0ra6ZXW75++Ify46oh3hC4er
KjOZJLD3Wt/a8LE2BPO2ZcSikFY8TN4qMgcnHiX0ZqvdkuaW8EDnuBzi6AFP0Zldk62gNvSKTbpf
+tFMTzPxUG1ZPcW7ajTzMah8/9lwapt9FXsUnhFvqs9I7w8Q/lvjvc861kXfj/6x6dr+SE2qvoil
h0PRM908ibRycbaYoD4N1TDnK67DngZ+emcsdK3ADmZHqaMwiMOY1vliYf3mi8+rUo9sKOY+veOV
V5OC0m46YKvxbd4SGWXJFKuPThN+9oe0fwrZFO7nVHr+bow0amSQPeUIo2PbLVe/x3OOfPJHZb+N
dd+HOeodMmdt7S81cBzZ4eGwtlzrZU52Q1fxQk1MH1r8KLqiAA1BtOglzuQopZfHlY1B1oB9yIJJ
VTmbvFbvh6gp62BeyZWlCAoxQvdErReYaccmm457x2J3EzXbpqoHABmTBlck1NoOX3jFfX97G63n
YtBQ6YClvPvFX7Wc2JDN0zzDGpka2G1QJ4TZ9guIrOqoB4FCVIL9eSKxx45yZWyGaZeqKoPLB5Fj
4xq2WltV2A8n1VhTRo2tST6oiVZ33KCH7g7NGlterE6l0000Tgx3lK06Otp8xl64izwuq7sFj05U
5ybpE9xwrBn1rlViAB9ksHlVpVtElHsVqEl4RBVpg7yDQqpz6IO2ghEcK12OFaqCXdjWesuTLcSK
2foN2CvNB09lywgW7X4UntZlV4vkmzcvsSAF6fxpL4JkTm5Dr6qrU8sgXKOubd1otvUwIns6cDQX
PNZlNS5oeNJhBH62qkivBwJLvM9Df1Uihxi5qv0gjPByfK3+q9frjRaA+Bpd4F/i3SlJvBGXvG3R
G6AMPjK48Kps+BQ9bvPE2E56nU/P3PIxhnzGfT7tq2Hp2ydsxuwk681vdnOPd1B2k6q3MqFuS/NE
wua86GTFre3hURmKitL5NLAwVEVdsXqGF7rg6xTxiPqk3STbvqoGR+gVCd6ALtiquTlSIoJDLeIG
gEPTGFaITlTFBgs+zDw79Om9rCzYACaM3DLdyw0YX6WCHe2rOsTbTeO+pCvfuiMX1NZlkwbcZtef
y2gq0ha3T80M6DoBDmNywnsHUAf7IRN4jtBEb7/qo8kSeOx5Vdafb6M+XbuiTc10CecWW1I9xg1+
IdUMV6sSnLZvoLVafjKrVm43WjQSZzrV0zP4rvBT6CpdZQnFzbubWxezcow2gTc/U6kLxUwz5omt
SkGFeVPWorKQtVyexjCyn/uBs8MS27oqkyYkftYmFf5OqDrpdu2w0NvN9Sx4GKeQPqNnxk/YyBuT
fKJr7MrF11IcBuf79thCCvXvhBenLy0x15tTSjPuYzXy8d6twZTkxFh8Nxwogi66EYvuGTtY+sIS
grtbY5UcIBykrjuCg6v8eznMTfPoJ20aHF0g7XyZ3HQtPvnq7sPGi1zZWY2X7rqrGeJ8PW170sTX
D39962DZru+r1/Q2CFt8itmEuFS86ZotT5sFj06v4OQ/tEOMR36YURXU+H9YU33AIXeGBuvQZqzn
AD64Hdx80R7vx0yQ2TgAXTFh5boY/7po4GHK8YmwgLiUXuvkqdUv4CDSU7IIkWQJD6HFuLWOPtmW
4W24Qa6PbHIEMgLKXAlnvG3kU4LdYj+2hN6atDZvgI8ik/GAC//UJWA6zxXv6qVYh9jAbo5Xtu99
XNYcFsf6S6Oa8N7NI+kOhqxL82ojDdxGV56G1Z1e1xBhFFCdCGPBSuGvfNz1kU5fPQKgRtu+hvIT
YJlbB8sfRTeN51Q3MixCH009lr0QyvTC/fRlkN5Sl8pv8ZhsXsXSY9B21HzVWJDXE859x7Nhryt2
KUMPV9Qt21Jik7HmTIfZj/IqVdOCnZZBc4sHI9+HdEmfvRVl+mlLp4F+mcZ2BahJabwchYWSVDoN
+S4PbB3VR2j+3OZec6VJQUhNF7fG6kkuo8mSeDwE2i3hYbMRvpyG0HHb96rpuksbueDGm0jQldy0
ejnXq+0BDoSj5s+oRMYvJG2xjGDpHJes4aMFUGOXxGAXWM2Tqg0VH2m3sQTuGyqw9UM/MS/FHxur
oeSx19Qnr+rtZ14TbwE2O0bNUaSEPrirmrMfZjOKUmwzblLhT5Ldu0Zt4a2OeqUy0y8kugSUBy5f
Ud2MpeU9vjWbtKLOhi3WAiLTqErqmBuKRfnJsN8Sg7u/CVwdF2u1khHO/BiZVwh39FnyAfcadjpo
T6qG0dGmLcUC6/ep3CWaA0l185sPhDOhWdMs8YfQb40tbFhPwSWoVLI8mmpMB2zuuKPLXrCrIkbc
6m4Em5ruJh56zu59R1R0rFwH2EE459WXZvBA/OqxwpqBamyeLkpVeP9D2tS7kScNL6wj5LiaAM/9
CjtZZEHF48uvVenv3PzvLe5vzPeP3OKPGOP/Cw95Eb8M3dh9m34GIv/wh/79qEmGGvzPGYG/jVb8
UYT5nf+/Bmr+xgmEaRRispSP1AaDAvI3SQUp5wCrECB6HARPUrTr300GjCXCEBr0XZh8ELAYPc13
iD/CqfE4SSsGOY6oAWyLf0VRwTjSn7ojTDcMrwNvrv0dUIXrgR8/9h3jvIYhtlfvNg5hxypIuQKO
Z6uiNmuh9O2aeD14Y8ByyfUD2P00XwR8AmuwQK5TVyg5HbeBohKXoBdJFHWZb9eqMCaxKETHzyi2
X7AjvvfEXNaZHSEsJFD21VAGHVqQnn2o02GvqQZTjHbD+dLkoWG/RFTkSxzhiWTkISUe0PqkAvom
h1fi4m8ugA4vbf+kffkhplfKCrtPNnvxVurUfAzmfi4E7QE2eHYnUXkXpvN2rWlmdH/D3jao+4IK
9OQ46xPfYiuKsOqAFthQekXlgvdeLd76ILGCLTvlqNUMNuUEjttI0ruM0qAu0t6HvWzTXU8Hea0j
dekD+s7NysolbG3WePJ+luuUpa3KdZeofCbyyxTHXysSQGcWSZix6VYtH/yxi+EYWrRL6QyUaO2e
YkebjGr/XarRy1w6+CUUmiUfu+UcVeN4MqT9bHwuB0AJvCMlcEMEGSId+A+mqWGa8jgs7No8E76U
TTyv2egAHCHk8LENuhct4u6u31x3g8zEmqP+KNs4vWN1f2xVdzvSca8HvlNpfAK08REqBWC4hq3H
LpIomAJypADcMo7PjQ3K+XkVwfUmamM53s9rUk/itIDILHtcPtRZlZdXlum7KiHP4D2Xne6xcqVR
fA60mMAOWCNemtHzVTkooMgltcll89cHMm5NRqLRIKkBjnLoyVMNBLYyqDG2gd2ZOkWf5R9gDTyE
Mj5Wats3y3zgZBuLZarh/uo7ly573/krEhsLzBJ887bPuAzRa2r5GsbdM0iWvUUgQHsboNRhPLi5
fu7b7Waw4mnQ80cxAaB1EOWl4n0emXDINsH2Dmr9Dhqpv3PxehO1HTnjK5fZPMuvEoDdMuC9eXDV
SsZseIh8lDBbvGdb+O4P6BxaAvoPVg2gs0eNPvW4hlN9w7zgScz2c+uNaEmfh5nSPDXpQ81l0WOH
bfvtNET0haTSwnOX+1EMB7FKsDOMXTAE513Ptdh7cbTrpxVBBNODVa5FTr1owx1qP6UV7UqibbFF
2y0IjTsOHhEF6bkbvaKjrgD49Jn1JCpIJZ+2mt9ZGryawd7wkL4oQ2hJ/HVnUHzlovFuK5LupW5v
Z5DFGU/bz0sV6JLZ6iZFrZCxRZ2Vwo/R9GynecrsoI9JPd+AijjjJ7fSOcZOaG/hCCRW+TsqphUc
LnrcRw6oys+8qH6TwkcMRAKdDsm3zRsPjVjextTubLqUa4K3wJL3KWkveg68HERDweicTxM7DHX/
cY0hM/jX4I4NopvEnx8TalRBnVX5MLCPYh6OFkKe8pYq65Lggcn6CBHswW9Tka/bcgkXC4k3bPdV
OyTHdOgPvIn3Imlepd/cwPn5ELc9ydDOPU48KPxeXXgLGZTMr40OngaB70L3yy+BxqNGhotYfESo
9HysV/DgUiwH5ZuzSf1H3CSnbgYcy4fpDtXAbok5iOp5+ah9U2w8ULtlJNjo7dlL6dljBOiL9Y7B
GhzIEOymwRz1Zg92Afe6NTcunfaT2h6mpZmyWJsLY8PZ9bhlE/iWelQf0D6/N1bcBSY8TkPwdQz6
E++iI2X8ZRnFU5iMzxihqrIwqnZLCChkST43BPKLnlHNQnSq/OFmndpTu/l4wqi98K45i619d4o9
AZ5nGcQFcGGG5DIiIH7FDlrHXai7s4iTb/8nFcy/X21CUSv8eW1yvmbw/r4suf7S97IEUdEAh67i
0BAK2fzX2uOvTg8y/vQ6NiuIcRrUj/hihAP88E98NXsiDLfH3/teloQ4uRe+TAxcASd9Yqn7V8qS
63z0P2i2mIsPtwiHhWKoU8RI8JMaSis2rU0fh7d8Qzjpg59ypcESrJoWnHsIVSVy9MVlTBr2se8i
Z/bEqgfY+jnoSygWg3CTyKeYVFG2Jtg3jrobtmKNFxZmczhKdPpjdbJMWZBOqtuah043r73Vj/B5
3531pzxm7HaNWlMEbSjKLXYiqw3/3MU8ynzS+td+GxlE4uVumvdpK5tc+81aWDY+cVp97NO252eA
fhtQbq5r9wLZfESqboaIFg5N3xUoO1yUdzOel0vgrdFhBeovAlHtfAAHJZlagfp/6T/7cnuvFxnl
U6SrnPbtbkQYDqSxPBjpHUCbT2iK28+EDXKv0FMWW6A/iNr7xb/07XrpkEVER4nLozagBqp6piZ5
0KgY0nXZy+2BTtEHu4yvUVKXQTuY9P+mlfh3exCv57T8swfxvxWCYl8+/fwo/vZr3x/F69z466mZ
CXS/34v9vz6KmEcZwz8ljP2MEmNSBwpEFPQBGCb4tT+0CDgxCBEouB4RxtkGqf8vPYvQBH5+GJH2
wDlTEB6gS5L052xV4mqTzgmf76SY+lOi0uAytO6ctAqV+jy8RFoXRk7Noe1itX3l3Wi8hxkA6WoQ
m4AGqR5S3rcg/deHqQ5O3ai7nVGjyOgGjj1uqLcXagmyoOe7uln4EQo1yesepCE0hJrn6WLanY57
NT+tdf+WIk2JSiCGqAiZEJShD65pcd52CvvW8Spfk1WcZtUUwBy8w+QN3+q03eBbkmq/0g4OCm3S
o5rr5aVHH3b2wYZeEtbCIBBP/cx4XyZ6JSjqE1Esg0eKeEnbomMbiGMl/MyPgCMPKGOaeJhKU9M8
nPxpF7r+NgmxRS+sS3eL2lzmVRN0R97aw2DHWzqOKcJT5m2w9c1KbcmR8/BHH7hSfbbbBFpQ9sC2
oJcgDpbkdh7nssU3DBLam0q8WP0N9FX0vm5yqXYmNDyDcQJNm4/0kA7zI2/YUyIR4j32EfemB0Fb
c0BJmbeGRwcTrmP7FE0kHTI+V/GSsbgK9ozaBZGeKvzWVLM9Xgc67oHBNMWm2/tVjrcRygBU9LeG
+Odk8nbdaE+ejopugx5hWuSPQdCK/ott/UcxpW//2cUhBSBICav3z3fxq8JwM4vxv+4+i7Hvfl5E
fvv174vIr/s5Wnl4+5hfjTzmH2SG68HbGKyHze+6jvxNZsCuneJ3cBoRhGLgHj9s6MFfgCDg1wiK
A7COOAPhe0z1D8JR/bX7/b//64dhAfg7f9zPQX4kYZJi/SCIffo/WdgDEMwRgYj6rlY1uOOzCPj/
YvMi//iH10iwpiYYTcRCcCigUX6lUH5UMjTtSNqr1YHEiI8tn9MdtHU57GLtLpD8IguXYx33WHJk
GXk92nU6JeGTjxwWoDtE9y7g6WBbt3VlLvPgwQ3UM4vMJYo8AsMQUkldkJ5CYBgtKbvekh6BeFhG
gxeQvXMwx4au9kuL4Wf7gQemHDsr9yxCM9Au0T3s73rfw+op5g5xf+HVykfuv5PevtWIETy1w8a/
wXhbdoyKapPA8IlXpmoNfImdG/9V0h4RphJuKmFPQOnQd/XGmYfJ4V3AndttHoUb4/hH1sMocnxA
N+6ZrEmbI1vMHoLKjZ0jioXTu5358hI27Nmk49PQbDd1u7xEoW6zJDJd1ojgxgwBfEVzw7k80rpu
jtCfRVG76GypyhKik2ypuz2y9eDqkNzbuvWEpuytl3LNlYqjjHTmbhCRPKQtv5kd+cyjZkUyCvnN
oAo2YIL0K1BCVaxpWq6QFbIpxfpaB0zvJufCfcuq7WzW/rxU3t7pBqu5qPdahUMBOTWvt740Vly0
DVlZsQCREd7vt204VoN45KFRe9kCbKy95jhsXZXVSI22owNiyfVTN0xnzhCX9VYS/QLRf8zXobY5
jIOdg+abOSrKAIMPMi9pCwQDj643FxugLKOS47LCmAmTBGtnLcOnMMC2xFwwHwDog4usUh/AK9h3
sk4XEyH6AqXruGAcxb5T5GsQzV+oDpM9pA59ZqmGIMWbUDz0baLRjwYizCnUFRpT75Q2ku4xpOGX
xuPHLcLECRp/mLi3VxwlbrIOSLUl+czguOvkYWnbXYoBBnKoypF6uY5sc0A/vU/s5BeG4cKHbQz7
cnmlG1j5Pqyvkc/3LVouHZlYJgZ3ChW53/BHF4pOOuHZFtD93HuwsulXz3NHjIi4Ydhe0/jFVe9d
sp1ivSW7UNblEIcfzEYhDLnPy4yZA1MyQeJpbuCF3teVpDnzmyirmvRN1f4bnMa0GCy9SYO2zm1w
Z/hh1QHP+TazLIRoHnPvOXHjh6BZSlc3rgh5fR8sEN+IQKGhF3GeuuYI6Ell20Jfeo8/J4n+AOQe
OSS7i+v+G1yQk0m9E+z4LRtldDIy3atIzVfTo2AdhQ40B9NjYOUJn+8cSvKOWSMS6VcFkaqDEOaz
Xt7qwDUH52n/rbNJ/HFMOjHAnFqrD3qqmkdXId/inKIlUttD5omJF8bDXirVBGx2WufM+KgoLB6L
m6UPxe0cbFA3FRJDYz730fUJw7E0HcZ0YC5IYqrk84ayvOBh9OKNflQuY3QLHKFCbKMHgRWkI25m
htTvOqvzmgDOrf3wcSJkuIYvTVEvPYJYVJ6XDiM/+sZm0iKztIBe2sGD/RhFTxLffGFmpA5jN7an
hKnoUvXQDN3Wi6yJus9BLWUWIbKLRw4KZRA+k7pvcB3XZl+v9Y1EshK4WPXQTN3n2aW5rGSRSGS4
Ko88VRG+Zda/j3NTbp08LHL6Fg/2ToWb3NUVgkLMqjdfzjsexe9Xz3dORmBc1GjQ5kifwtBKMglx
bazCYl0FYqxxKY3/RUeT2/cmLGS7vC2s2iNs0kOUm9/HCaHuAV9zY9FOxa+0HV/gEr+GtNMIessn
p9abNrWHyUAz9ax8rfkKtwyPqHOXpdL7WlcobVT0OE3bHYjfN8fD2w4WdxIsr3YbcmoR9Im3ZQcO
AYsFGXJ8G0j6Nu+bETC/ZLQPZBhmThmBeK841qPjJXBooFph9EQ3fGujgsZbt/GzWcRpYtGUj4K8
YSc4mwqsvSfaeyG26dDJ+jVcDWQ8AlBKsxLLTeHN7sJafHrN45tkjg8ADBFCC9/SfikqsEt90tyx
MDlAeAIpXiEk7jefPCC1oRUHgGMWkZjqE5maE651ITbXZoAHT2BJHsae4G0G4wlYwmEIo/cKMs+y
QjVHGAwxmwKmwoY+FKi5Fvwe8wm+gWEHggGthwQSOs8mLmmo9gbIkG6nrWja7rDUoI8BCq83yF0U
SPrdzIN4j6ruTAaGTLrfTbtWE5p1QWDv4Y/wLBlqVjbJ8LElHDgNSe6AxYNvb405jzQG+c2d3mF0
xS8CcUAMXam9j7aPcL/A+y9XgjkjLBDqCySBuPAZjDtI4v4FFEX1m9wEH+sflzl/RM2uJUgagAWM
UIVgRAVgRJQoPzCBtAmp1m3l3Ur5IWpemvRzEO5/KAH/QSX1v73EtdL64SVW3MVRgxkut8SAy47v
5v7Oyft//hrR31VS14+B86NRGzJYVz99DB/TKLRNRX0HUQWL49023Tj37HnFP3+ZP4o8v10tmN5I
t+C88QCDpP74UYCLrixulvpuhvJrJEdhiOfQfJiDe7vQLBrByoe/gXb/vy3NfzcdAngJboQ/byVw
fvs/6B+uv/PX/iH+S8J8zPKCEQjY9CrtfRchrlPlYDSSACFn5J3gOP7VpsSwMaSjMAIswIB26HT4
Cr8LghAhIEqgHYngef4ak/oX+geWXu+5H/lIwOgYVAh2F6IkjlT8mY8cN2z0czhHtzWDH2Nw9wIm
6RJugsJDxAf44VbNUJw9P+IK5XwVdxeMpED7PAu5ZnwKCUItsyB6yvwar1HnI1m9oKy8OcCIKzj0
CEgxuH8YkGUnOYOhnLXXFxupA09nTeyl/XEMBjhg6RJG7mGWSPihMOnqXRwOXj679hXen8iBqx2m
9tdoDgZ/mYUs2SAw2GSuvXFXzeRZtj4UlEgh4IJM7koe21UM2KHhFCFWce47fW5NdUOte1lH7L8u
RuHa9xrl11HpGoRdjcoHVbUA947iVLnYZiLBJIy5gnG1uO1Vx+k9xVCy7Cq4ezMyY71rkZQGg1VY
nZxAVn3xQZcWAmbC5EKW0VqdtSDYSrr1fuzadWejJcqjGTOzqsVMOYs3VzRTpAqytlu5hkOIFsAv
STivBcYwmNwmyxcvcIjLiDqfUf3kuqJfHIZB5dBcd5KYg0BFnmuqbmTi9zliUS9ziIlq0tgb1AYI
i8AMQYXAntBS7Uw8+7uqqXINMC+rhqo/BhwQkwu6W+l3j8bYvIr7s4CdxZ3E3LXEoFwGgjOrzwGg
twy4eTExki3QghSHG7T09Smo0Cz1SYQKfcMuNTmZDaprdskaezuPTSCVNrrDOBx5g2DRHo3P69y2
yCp3qdizlYkCLtS9iwdAF+mUYyjJaZnRAxgyvNbdijuxCc/rSp+mGvlppzCgx9FD08pHdFg3ImQF
OKsZMalNlBWoQOSjvQo7d8Vz4tJ7EnYxyj72tVN0PNAemnHYdrchbac9R1vUsuYD6IAXLU2GOMQd
sKoeEy8alEuYOZNfg1dS6RcbJ8WKIXkzYW+knxHwkuF+serJNSF63OvuUXE4S4Cr8nWUC250n5/7
fgCUmCKBxa19bWOg2tKfXl1lX2gwPgcjGpJ62PYtT+8wpC33ZJIF4fTZxSiVxtYC3IwbWO0NLboE
VACb5qdKwrztJJ3Lbq1RAgX1wUzmcY62N/Cx7yYcBUaMrNd5fMIgOx7QPCDzh0WQCNNoAoSSI46K
vDshBPCp3eC+ktr4ud/RpzSMdmIInvuR7D3W3VsiAOUI9oTtJikSTjQaMu+25sFFxL2Xs0bsnFCv
IojbfUvXT7reHCjU+jAvQ5B5PEnz1mvagmGK3G6a2jfZmgXXR3R4yrbknIKzx2w5ssfwo+HmGinX
FrZv5aughMoSZRFoAzWud6ADvg4KUmA3mNs+jjHupuKnQTNVRtR9bUT6iCxXnEUIC2ZUOTjz2/rN
LhoUwYKhUhjeFOR+Eid5P050r2J7DSHOT1EFgAEn4CDlTL0ONwB8e4PsBgB1fmhq9yniU1tOUduW
Lkovc2gu1Au+NgDJi86pIBuaFTcUKOvNI98GG5zrThzWrUO4DdpFBNAzZo3N4dijIjPLLnHeUvhz
9Bg4PzjWE8Y1bRJLCfXlBe3pad34Hl73GQGNB/SbZ63kkU/mqeLm2+TSsWgtDMGuuoPm8twn1xFY
K9RNlHLROcW6iLWxw5OrWBl3s93LpnttO7i+scVgFYW4YVhZhCdrFMZisS/piNlac+fhmW57/HHR
vDnM88Lj6HbNjHyfTliXpwAad83KX3371V6Bc0C7omzX4Mwj/eZWXFGazk8K7XBZLR2QPIAtbPRe
kDn6yusJVWwTE0wEC49k7DCHJXjfBvJtobgZ+jZ67gd8YRZnBRahmkYsEa3ZGR3fLxIgNsPcgGsm
JVNqATfcPOKjFpjydbfpINiFiIjn9eJhNpeKbxCSuYYhyHHuGpHPVeKOgYUo1VcfeZxCUFLiq7aI
ylWBBXJit/YwNssHdBBbHsWgwBFvWdLxNzHtP1USQbjlz6uk/1a9aL/+vc56/a2/1kk4YOpasEao
QVAwXcXU73WSjxl51wIqxKy7aw4O9e53nCvBceD4B4dFQw6CTYp5rd/rpOQvGMoGSxWWJ7qHa67u
X6iTcP7R39VJPobg4Q1iDH+APBRe6cf+oB5iK8E/qDuPmrdaTABdsRnSNTwqCmlPYqscMRMEtFdG
FiwCrEa21NzaBM91ZTWMUoGeG6VKPlx33zokO4Lt2F735QRPKMKu6w2ZqiLyoCEIOr2I606usKVf
1bZ88YaDasZPOnJ1NtPgS+WLMe89DVUidGeHEqG51gpJA+cDcnUZrUuY0WtFgaloqhh0eMVOZviv
18oDIzBhel6rkRZliQ9YrfBRqMzXigVU5Ud2rWEAu37pSHRCeApbz7XOqRdUPBqlTwgJCRNq0vst
pa/LtTqS1zoJJrLF/CXUTvJaRW3XekpfK6u4OrJ62iHzXWUGuClgNvey8foyxe25R3HG8Zkw1wPr
lkYA3YqmWOpalw1Kuor6z9WqJhg/s8b0FLBl04gKsG88bJIoCjWDcFEl/WtyrRcjstZzjXGjRtRP
ky/7dzDeL+sWYAJnMt71DAuLoujApBneUeIeRdvsdW+jLJjDLgss1MaZVX7Gq+TCa/+FGQygmIW9
85ACLJtm3go/3OpyS8FQ10Pq7b1ufmQe/xKqqgMBV+fAt5pzF32a3Ceg9Lugjz6NK+v280D2asbs
nQGWePeSUt4+KaL65quoty/W8ceNYc5LPPdg1pqBJ8mngcrbCvf3Ea41ObjJ7+78oUrvAl2NpxVT
RoMUVpaNo8M0YK8nnIicY4joLZMbIDDRabtHEufVthDqheYX5rqvoHP9A+nq1GQD5qdt/1nnfgNQ
r0P7/3yd2w1fx3/UD/466v93bJViXYICAAYjhgP9a2f3wzoHNwc9Hw4HwE9cQ8Lf17kYE+WRXUsp
wzmLf0wCh/CrkRuOMbP6N6r1X1nnwJX8vM6hsbxytUlMIVNAbvnjOtdohbQDurzbyo2nejLL/7B3
ZstxK2eXfSI4MCNxWwBqZhWLgyjyBkFSJJCY5+npe0G21T79/+0I3zvO1QlREsUCMr9h77WLu27U
Z9sDGFshrShWmYUYWwQXv7UXpbuuWsvfmowuiSka2kdcLbMft0XqoUbb1WPkp0vEaH8Vd5TgEjel
m3ywxpMbY5WAzAr6wwLBOQLdzrMzhQFw/lCgGxn7UktvnVPFj2kq9y5XdeGEPRqyFoiTVC4pnGtG
bUMdNLkSvc5VF9+HYSzt+zibnXurEG2MOH/tR+w+Q1ZrhblaPNlYq7Zh40K1bmEIdvj02lj+6M28
xbaWji8pyhjDb9NyD886gVyHnAwPznHsrQcrYkAYOsUPdcmeelOiXo2rT11Izqa4/8DwIb2mS0Ak
Gh/x6kVgjXWxe/3FnqYffcz2wYCHpAyKr+SA7iLJaWhWleaLeQQeVDhmoJlUWKEhWDCkb3pkPaLa
uyYJ7uBZkb9013lCgvfFMFAGbc4PxRLdjeqS8xniyH7kz6cXr9K32cA8gexsry7uiHSY1Uqeiac6
0/RtWaRIkfG5baZE38cc2cUwNH4+yoMRMzG0GH1ucKEw01fTItBhKwfcLUej0m/hytoDz4Q3x9T3
ZTprlNQUt+486QeksqzKevWXWrq+6NscD5kVopJF9Fq471FcnmzXObWGu7p6FYXhgAsvAtgJ7ubt
FCq/oBNuM3U6cC9cogbj4RA2ftUs9p5xJ+OssPruSqXZ2HKkNVfyzzF2J3+Yi5880owh3MHZA1xJ
tzxeN+avHTPi8tKhP96YS3iPKe5mUZ2z0tIewgrKS5+hXVSnxmJ8PLQezxtbgfJnn+igW6Pu2PEJ
dm2/RRYgd3DXFzqFugyWwjzkw3ydautFa7uL28mnhH2JJ9X2Rx7FD6tHxq/UnkJ2ha3YbICGuHmY
nfBJHdXbUve8Iho0ZiQLCGOlnIGdh/dMG/ZzFioHeqzPplZiXzWrdDdbIaWz5mbIF5CGRFa7A3Jv
+liClmNZOdcEV9e2FBZdRl8YXj5kjEnM8Wyl2i/kFUfZCwqBVt7ZSdXgGHJOCBK0nQr/hUu/5tYy
QZpqyTu0xXE7u93VbcyfAyBfD5kV7fac217cG9/5jCgRodVDv1Rex3h8WQUTzlo3Y7lZvI5SWl9r
amWtrsOIiUFLwZ3N+rLrHeentZbiGp/wsFbnWaMf2JcbviHEOV4reHut5dW1qh/r5Cop823K/Zyy
P4p5tsfYgZhHSyBz915fewR77RZG4KJ+vXYQNa3EuPYUKs1FSJOBeO0T4cChHhlayLUPCRX9y6Qx
adcOJc/zH/nas+g0L/PaxUjamZK2xlLK2YKigivJBHQ/2chWReWgwFdnDMz1hzGiX9Et7tEVSLe2
hbYydYjmy501LB+Nob/WwjX2rlpMm8p17pd+KJijxcI3G5u+1gRLi/DmE6ZVe1Cd7jEuuszDkp6B
fi1nyAcso/PYeKts87HL2YyOGFW2mK5HHzNa4idVhYRPqpeBqiFILeNrWCAMF5Z9lyT64A9h6ezT
tMBhoJjgSDCTbnJ1NOizRsibvMkaPoS9Go7WRU4WpLS2nnyh6LFv6PXDWNjUGcLpAg27VCqLic9J
QnEzZl9ayezPSVzd5c54mPPwLS+myc8V1Mm4M5goGTytSAI+badwNpBmlsAqwi1r6HlvI4c7lJW5
TWNd+rFjZ1shlnzDecgcJKnfGmHh91N20RjuCHmJb7GCIRUyrQs5bFQ3bpejRVCKcmNDZLzZgIK2
Tq0dcDueE0dG2y5PxK6tB0iDgDSYts3zMe77XymAvW2MSeqoVxCrrWrpg3SKin1cFMvzwhzPpwpU
tpaI0EMVfK4RpsKN1Q0HXHLrRFEsXmZh1MrcY+guJ0UuObLFqmGqttxwN/k4Vx8FCvHz0gIPjvuF
gdEw31d9/FToCBdTVijbymDU1cdKA2Cg+7RrpPM5UrbdJDq8VlrUwUlC6qRl8X0n9XvGaqqfQtve
VdVyMrrwDJrQh/h6PzRtGhhJrfp6SB0rnebiWsmnKPIPOn0ATI4LEx6MByQd61gaYg5COxpYOdbY
ClRmUH36XqbKfdbIxxQOIZt61Q6SRrM3jVl9ZYvzHeUqwmfDbBGBmvyRUi/8MUOTgLt3M/TyErp9
icBCHfyxbkKvDNMTC3d1n0xJ9KNmeCzH8NXWke/rvLqYh7+bvHu1DIVmortUA4+y2eWfoaW7Ab7V
FLdp9gMMDnxjCe9aV5Tbolaqr2TyTqugGpUIoLOGSmTd6FswZD2YY18gi/dOH54FiRIoKOZjFq6J
AamySaziJZ+by7ROpO2Z0WfDzpEP9Fi32gmi0i+lEt/jpDAIgpCIF34ftsmXUIZt25fdrsVn21b8
6lgqP9RExYR/ylmvNL1zqNr03e2TD8x5HlxhdZM0zqGX4frUCEbidnNcWiZYuHxJxoBcklTtaVp4
niXC7q2um18G/eBGt5xHmUR8MQf4kGtn2WTaxqRU90BIyB2V2xsV2EFOSP2odPC42MfFKnM23PJq
12ITuuOLZvCHVxO7vDA5pfB6d0befZoRjEnmiV6VA9J08vu1iNEMLjwXAY0VM1achXGZUvncjOh3
Gf5JT6nq+0q6ZxR/ro9q56FXmnHDzFMjR4HJeTkt/qCj/MHHgz+CjXhLw7eVIa9OsRgcFg3L8YFg
DUyzQxBTdyJOkYFSwP4tzIapWHwc5+Q71iy5jUZxnbVkVy67ljGVjohjLtBsnIWSPsXZwN7WhHiA
5GqXJAMAUGaEqAc/DDGCXY4+hC3Ppt43lBxqzIdVv8OoXG24I4bRSh2aE6/PUzSDssRK8UOrnM2E
s0q0TSD2RpTt9RKiWpf6oTCqW2E3OaTIQtpjINniKC/xUJaqN5GY0BzTv1uX5G8fU/nb0zTz6RSq
JRXfXC1P0W/3k3DTY4kJZDOt1igVj9TiRpgscE0pTlL5xWqkkmbpI+TofaZmP0MBTbkQA3S5OdJw
tCbQPYpHfBXTtjXMb3g3L8w4rU1O4aWEstsCdD7EjvmOTPN+kvj1Ywdadyy7nE0Gb0iaouCxRrZ/
2J/IpIiZFKYqF1vLlcbnt3521Oa9O28iN0afRDOeVaY/dc5l6OTV7Z2zBuJmU7TJu+bOPgypMypT
qpuy+uBumQE/Zl5aiOdWSvPY9erXAhoArDqz23kQe3Po72t7QXO64jdoJTbUNaNvh8WvZsxJCYmB
7anlssVqdDZr+BhIUorOGTwcDOOec/fsjsbOmS0uO6ttGSzzRic6fyGsVS81sxZXxEB5s9ibpUp2
lU6162rpW1pLz4yvKaqKxGK6OBkHq6Gjd8VwUdqixu/TXXMr+UWyBYoBbfbGWV7KSL1YtO5ZMVxM
HfZ2DsGj9ptGiY7A9l9gLhy6WL52TvdcIWJhKa4GOF8n23mcIgQnbX6Za/1NEg3gtgonYx4dltlZ
DkmfvfENPscSpKdDLRjESOVOnApvZl4OL/kyRGA/k9OEK9xvB0gWc77cjcOse7Wt/awGwkOS9DaO
xXtaCeClbceTgOTHKvG/xi854JX/NvT/aOj/7XoXdErf/g+VuaWq/7LgRWWO1lPV4GbhVjJX6emf
hl7HvGFh3qR5N3/rxf809LhENHBgAi+DRW371zSpdczIcADXH9pNxp3/weCSTfP/29Djgv2dTkX6
JLxTsf76vwgbpjGMwBKE5jVdKoeYCbvMjY8hpny4Ynk3oPMpIFb2YgX2KX38OK8Iv9Qm9KhYsX5a
aMsNBKI06N3O9FuLG10duavFigTsYQNqKySwhxa4rNjA3ABR1bT2iYUqxAHYgsnKGFxhg9WKHRwE
XnOxogilS/gRM8sQoyKgwnFFFuLHyvzYBsy44gw1R74M8A0lnEN7BR6Wk18Myw5XBqlFKxIxhY24
gKktYSUC2yPUYMUn6itI0V2RihK2ops0N3uFLfa5bnNM6feQH8E3rkhGABMFNVNWUtDX3wbcRgiC
HXtRJ+jmr3EFO8K3CYYV9YhT5o5VzUtVRKACVxyk2UL0aYyx8lKChTZGyTxyEbS12jCdjEUmgQ5b
shfhtsdYqsGc1NimIEnetQbaMhA0eoLrtGP+5zWD8dW5AIcYVkC6RuRjnIt5obMCTNNHVJ0xxPsh
l0+iZ42VZdU+hw02lclT5io+K7Vb1agnTDwejna4CFZ+G/hIe/R+sANlU+w6Ahm2wq6OmpV/FG0M
1doJz+rgnqGUFJ5JoWQjUdObmzYh7nlLGkSEQWuUUXFTlm6ucBND1YzUVP2JTh59kj2kn7plbNHD
sijX+0+3jbf4tREbCn4Zk+VXbWqtl6BmQkw47bs5vphFKAJlnPA3dvH3qNicnWJ+xcf91C3TTRu0
N6OpjtwFr6SEuJ6NxDlwIvOX1KfjqEbzWxbXKfd3hdaVOBExNAMBJCCSreYGwmHvNEI5w1R6miX/
LMwNiFcjcWWghWsiXr5Nht19jC3WSm2Xld6s7qlvtaQ0AZJ0P4YOGkVemTpxFvoljVxjZykS2BH3
VqVZTNIH6osy/owovb2sn5etQErnJXO005X2VQJ+LXlt4J/S8tE5biqnXSBRr8s9yAvTaIbwuJX7
OVR+Np16tCtDYxucPJM4FsGW0R1GHHCggVXBUthTMxLe1pVHrj3QjpBv+hpzM4Lf7zburlVuvg9t
eLYzGNTpnFyErp4qgw2pXbqnAkzPhki7AcWZw9peAs3shnFXTyAYutjQmJZk70UqXhdybpD/speL
Xo3UqB4XhZwHNrcAqnTr2VHixwmsPBKxn3VsykMVu4dlqk9hJKoTrNaf9hTuGG8+KrZ9iA1xVdz2
Fqv2V2Uulzxv9mnJs7nYMwkMWtFTdEQPw1DuUsAgUS93TRK7dGFuseHtsd/aoT3ECBcfQjEQJldk
23waT3ZHo/N7RPvfnZzxb3dy9+xK3tv/uZNbf9c/d3Lr4s1lwUauuE2U1Mqf/HO14a0Cmbfy835v
6zAN/JNaqf6Niwa4nUm4oqmtgQt/dnLs+Fw2eS5GhX84sv6Dq81w+Nb+ql1C5KavSz6MFAQymeuv
/8vVZoLPQ8Y+a1eLhXO6l8MAJk/U6V0SZp65tDfe9peQa0Cvu2w30v4oMgbfErP8LqOdi84XNO70
3HTw/oySa4Ln0TXVUx9Gnp1PzN9aQEx7BoevZRSRv0OgTHTVEje6KyXEIeYOLrGH9OhpC7WEZ/tX
ZsJ6Q1GVAkEQrw60kkAYSrc1x+51KUGw6lwlhjXcy7EzgrpQuA0N9bQMjK14T+9WSij9evajUKAK
5I36Jav2e1z0X0KpkGz0aew1+vSYi4k0mcl8ZVDx0iymjfMdFz92OGD27qWw5/mkmCm2S6xgU5Ev
mwnhMPoWvjBsv62wN/nC9hMoka/pFP+JLjFFhhx7sLuIliuNTzX9ac33MewmZsDE84wNeUluzPC7
a7BjjrPpWak65eAQDIOEPGMeD1TWnfuuSTMcAjk1OTOVgaJ/KtI9zXhNoAUNdGdOVaCGXBp4a6ag
1UW2VQFDHwx9aDTPlpzoczR2N/oUjX9Y1twGeKTotOiJiHjhR9WGGF4aU93EdRKRgoFMJ6/tn+XS
gIPq0xGVuCkYEXBedGvaEXJagABuaO1sZ5xvcEDMDWQN1YdD4eHELo9YOBFDoYu5Cy018YFFtMc4
Gpzd1EQzrSqlol8T8MCZiBwavPa37pZix1CdqMmUcADNVj4GcPh0ui41A9KLjVYT2AGhs9yz9Ply
lRKXbA2Vrqh4VBsYUpnatx5E3+xeGFEaaO0aY6DMMnC1wtyZmQHOa2itHYK8r3zS3B26pnhTA1e7
d5YyOvKTI8knpBUQGGixgEt1DwCDn43KEKLQ6ZgNrQNmAwuTzW2jFLCRC/qLFjdIa7UY44TSnEan
HE/R2Dc7oKmEF6gChhOStIAPz4SUbH2j7MFIOMffqF6M3SrxY2K+5PC+3YoRiBDmh5qvG+AQ2t0I
AGMT5Q2w4cocAnKrNJo1ygvU5H32wTsHPDDR1f24pEUXxImgeZoMAQF8sJrkO0Mrtxeapt/gN9Xc
gk576ph+NSeDcKdGnZ7IP6AiUzPsIIabbsus/jEr1B3qQqJjiYw5aEl6ZJj/qkT1S1YWJFUJF19g
voAIy2FrJqqDfGVOfmhFSY3ayrfZXbgr4yg+z71gs1yxYl76GzGuAls+rLmycOqD29s4a4a3XoWB
FwmIBa7yPSbdqiaTr4aSHDMTjKE9wqEAzepRt66HiHvHj+LQp+53yXsKnhxHTi6emGTc11p8pLBY
ty3lhYH+p267L0OmQK9upvtuAYYgmmZfLu0jSZvP+A3DQO2Ilqr7JhgScLIylPPOIITCSwrEjiIv
TiM9aCPih0hFTuhEIbNpuGsnS11oHlG44SjcE0dxTJ3wKozxTpkItJhRX/OmsIQveNhWlGHBQN+V
H0SZFG922iX7yBiIIDXxj0xkYx0JVSauzC5b1Gr5h9vSYOdqXwS2Ud8T+/FoE8eB9iiVx6joeZXJ
uAzSeRR8S4RvzQSgbsn5wrJSjtEt11zU9Lwut359eRY1JAFv/Uu7yoqDJJTuTkW3+ZBFTeULHVQH
J0wPUd9G32wRgluZ2hwsSYxEvSdlUA2deTf1cwJDUMLVc3IzcJeEoXtjfYMmRDlvLgdEVlcVjkRu
JGerx/BljKq+M/CwBwZl8DY1W7mF98LmPiSYlFlcudftCWcEJEkZQ5ULpdR3ujFx1BPOsY9z3lp9
REqfFQbUmHhdr1ScUmodajv28NHNaiCB4eJBypFo9k5JUuoyCpxNDTwdtj96Mo6pfyBb/1vqqDS1
//+1PDao7n9TH/Gb/lQ6REJj68bpqBprSYEU+0+lA4XbIevJ5T/acvya/1LpkDeFh8r9e7KUza78
n+oj928rChq1Eit05zcG4j+pdFaY1V8rnZWJbLOkQEpOJOj6/f1rpTNUUwtjMzau7WSq3jINBy7f
2tcSg0g7u2YGqjNR7OYXh77RbyPzszHEuSP917dWjF4y4UbumvjUjeTHFWpB04+NSSzAnKZ2uEzN
GkTsNqVXlv3H7BavsYwC2I4PqZnsirk76ob+UFfEUiU1TivwTC0+bf3Mlt7aRIrz3KZu6WVu3gG4
C5/xIr1Y7EC4gJfJs6f8akXGVRvtwK3Lo0N4YWotMKtY7Hp9qlOzxNMO0negi+obu/pDP0bWEcfo
jqHch5CMF9uF2MMc/6Se6xtsbimrsxxBKZkQ6oR+iqXtj1Hr39JpML04jfcEJRbMsMkXZXvWbDpg
OCRhGJc0r49ZarL/aprveog5lZSSkJ9MXGXeEKYV1VfWwNVxylkhM8PHw5fjGErjhqmCGoVE6Zaq
DwWVSWNtLt+EWaSXwXQ+F8kPt+ICvOmozzdx23zFWMLvEobKlqvAnNOreRcXrbi2JCIHzvqKNz03
bLO+9ul6AJDEFBMqwqEg1+PBXg8Kc3KimxoRR8jcMOKMkBkVD0eLsR4ycj1u1DlL9sZ6BCnrYZSs
x5KxQGJeDyrmquU+Xw8vwvY4xtYDzVyPNnM95NjC6LuOhNKg4ATE1n5aOBHTQjt06xEpc/GNZ9bG
JcbxqawH6bweqdp6uKa/j9n1wKXPnwOgie6uW4/jZD2Y3fWIztfDWoX0+YBISVDCcZSzJUr26nq8
/66SWsNQbuhOzE2+8C+t1wtB2qq9FeslkazXxbxeHAr8UICAXCYMgMddpMdPs97e971aBLEi5k3Z
VR9l1kLDjG2kpusFVbmMehnqwlxf1h8Ra6u3sbWS5wJY6qYFprSfewDz+sTCggkIzYSIAYJWC9Mj
fu4bo1H6vRiRUsUsTEG69vJXutY3asLodohyZa92ULusLAjZNFH7IFjI3QKTIGbbjTCTfqMko/Ab
4GyeDWzktmjTLZn6B3vMU4rfBCJbpmcXcMvdHiLnd1csH502xNuuAlyUuRksI+iKHmZrP2tq+2DP
oJ9sxRl2IizMB13pf0i37BRf7Xq68FifiIaQffWJ6yJwFoVomZi81ZYqcqfI+UlTRo2hTWR7TH+O
BXOxYBxJynWHHnpDS3IKgG7mUlEgi0I54hnYS8N4Hkik8uBGPOV1cnSS4p6wCU9RnLvWegsd/dSX
9vCTJLev0e7Ok4m0o0C95ouxH889aN2967L9kw1lYpSqZ52/LQblMgysNCDRetqS3aGL0DYD3tdF
ABKXySIQ++W/Wge6OPDhA+amG9ELZwaOkK/jwfCLXDBFkBptzhBb/sSCYwMcjWkHX160iCid1rC2
88xHiO/x2ivRY4azVi3718rkeBAqpj4nbU5y1N6nFDxamxqAq1scKBr6CA2JT52aa62Fd9JZtHyT
kT3OCPClt0macxTznoBbuo3cKQ7CsvjKToVSlqJpqbryRJuxB1pZEB8e4tbAui3dboZ1lqh4yl2/
mxCWhfYauCp9uNH2K7iI3ArKYiL9pvssTYz3vfUTVqV1kDmpH83yAa8OjnRJ9ndsZdtYh32NVdTP
bOcSJ5wybokIqKFHpOvYDKW2V2o4ONhWafSgkcvxBnfgnOkt4XMy++iEu3cK46JF1U4xa5bua59H
Rmmm8f/WeyykxEHZf7fSuQdI3wW4Xg/dOl2kW/VoNW8wfxXuAuRZBlb0LrvlDCZJTX/KGFTGdsFa
lsllzwgzk50HcJUyM2xhdjHmZOV1lsgeVOKNW8agKIS/wjXDh3uMOJ+Wak/cyzzNvMguHlQMLv8d
A/19w2H+W8niY/deyDZ77/+XUdD6O/8USOrfDAoQ27Twnf1eSvzfAolR0Cq9NsU/4r7+FEiGoHRy
2NcTmElRZa2i6X8WSA6BKFjOfhsimQlR0fwnBdJvWeJfbWwqnqiVosVkSWVI8tcCCeetkTZTVl77
GRz7XaJXVnKB75PoQdflNMuyHpjrZ9bFYqHdx4JtOOq/Rs+fBi3Daavl51pvXrO5PGZt8SBz6XeK
DncgIY3csu7Ypqde4XDrGOhJ0FucY3V8wbHx5Uqe2XLQ2fxj6EZZtmy1nBjoeCEcFwu2r5v9xsi6
5K7rEdvZwvQbYyi0Dx0PPITDKKOPHAThRg56kCMG/i7aYUJBZcbpzPYlR6RCh6SoBjliQ3VwaGR2
tUMYcCYW88kIO062MB+T3nddLDnnJpHtazKGvGyDkevb1UXFcd5jJmG+AI3UZZLMZU1MgNuKJsFD
RT5oUDeRWge5tTJ4snH66O21lc+KF6ey4PzF404MIEUrab8TfRn6zlhzj4ls3Bp9eSdDtfZ0zOHE
bsmgXtCqxa4RlCFSMDX8oTTLoXOUh8HJvWIYQekV/qBwTYzW1R3seSMqcq8y/QFP0HullCdSERQu
9P6udwqg7Eq1Fyy1GZpoD0OvHEimCIqwvoiVQEB5lyvjHqrhEbr0HtDIGTDRJdenS182H+rcPkA6
2+uJ/Zy6A9o+Zx9q0dUGsLmps+oxq5aNU0g/q9TdaLUPTSd88BUo9kwcf9A2XIIyRXvMkrH3RG7o
QeJ+FzAezcy+GGMfjAyCzGrxtLK9C2V775KSwyaaYkH4laJB/4wvTP+upHNsSM0m0cTct5P+sozl
HeqJDZXshc/Sq5JxywTmkoRQQg0iNLm46G6OicVC21bfdAtCsuzuKqP7iEqRBOtHHznuE/5JUuS1
nbAnEspZCPeueumRcM11cmlssKUzcaeL8mzFxiFjgEnqROkDTTm0GiBwhOxuWH+5ZusNRfbiJPFz
qcZgFpVtWFlnwxRbJJ8XNSGbzp6182gCoOCbQDmiYT/XziSiH5F2eE3cnSNH2ypyOiFnP8CkAn49
N1+Noz8M7vTQzCl01miwbpg7kdmN8YXl5N1s6fm1ydTkwBmPllDqpYEjFMXWxprqq2pbpJTzSPXr
zGxoFTbhY+VXrftrjqYLM0jUE8YZ0ddtqjvbnxiVDoBSfKOu37pk5vEzbEItwt1UDzNmxBDfUXY3
ulO8FXn/xNYtMJTV/GV2baCX5IVqKfsaIzcdT4mbaRX1IIKNtbvQNB9M/FVceVhek4lPnC3VfVIp
uxb5ZMW+fl/FKXm8rZNs60m765J+x3xwzWIhywPnLE8Hn9Ya88mM8R7/GmHzZnvSDdAH8dyyOgUU
GaZno1Z2mjEGuY3VTdfZw9b5J6AaPoxF8XXsS34Ssl+SHXTWTBxI8zZ8uDcGeZ4ke4bLRD5o0nul
qrueHls0b7I65xI0R9pBL9HLn51DIzTr+eAp+XLpNeMO+c8vpjeUCELfhxXAlQkN9KZIhgcUdj/g
+RwJQtsLpc+2gNUrD2vgneVq82YwOQGgrVSeW7Hg0esQqZSs6m3Sz+ey1hiQG/JKxMHzYPcISePp
KbItnndCSAoK/QGmQkiKhRfXOWPLJnl2B+iEroxdpkvKeGYmnZ3AdaTef1dA6GUt/AD/bi5y91X8
Kj/l/+ZYWH/jn6tf/5sgJABsNoMHRtf80p/ZiPk3VQdgB88AaB668z9Xv8nqCI0glTigA1zvqyzi
n1c/5naLQQuiB8DY/8m1D4LqL3MRtBU4v5iIYNfEtOBgj/jrte+AfhG5HilXTWHV3UnNI1L7Kxzp
4FILo0FvqFtLS7bNHOUZasCqeXBxCtx0Z13pE/hSOA9R5OYcf4RV+H2rNS+hkM78SWJYx+gOsoeu
z+YuqcH5sKdYiMKg525N19wxrmmgQ44INjvJVLlS3G2j6T/BR6mfUZ3lXq1P1baMnQybIpFBMDrs
TVfytYZTm/QHevPGSIUdbJQJsLODdRwL55gkDcMJozlYMaOOtld2vY6vYCJxeSCvioaw0NnJwrBR
5rs5IhEtd6wgds3hIgoYPHkDKshdR/jNzOnAO8qQKJ2Yiwva2dlNAxHpy0YPmypYjNHHqd3eJwgO
Nwx6stdBWPOjpuHlxZjQKulF1lHsMwW7JUuHlV/XAAAkiObA2fJ6f7YS7Z2YI/gl6M3FYFFaiGnZ
daC/j4WjWOSRyumAPVYNWqsGzYKDHWr1pBLbW4kVNVQpgHEZ8liRy3q6JCIcDVm96jnSoZxui0ic
HVdmepsG9VpWcbx3UyQelET8JtJ35BaIRhES+VNkqLzA8OybkFjGRXcKF/ixKfxWODgGkhg0KMjw
KnzEflLtiKqu1IAHuziQLDLs8raUx9BWxJ00R8q6zg3vUpvfXNxpAF1uWh+/ksTE9r2w3yM8dZux
BTZG8tRrqhGSHnbVt+qSkYMC5ZytPnBCYq6ZmpYc7Pl3vFhQoqLuCoVp9nKHy8VsRMotivteGexD
M9TOUbcqzWOu/0gfx8eU5zsTGtrObYSnTVbPZmIedXft70e+gU7vIYQ1w6ibd0RoKUfgH9QhRmbc
W1bLmKzBD6eCTrIMyrM0AiifdWcGNeDSeNCuZL/b2wbi4ck2y9JXynJXNuSNsZPpd0acvWWD43fq
pDGtxxI0TuDasyHSMNyGAgNOvlVy9xfCh7Od5Ley759DxbhrK4eJpK5UFxwr84FeD5ZXuewVC+Nd
3lnZk5qEBLyIrw4klMwc0HXOeY5LN6D4QJ4wBzZiQP7N1EzF2crzNzLuT5Ymzzk7WE/2VnhXCJzK
jFsImYmjRxJYogM640OTDPu05kOiYDxW49rtMqrZ6Kl4j3rk0Z0tr9NAyN5UuICkuiEnNRDxsJ0d
3M5CxNe8541A5ZtqXim+CYHgaMm3RF1sK/JSVAYD20hXHyru37hKQDWbJ6xJODlo6gFiUDRP2bPI
1CuV/7M9qEymmI7a15C0gmMolu+q1h6spT+s5SEKrADWkuGpMWwshTS3YXiPbWPH6C9oI7RGiSXu
27R4EKX+y8XZj4dn1QrND6bCQCivqzuAoFslpXzkMyZIDr2j1rF/G9jwQq5mbPC5zPMTsY5Qz9Lk
wMjxfimnay5SlLzRGpGxZ8TpcZCm6NrVGyp+xIuzh1L9UIRrGjzyo0XZLX26d2zcIFWyt9tpS4Tx
qg6Rn7ZYTVnVXuldL42dYK7KK6xuIrvVcqd1VLgsZO51xF1yiPYTDIG8VM4DpRgZTu91r+MLn/Db
59+6Ce0eVgIwFS/sMrz+X2XYP0ydwxNJ4jhyUjli9Kkdv2XUTTeISrQBeodG0xSPLQslEyq3FU0Y
692nLFl0H2kqTJNR3eVm47lIhDbrpMJy1C3ApO+5lhdOuO2My5YMEN8WiJWiNj4Y2ryfluanqnVI
rMWjbVc/4YE+rIT8Pv9FTOVXraqxR4bBxjHkVtrVFuGOn0bmyh/1IiO+EWN1Vw7Ggx7mbE7xJjUQ
/VB0Vaq6V9xhL1plq8aExKDd7CztueE7dUKM57ZVgVAZTq3ab3kVL60rtsi6j+gd+AvrAHsXOfVF
68M/YEln6p+Y5X7yR5lYqBjRtiZzL1h6vkMkzVyM723RokhSTrjgDgv6tnJmXzw06TZWuCTAntVI
c2f8VLaz0ztkqH3x1tUwUSoHTLsTVDGypf/D3pntxo1tW/ZXDu47DXKzB+rWQ/QRUihCffNCyJLM
vu/59TW2nE5LcleJui8FJA5wkIYtMcggN9dea84x86baZA4ioYFO/GS6ay3q7vpKvc2r6CJXtLVn
DGi/W64d6BfamXZjcnfa687szrM8OSkmumAKhIDQ3jiDd/D0aZsZ6a7zNIDmbEOyNlwR2HMsPBVR
PTFWvQP+wD3VteG+gJEyVmo7F65z7VXWeV3Vh6w2L9rBV2eOVl+2SLu6gr5/NWFPNpPTxPR3iVOq
7GP9fSUXqimnRdmciMrERhHwZPe4L/p53cuiB1x+kV1XxbhDE3GiCHTDKMm9zz6j0MsasbRMmdtV
Kj4skBwIxXnxRM80Uq+jJrW3om8g2tnNPWLxmYANHeXM70Pt2UrphTblHZbeLVXbgfU2JLA7Xmt9
fUJ2Fs8lMq/5pGr3gVkXK1ePr1K0kLNyiNexrh2jmM1e7BazLO/1FQPxjUdeWC+UlOCenF4lqdV+
j0lgFIs4iZZmkB0H31pH3rAbsHEXCu1ztNsN02AJ0OYJIJo46uxl2/pg7pRsjm2JbQHRbbTrFuiw
Np3iPHeduYKbtkYHsQqhdWZ5wfpTRwNWw2k1MGgeG/+kasyr3KSti5JmnhF31IQx26Ze2WWCfoBK
DADdjErLt4nS7Celv6+r4ql1qqUfAe71ErhwBqr9VOX196ak/TPX67VCJIDFYh+DlBah7vsKsWHI
U7VhphzUdBNG8FLiCwUs3u8PIola37tPX8tQHfqopuoGpa34MJ7DAcMG1dCUw+B8rvp1394P+Rdf
h2z5Jxzrzwret0eSn+SN5Cn38lGbPI4knLPAkI16AlqmbW7dRO1DiPb19ydm/uzEeJpAHhi4mj6e
mHBy1KtJ7h875aFpT0r/KUuefn+In50R1TLFMofRfxhtepY9qO5YBEfGdlG/hm+9TJCgpP46RNAo
mrPfH+4nZwRFgk0LXUxDaB9Rch1uNjGqTXgMUcGEOsk2kh37h3NCDv7xfnh3EPn3b76lGqY0OQ4c
JKoYPFanUjT1/3Ya8jTfHKFrpqarMo5QFXs6ITCUrjw7/MNBpNf7w2397jQ+3NZFTFZAl9bhcVD0
GTgjNzwaEr9o35vh3KoPAkXUPz8tnGUwQOgymkzb359WHDppmDEPO9rlObxBxLtb+x/CBOWKYGDB
h9UAUhAv/YdL5+E4s9AMR0ck0LRWoBfn8z65/v2J/OzSIVh0OZSmo3j+cJAci6odhhAEq+I+s+gV
s/dgMXC9y6g9MVCx9d75748o76mPX9bbI374shhkkpiijdFRHRQsnLfYC/6wGGjyQ38/BKA6x9Rs
A8w0VgJo0HK7//amq3MoYcGgpcfotNo2W16e+3xuLs3z4MKcZ8tw5cyV1e/P6v0hX1dWFu7v1/HD
IQNU/kNDT+3YWTXbZLghyCtFvvn9UX5+7WAzomblzjM/fFvWhP61SdXo6JU0yrQTx2n+cO3k1f9+
6b6eh0FYMlQH18Un8uHGLkjV0MaazCrorLPREVSbDyEyPeivfziXn12xt0fS339J7IjzisSB6KhB
XHLOTe+ynP6wvP38EIxzAL/wJNkfbrVQizvHmPz4mGUHFFM0CMUMktUfXqo/e4S42f4+yoevPq46
oL7AsY9h/JRgxdSVJdE7JjC7uDkqMVCTP3xHP5yWAMeBvu6VzK4ZxodSQbgw71I7T45NtwYNg1il
nC7+4Y324RD00t4+QVnnc0GDMjlijp9pio952vzDZfvhXn49hO7w1FDw0Gd7f4hoGGjBstM61smT
Mm2t/i8v2C9hrD/cyhzAMRA2UdJAK3klJb159bB02r2WTemROi9tzTkM8xCScOa+vF6rf9Vqkm31
a7Xa/DF57F6qn2nz5Q/+3ZWlwUo965JFoqv839uurPqJQtfUvvJBX6eu3zgyzicTRb8ExsiOLkPb
711Z+5VTatCVJdBdJp/8k86sLvu7bxY8E34Nqym0UOu1MYwf4P1tmPkO0p7OyQ+qmvgb/F/rwMce
Ven9SWt3eCxbUZ8OrcjXujrpa3doj1lkIFrCs14ZAuMjAWTJGJhLFwfx3O8tfRYZQTlHLoXiWenF
IkC6PLMxlS5wE6VHsupuA5MRSlfp+hwY+Qm5waeVaWyc3KUjoNBWGgvau34+n0ry76oR0lIed/Ca
m50vsY+xYe4mCXLxDXtvCePaNwvU6qFz7vZ2vMiq8LxRq0dhGtiOTP+mS00iG8MAyeaAUzXupr2V
2VAdAd5run7nJjnUl+7EjRmZ2cmVYqb7BufYnCjb66xinqVoRJJ7/Yk9GRewMFear9yLcJj7JfgC
dkNAxYrTws7vhMOkMYBCEJjDuiMlbcZN8dgQXjDLBiThCoAGeJ3BjFiYZKFXA7ZbrxzpsGUtWvRu
JJWeCRuWNiLS9U0Oc2E29O1ZnwAz9adeW5txs4oweA9xBxMh1tgRiumoe9aTaIqruAVcCnlypvvs
LA1rNQbpNhSMwOCyH63Wvg5Kj0BCY7yzJNEm7M0Ca4RBQykLcb+GI1BBYa+bCkDCkNkrLUh2g5a8
BJOcEDbi2goq5oeJ8OYYlw5sTcVZ4tmbwfEvyzMj2FotdKveObHGKJoLR12FdgeuqyS6tpmYhOos
21Xr3AUW+rO2lD3yPFwDZ8tmcZo/xbaVL6JmpHwotVXiEEyrInFsRqL9gIymafS5qvQX5AwvaCT9
jV8aZzLUF6KOPxvVLl1GY2Lc6DgeALXStrY9qQgvdwzMt4mp7c02WFWOD5qDEHXyJAdQmr41rp1X
mFdmts2y75TzsOifyYzrK+zOZOzAglxPtLpJjih3hgJ/szSKjWvl5GcJ8AEZs48FlOCNUPyMzuzw
CFr+KlTzRVenyMDJ8+HW5T5yb3O905mdQRFHjFcuQxdM6ms25UiELeKqVltiNYQTaSYXLiIGC8TQ
TA+DbeZaDHBrbZbGVbRI/Ijnwk5a1MyFttLLHCALT/pKSfSEad/UnowiO/eU4En3e+O88dILRzox
BkLb6dlwLkFDd0SBqlEb5FaC9DzkOU8KCudhRggQ4AHzNEhVFUt+hNI54gJm1kPTaLs6Pw8NgzF/
5RwJGiAYwsrPBkK7Zl3T71yRPxs1rp1yjB5TIy2WdlzHC2VQ4gVS/WjWmyW41pLYBdmu1Mc5+V7C
15879mDRltiQZZjT1yw9boMu9R5HGdItxnLvTbGGlUC5HApjk2mBgnowuFH8+CVueWRERiOnKOiF
uJD8lBRWsQ7ClRHzVZl5X1ya6HPiOxivJPbayDPCvrDjzJRiklOfMjtVxGDutSy9UkLgC0MHid9p
7GgJi9JbDLS2YVQyv/ArNUdn2O1pzEFSsHEJJG54GVTczabha9sqiYIloF2UIx7DoXiczkEbw3Od
sPLVaTfNi1G50MuqRXPJgxVMtPCYLPRzYodIFkTsTsewMUjwRHtioP8f+V2tXp6nhn5Cjtql6qlX
nkl0iyY6mtWmWOrTNDAJyqsqOoAvre7iV/2I9aolqVGVtF/1Ja9aEyAfGalVCFCcVy3KvzXB66RW
9qV+XRNcvQSP6SMvf3b0zbh9/u//+qrtkj/1d0GgfcKCzqvHki/215iev8e0+idKBORRNFmErcsM
o78KAsa0KLpQTaGcQoxlygyyb2NaF187EygcWN+M7f9AocVG8WNBQGvH1OSxXN5Vr6XHu9I3oVRN
+BiHzg3ieoFynbcrdBgpMG1RmmoNb38oLryo0IUOUo6aS2GqhkK1wak7L3RdW/nReOUoebluozQh
SRkldG6xNKN19V9Vr9OrApa45FZZ6Ohia2Q1F9zjPfMUyzulZ2Zto8FeWKXQ54XdVXtT6rNMxMSE
zGqfG8xxqtc2m6LPzqpXbS7uFlBT6HVHdLu2FPCWUsrrx4h61SRDwu1YSEKl5NdvadGOLt71lE/l
DDEJya2y0aRUOJKiYUjpz1omhhawA2O7BlkFkxS8bL4UHDc6c0CYdtrBE0xYBylMbqRE2dagwBQc
fpKWnArHP0fBpjNJww4SyXLh4uFJ8PJEeHoA3ACD5OlvMkGJgO3HkgagvOlMUGo06k2IIFZ+AqcG
6bkFAomlYlxPUohR4Sly2hKT4avNyFGuC3xHLv6jIlCdrVlOx6onjZEi8lYv7accz1IpzUsVLia2
v0ez8a78joWr70mDx+9U4XtS8T+hOasXQlqisLbZ6yLJ76I+2Vm4pgZpnxrxUQ3SUNU27orcugeT
LUUhLVfg8AgmkTYs1GuIWROEcLr0aYUho5RYerdYoI8OZq5YurpAa0rvjTksFen5SqX7a6rrWws7
GAKpeU59uYx9WOGjHwY0mcqbXLrIUuknGxzLX9RYzHIpy2bMrsNHhsmZTVj1gROySBvtsahJj1Vh
wi6ZNDxhFbvrgvg59TNj5enac+HFEKaGoNllgEQ9xdFXRJF0K2vQPYpPAKAxt+u6VWEgqp6RQmPT
SBspDH3LCM1do2qI5jrd1+3ABHKMrIUR15/1AiqP6/X2Uot47bUWxtCsYDytgnrn2S9gKMfJKmTE
jXLBndmV687LkGeECV+CCDiYFh6MWMSICAwIqESP4EJJHg56522EmR2DITtYsbNVlHDVii2UOa/f
u/zO2mguC1S/c2u0j3Fq3dpuikcAfFSvwwDzogHJIuqLMgSR2dzZSaAu8qEBnxcV7rK2gSLkbuPO
mihb5XGxFwLflpJe1367jUv/tEmLdKOJGlnUeBRJtzFa2H52jx28GphUJgJ9mZrcB3V4ZlqEHlpM
0bZRaZ8KNz2DBUA6p476oAaSkscxgD6rIe8n0GhJ+Vq4baPwVLThqZYW94k2UHEixJpZmneNjfm2
ZY4k0thYQ1xxFwPui7kZGFj9MznR9XFOKm2z9lHpwarA0KKM6UVvebeTx+cri7aWadWzqeHn0Jkw
G2HQWUTx1puqlzLTjaWYZNHiwlxlCI4UAK23y2VlgvQKejxveunmCNtRasyNRdxVFiNs9Qu6mxMj
DE/DAC8NWcaM3glOxWh5P1n6lQfial6Bd5vjb1aAYTBVdtx7jUp/RpzDuVAwlGgTI2y3XSP+k2A8
x1viyjivgnbtZeKqC+q92ilIYQpnF1Ygczw7PU/KbDHYobILaIyGZpNhLBh21ujgd8B8SyI5pMQS
4I+V9fEyMYYcyn2wJxGKsaoHpUOpki/+5F2VBazgURPIuULyw4Ygeq4K8+DnGgFATj8tpMN7nll4
rntfmTaNA8Ktx3UxldP5SKj3UukYKcWufzno4bIVxGIBC3bdtFsZRbUDvBLwFmADVpYpFsjeYg5t
5ebKS8c7zNNg6tTHkkzX9SACpJt9B4kzvRZmdwrvgB8V5JB1xkoqZrrcOUEgtIlqDxMTN9G8n1Df
mmTQjbb2NGnF3vRZswdUrRZVWKlVL00U7puhfJwGf2mHPJ31CFtZ1+5zcs1IDovZY5EnFasMQjFt
QkA2JHgXkQ4rdzGzQ3Q/ZkyC/TDaV0Ub7ic46XHDQhnqFvKYRIaJjehQiPxBCYjcqHYPlTv5a2H0
Nwn3LTAttMZ2DwOpA8/Ag3ZemR3wB+zBa5Qfj7w7q2UeBrhQgjFfqrpuHRxHccgvN8W6qqu7MNYu
TXy58xx3qcb0EjeiBysC8kONjgWec6GxgmirSTifdVDq68qtVny+z1VEoF3m5M+1h9jZBWaywAqO
vDUGt+UhtOadR6wbf9fj82hcHB2MLeY6+t6lm7bPeB7IzrDLZz3I4Ju6NZIeL543nQfhzWpnhj8G
KzdHsusPCIs90EnyKSuBPRNhTCgZks4ww8yQr/LW34xQKJc266QCGK1XsssxB6IfKtFDbBdPgFTm
7KDTtecRrSWlNRCqLjUptiml7Iah+BZ+LK/iTO5apTgnBHE1txStPriTsfCRJ8RSyuOk/YFgBgw1
qHxUHSOKi+7HUSj7VZRA4OG0pVKizfFRCcVSLlT4yp0qBUQVSiJW8xpdkdEF6wCsmAJDJHDAO8du
eZYnSR4A3QtVHxMVonXw3ZpbBqf/1tGvdbROt/LXdbRM/lxVj9lTWD/9JLdH/vDf5bT4hLDRdgz1
NXZbQufflNMabTKIGH9X2t/6a/YnUrxsQ3W//9S3ctr+BJmcthhQp3+e2/O+yUt3jcMzg6EFK3+p
bNa96yMTIag6kVdNREjdlo43a9lnvrkwx6+jibfJoj90efmtWCpwfAhwVKrcM7wt16fCs4oBMA2O
UwUJ2cokq6820QP8YVzx/kzkYOT9cWRT/k03mUelKKvQxHZXdHOtok32/PsTQVL6thP54xE+zBF8
GAyihXRzEIONRvnaxoKvjHNXgWrXLTEazevuvmg3bXhsoNNr4UtEXDJqpfy8yS79npA8CmgTMg9C
G984b6PLPg1QSKR/uBQa3dc3PdMfP6nsqb65FnpIqHFfyWtB5uaUUlncth1NJs049Lx4WLdm4fjF
xkha8p+wDv8wAJHUsR8+AGN+01L5WtisfZgdZI6vNZ1qjwc6YmhpNbdKTmNSG3DqFwZZx+5rADIB
yrtqqGdm219oCYK6nu7IvJNxyRUr8EwUrdrJN++ud5u2WifpnUj1Xe+pWDExvWjXg56S3xq7EbhK
ZLZZRBlt0TuCeCK6coWObtE1eNimQ2eFyxQgWV4SXWiR20GQTyqOGFJJfLqrWYP9+qr2nb2OWKZC
qtlhnxXQO3XTnNu8eEYIizHqlAKOhEWRNZXU2mATW60lJCRdgvEay7uaimlkyF322Qkb0fMo2kdD
uu4ykV+nJklCJFQvcwBVBpU4I5tIenPN0DcWRliyC3SwxuZxct8oKGvSqcLk4QE3842v6/YvZy+v
05vvc8QfHnzjw+PShy4ezKGeDupa33jb6bS51dfOtjrUM+202ZRzdm8Ldz6u9Pmu2qWrfDHcK9t4
1azVtbUPV9HX/PlffqD3u/ofb1kmFG9vWSPBppPKW5aUUDzSZAxQkpDZov5hOfrZnfl2Ofqw4NGT
n5Ig4DhKNkuuhudSSkDnwGos7w8PgSZv8u+X+OspvX0IPkwuXP5xpROWewj0eXQkE7Ud5pWP0BfT
z9w/9H86tZ+tgIS9QR5wiFoGjvT+EtIoGOi26uLQR/Typ8+dcvz9CvizBfDtAT5cO/ilNoNHIQ51
t5Bgol6Z18OfJFB/OsiHVdYd2BjRFReYuU6mctdYV8J6+P15/OyV9PY8PiyPI+/qCsm1ODCbxJcK
PMi6cKMzNxi+3mz/05PHffhU5XX+pflf8jc/5aAIQj9o/vf7P9Zf/0zQ5eKxeXz3B5SptPPO25dq
vHipmTJ9a7DJf/l/+5d/NQWvUJv+9389PqOPgVXYVOFTw+vlY8NQ5Wv7dXnEuKKpHv8zz+vmJ81G
+bN/V0faJwn30illiBOlUHpTHQn4XzR8KILo8kHH+LvZiB0UgZxADCOErZqUUN+bjTaBh9goXUGP
8Ku/9Nu1OH59NrmMv1yUCL549wzLZRI4GeoEyaTlf3I6+nZZclN7cjM0p4ekC0XgzasyV3fodI1d
BpoCTI6VXo+RzxBnUE6dTKaxmdC3e0rzIAOcpDXR1eA3J7EzXHbqcDp6WoSv0XJnbe+wcQinnRs2
N306ntkpPNnQovPvES0sA2YGtsoFBqeB1J9w4j5NIRKA4cT3ZrtsnnT9i+4A9+7rkl1wGI/zIsRS
WMUK2C3HWLVR5MwNyFBAL4L7kTg56PnGuMQzni7Uqrgi4Zq9UasIxnQ+u6lJnY99w24J4n2VebeJ
qy0aYY3zqq4XZth/tsiKjrwyXdC2fSpho895r95ZJS9xPL9gzoi4LulOKrm4s3xj7dh4GT2EpgGc
wplepwBvEFWzQ8a1SFNoNPCew6f4TP7Y57QZDmpO54AB4n2ouuE8NRCtxsMWkEK20gb6gFWHCR2r
5rNP3bEYtOyuAHpFEw//Ps3WF8sTSJzj8TEE7H2Ct9+mlBCk6PkWpGhHuxBwPBZGTpRfaBpgRQBK
rvs+PtHMsmPSwMgXL3zVrPKog0tts6snqBJ/mq4iaB+mpRMw8PDdiWgf4M0YWBwyF9OuWpEyXSy8
hIKw4W6eYewNQGjkDPDU0EO+XkPmVfNkTSOxuaRvMN30UxcscjXxgL4l6n60UuKe+ji+z6tOEFts
W3eM5tKLutLKY2CJcOvAcSJaE1k2Mb/5TliMZyTIOjoF3EXetJIPpPVOCdFlKWLjwQkVZ9GbSrnN
hHpOS4pk+qAvrkGkGd3aQ6b5oGDh/GI4DOlSRG4Ea44g7B0HUrAoCY9mat1NMiqjCk+0WuwbqIvg
qpdksZyCPL5Xa2S3StmeVUHWbzyvGVa22kF113OX1M2gm0FoOzMa0azKVJ1HdtXQ73BPPLDxszhB
75NRES2szs0WkyFDCTUnXNjpqLIRZ8K3FOGlrWcF7AQr3ueu45yACulucFo5Wwvq7ixQVG9N+jux
WUr1ZRAEnuMqWAzOGP4bTft1+iPdbr9ezE9equzHF4D8mW+LuMaWFNEyOkt2k6+Mou9bXPUTuBUI
xSyt0u/P+vpti2syFsJkTxYjo5yvJIBvW1wD3DEJRqqNNgiVoG78EwmJLUvH73UYazjESRRmLrcz
SibcGO/XcFsrfFULpubMBv6BESykCHMCkSzwzrlru3MemZv0q1ICZWAQR4ayS2unlUTGUET3oSAi
4xB4eVtuUa0WhKG2Ua8uC8Vs7WNhVFV/zPrirCC78gqmPY4qWlf2KqonwJFJED3opKifjxlY10L1
hLb0wcrBZcXGEOLpn8CzlHXtL0oT1s3W8JQ00pli2Ul9TxR2BGJ+SCYBHl+nUR/WK5ENobZL037K
L/1pjJV1CB4ZPkHug93TfRVAGRz+ocO/XOV9tFZieIm9ZIZ1saUt+6Gc1mpsVTcsQC3Bp+5oTUu9
bkdkZMKFa5e0ulXuC9tTwMcbhUKeSDFZ+3asA7zeIrcuQ0sasUi0ANifjfVaw6ncXMZ6UrlLyyiS
wyCsQKxLJgfL0a/zu6mXPMui9OOI5mOQ21vCg3R1+Xpn/k8XXP//pUfLxsyvH9HFS/KfM95KLz8+
p/IHvz2nQv/EexnRFkNdahmHDcTfrSgDzhgiZgy2f4UcfntODbBlNHBM1bLtb8HTfz2nBpNiHlLS
DC3rNU9M/JPnlCrw3WNqEIjIGOJVEMxoWf1QajVeG9XJlBFPAotGjcNT24/nejd+vUV+XdM572s6
zkTKTakq6Z8h3DY/KsoUuNOgmeIeWyMUZdoLjrHERLdLYXWglfEZ0vQ2wJkmP7hje1rGxbUtqlbm
vOLNSxG1xJUWn3SVSZBFjjpaH3HrKCaGFpJQ7/qauN/UCXC6SaZYUCeXBQeciyI55ipdZg1CxMwp
RbkgEYSyCxwWvCrnpEwH2Rip5pkG8YHVFg5XnK08q1sJInwXLRGJRImR/mMbt4pj712jdfEb63eB
kWDdGcxLdocXSjqcKYp51oRqh84pjGaW424rtzvrvdTnNa9dg1omQMLvyI2VIOe2I8dKmVa90d66
TvVC/PaDn473lVRUxWAzFskYHk2yYy07DVeQWjaW61XrOqj4hqrqOrf8TegY/pyt9YnqGp+zPohX
XaoWvNmJVEzyoQBVKcFYaFpoy0wPWoqrcDKig+FQO43MS5WC0CViylob91oNGHdI21mujRd22a4p
+DeIqBTa/nXKB9WhVTQZfDZhXipjQWR1Q9KT7T64DWIm0kKYPFO/tAbtLchKDph8vr9ojYzpiwMZ
hC2fuSezCAdaBvytxPCi2eOZAMsxYHkjGUoLV7GWHEsW8BXzozXZsHvfZ8DeaMba7bi2QQ9sUbHM
blGU7gO7hA2YvAtmxAy1p/omtLRp7tc4Q2kpXdZ9u9XMmFwJXX1SE1zOfj/eJGForgd9oqUIr7UO
IpLIp+pZS8Sz6BMg7uRS54m7BTKrQXTv11DyztPYYaiWW6e2jgnOSrKnKSruApuEutTKr2CpE4BT
2vGmb8m5sPu50L0VECy3WnKLBaRz97zohqB8zLCVVavJUYjzJTGdQCIVagPIXFH59cbomd6pdr/S
cGjPtLIadkliop6n66V6SIgM/blX3S1N11U3oSjDe1l0NwRHSS5XrzGcMkOJSB+0cBFHYqsjidJA
3DVSL+eUjyQCXGix8uK4fE0llO+cuxESW8eWqW7gofaLvI+1rZKaMOX67tQhBnyhsAnCIob9r+5C
KGN+f29Fdr0c/GLvh6o3r4uBFAIkS0Z9yvCUDmC96fvmbvIQEwwkcHeRiqEmx5DNI6tn8REuOZno
ypbWkMFWIQiW0zACO+wgWPRjOot6UBhDq10EjbUe8uaFGMJ+PkDhybBykn6cXtnbwKhOoGFsRsuG
jKo+TOYYz0EM17MR77Nx2fU1hLh2VxDokkgLeVbNxQrtGob7Bn2Vvux1Y9MJfYUCAhrfVHRr3Y6a
laphvvY74yEzNEameb/wFOxARl+sWy07jHl/D6sDVt1o3DSN6uwLJTLKK7mD8R2j8ja5IND9T8vo
D90t8JaaAUwfXTCpFXKu8XZnXNcEyHijNR57oqBnxtrbDZf5fhs1M+UxuwXOuoUHNvNO4Nm3C5q0
2zcvuL+26r8dK8jDuzbvHaELxhcfirrKa81Osdrp2NlAhLauCgNleFDydPbPjyMQ8ts0sZkeqx/b
UQ3vrHDopiOG8YBtbpK8uP62Z1L/++O8f/vJl9Lr9eQdqKl4Y1476m9a9iViTbPVAvVomSeVRbgs
8j3j9vfHeDUefK+E/zrIm5P50PhqA1WtBbGzR4Kobsi6WXYb9ZkYdiQ9e0gp/uyiWkJAWonN9Zmz
SGZnHZ3em3rpLc+jXT/bsP8+bRb8wwXG9UW+vPn95xM/NIG5BobAD6QjIEN5/uHzJe00EQyhakcm
nmfeubpU99otbGo0oPN2Mc5299p6mJ+Vq35D5y49ISrjnD75qp8lX5u3/xaS8gb+dSG5TP6zyKvH
55/MNOUPfiskNfeTVPmpSAB5c77v2mmfNL5CwrKFpX1VD37b8LmIB0GsuJYw1B9ILjwABo07Nn3I
zSlaP3Tpfte1w0LyoZQ0HX4PK5OKQoLxpvbhPip9bzAVrasPqpHf9NnI+wkotULpC6agro7KBGU9
42V5Z6K4mrtmgsTNVlDVQfWmj9Blu8mHThtPrNHIqm4RB9uLinSReYE3azXJTNA0BO5EUVTNG6PN
l6XndnP2cT0C4emybXif0w4L6ODZ126dbXmrZCsLWNTMNvMdz6q/qXR7C/Dllqg9iWotLqs8GGeW
ErobTcUha/AiBOkPrfQMiBZNFd/TZmoVaavRhGlVkP6a9OEatP0kJRcn6MrvvUbQMycTLujbSxWV
zcovLaRwvaXOrMH8bNEd3DQNm8pqMEc0EcOLlVsv7MejBRBT5IRlt3cH/Y6JVbYrWpB2uu08ii44
D3LGYXzMJzdDsmXCu9Q7CbWy8vxmILRkyTqKeIvkapOYapiUKz+H3egFCg7/9MVKtOUgI63zpFgb
hFzjYEP8FPsbWn3OLO2YjMb9NC0i8qyWrTIcIA7ohGyKm5AA7U4maWPEzYGwOohFCuaFEYHbCQw4
3WoeUpnEXerEd7b0TieZ0u2o440Das05DjX9qqIZmIUmvBLd00ApvkwS5+8xoVzWESEGOUIlYl2T
YZ2GODfKMHK3RTmCXojFNfRJaPYj4T/CCWZY1vT7SYW+kCK/aq9aK/HPSM4pdpOasuMNlHhTmPmy
j9QLDcU6RYbDbhnrAmFp4Y20NABSBcBCoEO00H0ACgVT8oWZA/dRlPzowzSZWTXqHEu9shV6xn1U
PbctG6PE2hltxiWmh4ta7rYww2dbT0892N8omEocoRUZY7bSPpJCjHDd0O8VkTxQXhPj7tvr0TVy
WtDRRqgYIuy8Xgwt1A9BfGg5OasxixGu2QsAOKeWZ++1lpBBcHOX6ZR9UZMc6VbrQD43R5iksY8Q
VImeSCy4MwVs1GC4SCC3jZ1yhU/moeF1ySbBnZWtclIO1Zmqe9dDFp2MParb0hM3fkryTlB5V95g
nwBYq2eF8I2VXlC3xg75E8K49+z+2lK1aZb4STQfFEpqO1Q/w0666KvozCcuk1BBmjp2d+g140If
OZfUC8+rWttajjVHLbyT2bGt1Z/QtoHC0NzI7YqfmfCWzUMQThu9SgEMhGx46vEOOI6zjnwlncUh
EFH200R3lgROuBIK6w0M02kj3VV1utPdbh/rYhuo0w3Zog7Xw9Pnpd5viwp3MzcsKGcluYB3/LnQ
U3djxwl6W8sBjkGfB4KpA+0nBxYHI2qVuyQ1GVhqoiKNtvRX5kOtrRyB/k6uuKxSwAJjozvmjMZn
omzUVQtFxFdHMoGILlK5BKxJ5/po7aPWfaK/JmODrGthGXvdKBGDtgiiO3zyi1wucRVSzs5XL4Wb
ESoJn00UdTqrgWu7mplsUlSrWtLg7Ekba04z6rad/EtNNT7bKQxWXzj7uAu8te8rCh2v5EKzYSjS
5YHyI+zPIrTJosgSUENWsRx1BahUCMmBlXQVw4Ctmgkjc0neQFhpV1nYZbOWsK6nIlDOrLzrlnnN
GhGGt33QIVcLNqnpfJkogZcNZidgIyqw6xLhVVibCjlf9ZTeplDE/f0kyNpoyGEhPts8MZ3qysW9
AsrXpjk+5Q+Q+VxMRp0+a+LpzoMoOLO7+rPVKOV8aiv86clZ4GsH3fQehrr9orUtyKqs2tGKQ3Nr
JMu2Mc9bEKGtS4i4pVY5518unWQ4VYEEon/O1JmJVoFKvr3SB8jHHqOjPLqJOhBgMWk0fJrpzo2H
fV2ON6nZnxd9dOR+4CIM7XUaa2eTybSh8RHedmpG4jEWq8FtLjN9PNOseqcO0YmhDtcZPUfPMI+W
Xy8Klyxwh/8YjMBe2InFtsw0eMlZNNvDqInmmSqaGWvsAujWJiuzTRU1YCvTmmXHIqrC0gFoaR5+
Gs1L1hZgomly1K0S99sssgJiW6XgcWzEFgBzCBQnapcEdmbLWCWGtoc5DtODNgExEl+L5H+rMmmX
+HVVdhHi46zD55cf23vyB/+uyoxPhi4BG3BruXsoir5192SD3rYESUou4jYagN+78ID3ZB6BQwMf
hK5uso371oXXP1FZ0ZunX/gXee8fFGWv6oPvew+GtCA5BNFPdOMtgTZUdunfbHACIceorf5/2Duv
5bqNtdu+ynkBuNCIjcuzcmQWg25QJEUi59h4+n+AsmRJ26F87yrXtmurqBW4VvcX5hzTONdFVZXu
SWNVBlnNs/Qm01eeFSfIqAwzIbXPFx22Py4loZRwF0zX7EsoWOllN6t3hmzU9radm+eOgJvVYDT5
MfO97JZTf7jsRqs85VFbvLYBRi8jG5JbSwz10SpiL1+2o/vmG5G1KyzS9ERcI/t1QfJ9pjXSPQxO
hMXWKLUsL90mhhhWE/L/l753xLtmRhPrQwe5iBeSFU1ZyRBNeoSEOtVqNGKcVXqcLaPQTa6yrPPv
DHAdNx2Hf3irx2xYm23qimraT2XIeAK3hWRQxTQwMHhAznPoVb2wRA1sdZCFemaVgcC6ZvyiL4ra
sFb+5PT6hcNXErpuVMWftJjKalH1iesumbgjSRpqk4GF3YMFSLrO3Ft9Rog4fdfKRdo3A4lkWxL4
kNuEwfe1Zx/Br9bPfhw5BB+FXCNoEkGkaxUs3aWKctPcKtHEexWy1lwVmGAm0fTuzuhttnVu/NrG
aXgoHQBMZxu64V5WMupvplhSptY20b3LkA/mcM48KJ/a9uOL8N+JoPNF/OsTYZu+5X+ylJt/6Ntp
YIjf0N+xenM9EkOpUP44DgzjN8+UFv8wcZ99XH8cBzR2KPa8700af/TtOPAY9gPsYI3Gym7GKfyb
Hk04P6uV2MpZaE91lK84uSzrw1z+43nA0sjFvSQ9/BI1CHtbTOW2/oiINLU8NABPZY3/maKnvkYR
QaBkNmdLToRMEh12qnMvIX46eUmoVACuLXqjDTbKsriaSjMd5zhNgGBkEa273rtO5PAOvS5aEulI
vLaBZt1gNouxw662OqR6CbF+LLWdFqUvdg1Ez42LUxAP18kMuXeIKQtwUrg6mntIjzBlhyVBCRoX
qtqy1LgwSFSPDJQWwwzR73S1UzNWP9fESwxnH1iwva+l+1ha7n6qh1fylc8EfKb2nPXgPHnYZdsZ
3E/XgMhHzugtor8RatAwgPmfqK6YKeZLoxc7jqtjP0cCDC3hAImp1SSiAp5EF8arRXWyaorpIWv6
s5wjBlCDERE2xw4YeEtCi1APsws29RxNIOrAXcekFUhSC2hy+1VluYyBSTTISDZAQHLLUXeJqYAF
R+bbm2yOQSD2ZT/MwQgfxHLBeHalD1aPzY4AhXKWYnQa6EpIn8xf1XVmJ/sGH/qCGMYvKuslpyYC
/rrw6c4YaZqBekZZO+D8Eu+toR0Evj2ECKd4Dnjw56iH/iP0YSD+ASZJjGyESIiRbIiJjIhMy4dH
fp/H1v48Zc6ZHe0SPy3ZAvFBd/zbYQ6bwGoWNyummCjgNSPv2GtGCcr48qtMnmQzNPNjYLv7tJEW
CdJo6iMpmWmTPuudDVIrD25S9FsDZw8moBjapzWDP0PSwG59Yha8ZYqtjx6qmJxdb4N6pf630lUK
U24rVMFd5+a1cXJROj7IwpE7bSL/9L/jkIqF+TJLvL8+Dve5+pOJ1fwz305DYf/mzCkBTIOkiwqd
Ydb34giMMGWRwSrz94Slb6tP0/3Ncjg8Xcc1UahxTP1xGqJeQLRgwy8xmFr969Pw52k6y1VoGub8
HOANUIWZPL8fT0PwqKUAjddeZIkTbopZGTAWmSXRDRj9REB95IXc/msLkFFIpd0TTGjDwxRU3gZU
xqWlIpjWXL2VumTiYRPqLrvBrun5R6ci0sNOQ3NLsZFhALWsNCJTVfPj3lhpvlfkUMydzrpyu86r
85VLkIl1HG0bdO1SaFXcPFM91NNERwWlgeD6se49lMJ9WG/jpvTOYaWH+4D0J5TPg/WpKvBaSdqW
qivIdbKSOFuJauiPQIUU1MEov3DTpLshxnZ40XPbLhkshcFLb9XjJm307ITcp8AQVvgXsWZbG4YM
4Y7bjim1HEx1LVzD3zddMZyJHBguoEe2q9ov34tBEkU4Gkb9TM5Is0xby+iWoW/ToNtxe2cMVQYg
Nbdf5ZR62z5MhxORScTGTRHOP8u8IUEwJUIwqADb66O1ggY5Luy21Zgy6eqiZv62SVhVYxsThM83
DYOnBeyuF35N6KZ9na5HlGxqPS80PptTOV2FE/EO5E11xgsZcPaxw7e5VxxIjyaRxPjjDZbepRes
JhDyl12XvPKW5vvKc8StAJqYLmM29GcL0fbCxm12oUhsxkVkY2GMmmbrEeyzjidPXkxVZO+yKo+X
niLmOuRofbWcMT3RiDb3XVZ0gAfinBFnZJyxQZP56IRNslGY4figVM61IF13E1V2c2VGZrlqO704
shmBH9okB2yCE5s7TW4qW43vg0UWgiyz4DAWkcVzi12N+AZHZ5XesJEuFIF1bds5p0rJfFsGZOBY
TPgWo123I1Blzz+ktebc00I/MOE0ToYmy0uevg+Fln1rUxjWpq1r/VJNIdtH4pH3QZQzFmBudraa
Ut2EtRwgWAzVWkXduA76yd80H3Ka/07WrycrR9Ffn6y7LiPo6kv7v53nLHf/droiLGFmr9PUffX+
c/B+O10NmlJ2WiS6gLREfMLB9vs+APUIxiMG3fj1kfDOCPdvteYH9F2AGZj/VqxOdKX/ovX8dRtg
Sc5V5F9ozZC4oOb9+WxtO8KK3MIerjr9ECDZVTdF87UN+UtRyVd1yh/t7bxaQytM5cydQJfL6/35
QQQjnzhOmvLKHNBwzCmWMzI7NI3cvALaV1FZFc6YXE9F5EDcxIb7SO1lJNdSt9UyhE5noOcsEdQX
+yocTxF5v6QcrKeIQISOJkqp9MonaCUttL1qPFKYittWZ4GtQsidlXszRs3OVxVa12zc0AGLlW1V
B60cLjWZvKQqedbISevKck9e1CNjb7GcovAyIKdCGuARQzBcYqzf62721EfDKqUWRFpmdUQ60Oq2
9rCrehLmOzf+5MpdZTZLXt5j4Oh73WO1Ts7GoRrzt7TxQmak8FpV9uaXgEhkVgKN10fS3Zp6Q5D6
iaiZYSXzeU42YOotXf1lbPKDaWlcFFZOlg4pyYbxqR6pm4yofUgy1eB3Hl4bxzooq843VVye83Ac
Vl7lmqiTfXvpF/VtHYFPcK2iXQfKPGOkZz/TmNfpQKjr1HePWmyisnXHNZ0RVHWjfY9dgM2SoBAm
AQXqI+uIC9ZiOFhFizSpIFTrmHTKlnp5jIkkjUr6dUHIxIKklgeR4RGaXdWAIm5szKKLzEjvhgxX
rieTJ62qLXxE5d5DCn6RtgOpFFpy4ACm0xbA+4UMuIFezbjYkAgLQGEwltZYNUuPwBx/AmbqV3iA
i0AcatnVq5Yg4cm1X8uImfCgaihY1qtsMJLJOHqXGfiogLphVbXeHaufdysaPtz0nOnDkkZ+FxoM
GARK7SLIrkgbehFxrC9rq0WgneT7NErIQOnbTSTnvZGJisBqWmKQNd0jmba74rD+1AekDWsp6EYz
rKHWh7f4aivGAUG3zH2m2qgisXi762muez0Z3xrmjLVCDzx6/UOiT9C3lfOOVfezzZWDlgbdgzkm
MGZIOjpTpdTLgJCRJefKp0BVt7lll4cwMS+D1HVXYRFiSB/Hz30Mp78cKhhDA++H605PieOjgaEz
6slUYvTjbPpa/5QE6acmgn4zagiM+6A9Z6723mryibw/Rp2kYbumaBjk+MzgybpzChSVJlHS5Yd6
YrDqyt+VvBseMqzqzg4GkoCdhE+5lyafEsZue3uC0+mYw11VGVT35VvG3i9KyhSAVPlFtFXVsrgI
mBxLxEVDe+zqKH6wrJawNYLGG+d+DhnYqlDFp6yg5tO0m7qLvbmHSysS3bIaWhPkKs3FKF9jMFo2
Kabgic9vYOKKL4j9bmwQDrVGh9ssS76bMyfpoincx1Dab5CXqwXHWsWiS4DHLsnLVEcGBc/a2B2B
TgOh6p6CDic4Z85NnYs16KabQph7kpdviL5bOVpwbyTOUyNtxNo6wPrgCjnDlcrw7TftBrT70vfU
l67X0kXoxqukaZM1nPRlAlLJbWqybqS9qcv+wnWLdV0l6cJk6xdG9kDgMovJWGqQLrRL1db3WUTK
hG80ILXDjVGND1rzZnd8EnvH3ZgWUZJLPx9AaECzYDwQd0rT1nqv3Hs36MdtVdXGMg4gaNmybMuL
BJZaVljQmaZq7fZ5gKo/nvOBksIqFUUyBLkW7uVSpnS80szugYJs6nZ4HIb0vqm0J/Z75rXe2dMV
F161qdPquTLEPqzNL6MvL6tJXXgppRxhgmyHk0ms8F7DjohTcORTRsBSJtU5yMLbKAheYqPWlkPS
pcd6UqDRsxbRTA7y3WrDp9zgtziEd1FUxGBZoNv0zWMniumWkLJs489CKHIEGkIKuXuWXsIZ0Gkp
pvCunC41oHZ3TmyqlVKwS4K6sHO+5c0DUPhuZbVutuPbLFdV2q4sBztuL9ph6xtEt5qkZhMvDJG+
TyHQBG0S8WWnshwwhOyYElzh0LhpLIKjHbGN+7n11/zXiGR1FlvijiHGYy3G28CunT0ixcc5RxtX
yeT/A4N57op+uXTRhoGOQuDNwHsef/3YNTlpVxrSqLqrQg5rR1zG8s7hWdvMYeJ/Es/8XEXMFzwz
NEeYYo6b85AV/PxYTQOFxBia4QrwhZ/cVwre/T/oX/7pIeY//2FEPqSQMIYuHa5KvpgKOULYf7bK
2x/qtz8RTv3pg3iM8FxqK1qLXx6kCTHUxPkwXJn1XVWcRu1C6/d//xD/+2vhrfrhIVg3/Pg62o58
GGGNwxU5Clm1mZhAU4Xk7nOs/uGRZiHHzx+Anx9pfiY/vGNp2NuZAyPuqoLCIHKyoIxDl52Hnmj2
w5RNX/dPf1nmzU/814cD7WtDymQewG7k54drg5gYh1YMzJYeBR2M69wF4VFl/01xfjea8GH7617j
9Jy8/Umfwc987zMM0GQ6s2QhmR7r8/Lre58BmsxD/mEj6p4lRPzRH7oj9ECG7sICn3dfP/QZGAmx
FrKbQqnkmIjc/1Wf8SesUveDo8AkideLjO2XzwfDaiwNVW5fJn0aHLUgq/zbcYRutMO9lWwHywJi
4yI8qLg82eqme6umKrM7zd4RgFPsMxLUzgOiWmx2KWTKOXN+AViI4joTJ2nPNKwYXFcS5AfNi+2z
O7FJGlN942RIMTipN94k3+y451ZQQ7DyfWtiEhsGx3wcjnGebjQJPhxfS3eDlHpv9KPzOSWkAa9X
6K0HEW9TvdhNVBODEdxUgvw13cH0Rbpwv8yzetdO4sJrvDfX764jU15OldxzON9GktuqaB61QJZH
IpSOVYjqPLSivfCGR/K1llILbzPD/hREAGHo2ELmQmbJhCN4YsKwN2W5jnX/yfRIGQWzsFA9yMGk
7QeE5qjUyfVZmCZlZF2XLolb3rHC9rdIaoPJdXpRpYTDEEJzrjLruQ7byxa9CqJwe+G1cFqLAVy2
Xx4yN3GXWUE+sofdnlPDEwaD7AnkSmLQ10CqWJmuOky+9ijr8FoNpJWEbbzvAsIuKreZ1p4CqSlz
dPjCd4gaKHZMlZ4S7D3MTuCYm/W0CRS52UEZvoJSrIEeCHuVC7VF23VIA8/cZtK4yEts50Obhquo
ru9LP7TWZv3eOUrfOYnjrf2gQmppOytMV+9EJpHG43mXVdrh7owodnq3upO11E6al+7QY12niLZx
MOK564tl3Jbu0g5yyEF6oD6rHO5VYH1xmTit4x4HOoXEk1WXBzuwPgO5va6oF/paPA2lXy/qNnzH
l6A2CLDRSTTxReaqXYJbclFboqHQGt5GSQ6hJuxgGZbBJja6VxUCJWe6uXH75FWh3y1IGJ7VOZHT
vPScrCdmijQE2TwTb+miyTObJ+W8fmeXfYzPIUYySu/ZCbmL9iNqK+M0WIEjpDYm4TCFTsU7PjG+
X0Q+YlSs0RvvI7/Ln6O88jnUS5HuNfFluFZz4FeiSaQVFMYwlIyDacbm0sJDa85BYdMcGRYHgYmB
lxgxk0/bAvYE2WKJUIz458AxGgWixyoCvaQkjsydg8mKKGrpvIeAaNV+M7TZq9SDy6rH4sAhdTbB
xoJQ8q7ZcgGBS+OLyilhzosHRrPqthZa8pQLROVGheyCSJqVmEPUJPbKmaOXrCFogBhBDTbOoWsm
g1bSpQliywyikN05nE0MXX+RWRa6d4LbXBLcEpLcEo8Wp5vD3bqU2t+Impea3DdhluyWoarmTmcy
m5AHSHL2QcxxccVHcBy9+GcDQ9zCzqmlsFg6C4gUIDXm0Lk5zn6jlQTRTe2kv1bCeIyzzN8Q+jqs
h3qQ23zCPZAkqb0tsjngTot1zGZAncQcesdMMFtMln+svHCbDsNFxDcKKlZ3iMFMhQOvWtdsmMXF
kfS8bZT5LZAMEoziqWZM6cnlGLps3WTHb2hKcXIAoohDtcny7Dq0I4JwY9cjY8s+yqADsUD8amQn
Tyy4t53W3E4JIKs0ReEVItbPRXJuupp1YZdhA3brrV+WO6drSFrxw5XNQnTF0p4vLK2JcZZjdkdQ
TXrywv4KzhcJUBbaoaxAARkgCGSs/KCcHFNKeex8+TYWhqDhyw5tMjCQFOMWNs7XIu6/tbf4WyHM
Pivf6ug5/ZMq4RcdzOxJQKD2sd2mUv9WJQgHcgC6ZNoFuJJoKf6oEhhhmqDuGQ/yg19xA9823wb2
VmkDSvK4lT58c/9iGinMucL+o4qclTDsvg2DtRaWWOrkXzoJN6zqfNQqdR7NEi6ySHS8XKWLWexd
n6bcZhjT6i39vxnp7rQrnCQZcgZqMT2OYyU3vhHOszN/2NWid9XCdIxXgvkawIj+M860WzJbsyuV
4E6qJsfYmLYAy4fO5lw4zntYSnryDE+8yJtoEyISAXUGaLp1BrBGmbBPU9dkey1PWwaCSZKr5ejg
LYrjoL4ooVLRb3onlGLJEU1ZvmrKQW3wws14owR9La6vJSazeoHg17uwenVI7Ogki9Y/khibbBKN
6oY70CAu2HC4DBJ0yKPnhiuzpVGvmAItBZy1VTXSM1eyw4RkaU8p/V3pjPnBDbs74YCF9DOrWOUR
Q9PAU9pFHTuvQ84ooCpcsYUK8D7F8WeyI9EzWr3I9oPv+qfSitWnOmv9FYfkOWhMtrlh/NYGk/HE
YEy/nsg12/ROSuAZiYzRgs1txdPNPSinvlg7g64drHLUT3aUt9sIA9oiqFlx1K6L2zeIb5mV7odQ
3WklbPXCyq2tLotr1wGPjGkO3jvqLQZYzHmnxGUXpw/oA3DxnkTYodtVdWg/9WWwJ7jMTI6trwTE
yOxDLDVxT9aXIb+73kiS6KwEU70FXEpKBYS++uAtpae1lyUxhNoCeIZmQ6JTxp1mdGlEsZdMh7rP
vcsIASiDoEniRfJ4E/xLzwe9FEZgVnvhJScDfKUIsukWQAO300dZ/9/pJWgY/66/aZq3P1HtzD/1
rcPBWUEUA7IYXE0UCj+pdnDbzv+3/J0Xx5Llj00KDRHrRwwPgrGTx7H27ewCvgx7jb+RNgeZsyH/
zSaFvfYvZxduJ54Y/0t2Byw375cOp++8USsLZ7hUg9m46xAKMKNC11OsI6NwDXT/2E5JYK4V6ZPJ
vegEchQIAFG7L6doRoU7U3JqmEhN63g02gnJf5kXiNZz8n9fR84gjpCy9qd1G9QUaOyUd6MjAu/d
0zPR3qqmYYXQRq7lr3yo6x5Z6wSPYrbVZrd65QTGhLchGVCtTwDPaNK7YBRrwn3raW25AjWOLz82
m4mAmwvrYlv3gWV/SgVWhg3yZdIIBOUSMFHgzXCkd6Opuvh9MOUINpr98DoIYmYa2En0XZiMwUHz
ZfoSIeRZefgeQb6Xql9rKdvwfmY1w6kOF3qmMZJmIf/S26yopylj1KgrLaS0hJRiq/DdGTScwLl8
p08DcJkF2dot+TP8fMhvegho2D6HYxhg75BzSRhEoNs5pjEU1lr+glU7ocZsk3qV8V2HtqcRdD6f
/kJF+g62Pl0UpJBnIefF71QEh7LW0itLkfsA1MbbyjJ/S9zJ3pL6Cqc+7K1tU7QkDIJop+mEM2/Z
XXqV6Iz/KxLUs7JHNVhVAxHC2BwCab6FjVbs7DrhYwFfGfmMVa3rInBx3GovJfHlO2dKO5BwJN2H
df3uDr6/LQ0aPDejbV0NNcLttCXhoSiy5oDJJ14ZWhifec7QaAunOCRDD7Qr1ld0/BSs7qCuPc+3
t4NXZOtmdnUUQ5bQTFmEr3Z+D3K55mlK8zHNE4OiLQ7IBSBoAAJysCjwaC6IhiLBjQHmVqROdc3G
gUM5GNprN6KfmpSo2JYptgGspNPNpHvjuumLYdGAN1mPwu1g5qP+9sc82YkUhipEht+xfv8dmxxK
f3NsXsLZDP5kMDT/1PdjE6UOBxMLbUCbX7fM30s+YFGcisY8JLaB2jMj/jYYMn8jLnBeQaO0FfQ7
/NG3Y9NE7AjUQDJI+vdkAybEvxybs36Ivx+ZkWfgSZsxVz/OKRmTKwjjun+uPRGSg5Am9N+d5x+1
sdKPudvwbdV01X224vAQ+eqJASoJDKhrzVlmqw324O6cMM36dWXqMTiOio9dHMXBEs5GcR/Us1qX
0hblbj6LeDkx0PMOs7TXSv3oDR2HTx8+q35tPrjEzFA6UVJS/0VxRZxHYyBgq61+U9Ux4cLKxU7h
JWrRoGzzcMGUiBNjACXklNfvmgzQxCTZjC70McIb3hdfsqd25oNEM2NvQ7BzAMOYr3JYE5zaUbtN
xbGx9fM0DdfCnE5h781RXCeCPfYiCPdj5IPtd/DHTUKzQYv1HZB3K6Ric7Z6qV3FfRXflL48tpiX
lk4gc+q+RpxyAiWWhgY/WjlcRjWnJWSX7nJsm0stYec8BHzVlcWWvMA4AoUb+laK0aNcRqaq3xOz
vY1S/Za+IbPZeLT5lVbh6zAtPH5VuQlKJ3wson7ptnLpN35GxGiKb7xgQtKgJzBKF+tbIRcd7jlP
mdktTIBhU8p521eRGlzX2TaveLklQfLceRiIJtdZGSIPL/tg8HdRGXeMTZpNO2rFjTMwsiJnA14z
6AAP20lpYHCJtDPZHFSmsPVVV1qfGjRGbphA2lep3BCOxLYaOA1mLuxFpVs+2X7HvFBoHvdubgTN
slF1/A/Ch597GUlH5BL4YEOQcCgJpPOLDTvWw0FPQEleGHpYbsx0MJ5Dxfs0qAR+5n9l44cEx/hb
Cc75uY7Konn+36Z3/rnvJyDy7HnEPR9ZroWc8I+m19B/Y1lhovmbK8rZF/LtAIQyTMUovssYqfa+
HYDub5yIsJxolC3Y6c6/cuSas/Typ54XoSTScc5A+DJkSM/ioR8PwLjWEsOdjPAy05kDnUMDse4o
dHDVdp3nwVXBEXeYusr57ITWUO88LWf4OYwk/NaT29x7oVXcel5kT4QsdwM5ULnbPjRmJ/xu2aXu
2gkJdLAi7X402EKOwWQtU8NIlsbokP+DdwovV9ezr0nV8xBMz7jtrEU03jiNzNZI1rZGmkWXhmLM
JBJnPfZIZbT6AH+JRhY8N4k6fbPEZ/ecVDVGX6Zei44v1aIRaJnVJFMcVnKT5sDPtNyVQG29vRXA
aej5hpeZc2P19k0GFGSVmO4X5Y8Xk6yDldeL5yqvbkvT+BxKJoKFXw8bEryw3BnTtJWRly2LviAn
1bJvYsc99bIBg0sf7eTpCUXAsQuTbvZSEu/UzA1lHeDhH0q5LKfkpq/KT5U1lWezJuRqmhESoMNH
rGdYLRFtM+5MmSy35hguxzxITzk11OSWjxCg+mUjQLh0ev02NbViuDima9l0uxSSig62WCTtqnTd
eKM0b4mOYaSjNzZdwbA/jHkPQE4RZ9RLexfl/JfVj4Rpe8V9TsSF66F9slCtlOmrSMI7pwAz17ax
dfJtf89YloCrWddvu+GS1YhPJIpzCkzXXBapdUM2151V01Ij2f7iFPlxUuZNqaSOXl4yustdzLl9
ES+KYDzmIIhbfWAuXuTbNNJGIrW7admKnlFpfh87TbpyyDfciDFaOyX+OpvzVxvQRIa63MBS6S86
0t5ozhsow7W1bxMnu5eZPa7qpLueeqalthle5IgfFpWmQ4FU3adaxS9+PwDLCWuCYSx9g/vgAZvW
o+tzb9fiOc04tMf5aej9jaaQVfrTZZpE6yYyNp5/xYe1YILSnVIvuZqU8zlyvGyToyrY1CNWVctL
WmoBdWwdPnbCjk8FgXeSaS3tkHzQXKzXyLaipYhHf6nVs+okubDL7NL0cER5zlXfSKzv884gcK2N
ZlafkdavQtv4lLVcck7hHsreuaR6MWmIuqPm+Zugr4oVsd93DNdfHG081073Ri79XdO6exJDT3EP
tEUPXWfZpqD47YLfA+Xwl1QMfMUmegE5psxYc+eSF4+pdQgfq5oll9CzS8MXVxWK38pLXjTNX0oI
SwvuOQZFZnY175ZPuRke3azNH+Bo1otUwTvU9Dw9augByNtA3eKzIly6WfZMc5GsW5Vei8Z/JHNF
LemxaRY9a+fJ6ZTm7bkTQPo762lwsufWFIfJ5kEH4zouo1Xqe/uwbC/hM24t6CxmyQALad65w3qz
yC2Zb7joVpYxi5wFKys7PHhdax4jUefXDXqm5jD2AgvmlPcIw0y4Tl7VkuMjH7osBzpdZBh08Zo3
myrV2y2ObaZNeQFmbbSMq1FZB3Yb4iLki7Xkd26zRmetbfcw7JzWHR+mKg9uME6kxxie9LblLVgP
qZbuBCuBBfNF14Rs7Qf6onfacNdqJm2oEfLQilneRosBgP93TX9VyqIu+JvpTtH8v/9Po5K+Nf97
U88hVt9vasyYbK/Z9RqcVr9aEbgdCUknvHXGavwx4jGt31Cxzv5JDxvPx6b6+1VtfIAUmf7YRAZg
RvhXV/XPBd28CscANu/WZ6ybhK77y0UtXXY6uRdfdFwDpDH54daqHn54Y66+jrp/ZPegwfmlHJgf
hfE3lBf8qnRevD0/lgOVz+7bnuz4oi3iKF0VUqda9DA+LX3TSNax2RDzwwIRBhxlfjcX/OnkH3t2
vDd6GV6nEfZ5O4xOg66zoJ4bBiHJ9EhFpC91uonByPZdH56juezuxEmn62iUca7oQsbavIQBedBj
+ptsblRivfI27ty8gBVSbMe9L/CxBlSBtDhxC3IN0857NLc/DELohMAP0RX5/Pw4N0pqZBN8GLSJ
TJCBTLBWa7C0eQZOhG5iuJW0OUN9w7r3Tc/duqltfjYyXOMaOpNtpCehsw67qkzXhaqShwLo2UrJ
BBNZ4JV+vBdm3jKaN+WFoxrFPqljujI6oGgXrVma8n4yKge5rpFua21y7K0oBgRusEqYDRJ0amet
8hc6TJRLsHPamb+/XDURJvRZ9Vdo+Vay0lo5HYtfTAvpqnZltDNTKzl0eALkFY/XmJ9tFbjN0VBU
I0z7zJvCre3xKhT44apAeUevdtwDytDgiVbKeuhdIlBkqpght3ln7SVOEBo1wx6mnWRw6Cz1ofE+
FYU0Fw6UybXW6dbKKClE0i4ZllUQqH1v2P2F13XuuuU9P+X+1Dw3qBlG1aN8HqWx8KporyHRXLuC
DKwAHMgNMt9DrKt07RXCu8EnATYrDqOVVB7emhIO7ZhYQIjpn6rogWu8P/Gr64lyi6Z1TdYZageW
p2M6RgcHSsjaZS+7bdtULHPPty6asDeApFXN1jH73WDlCFJHo7kO2KQyCMvOUZ4SvNjkm4ygV6uw
ARh38cp30l0RgdcITP2q8YbbVrj9J2SK8h1tNAKMZOUMo/NeRN3KzqD++5W407VuEzgtfI4iWXta
tkkka1GyTBeNU35pmvYtj+o3Fav7KtaAy/UHb8w2HCBsfKatNcIVlv3K9LhzbOM0If2lkH3R7Q6d
hLZJB8GYDC9yp14xxXEdvfp6J1aDk5oMG6EIJHb/ZDvRSzo51tppkubQ9my9tWE6GZmxNwPj7JTd
auiSp5JfX9OaVF/SXfu9s4EOsev06Wn0m3WQgW+p9Gph+gEldpPrezyf8UooJhKue8VrvLFhLKzG
aAoQRPgN5aIenUPLSfDvGNdtCm55qNpjYIx8mFuxTauRcs9nhCczdfT4EumFS657DfxXnmRpnqyx
eNCmdpnY7i3F+nVelSeMTAQceaes669DDzmGAWQY+zNDXepClYhFDCJ52dXFR4rmRaIln4tEfC6T
7BA1ybFI5SHuxPU0iFVqIMxO07NtxcsqrdRxcl1GxswyZaheq8TddQQGezWr/3Cci4DhIItJ7asp
zw8tcUeZ8oFlcxuvVABOwx7NZFt55dZvUNtOSqs2f3/y/snyUUhQvB+2C1Z1/PvnkzdUghLDSaOL
okoMcqE8hQ5WJStwjCnhaeawcntKvIJQ3qyc3kRZNddVleh3khZnUYzjTVfHJ330V4nnPuhju61C
552cpoAIJUTfkGsADc345onPNKOnZeGTEjgwNydPFbuZK9tdXxD55E7dkrrn3mAhukZ8CmiETCRy
yZZDtWzGvSgTJCB+vsWlT0pVD6Wv2DYZvVOa3eJBOHR+cpya9FB1uCrL4iSZYW3/j73zWI7c2Lbo
r7wfgALeTAsob+jtBEGy2UAi4T3w9W+hZW53X0k3NNdEIQVFUyQq85i9126HicjnSez0MbYIZKFv
CpViE5vJNuL2Cxq1uTWnTvPL2D6oscf7GmIufgQNXXI9PiSiNxm/oLHRJ/3KFBAWK5vZ2ijkuS/n
S4wVXg7W1kIsHYi02oc5eJvOhXyRudEGX9LaispTGkGBd3L9SqTDMe0yRl2UnfyUkJqmBrp4fSWT
9BalKTqPvKf/yBXhGyUz6bq+FgYJCxnkecbUyYM5mdSEo3gDyHUUPQ/TyAPqojKSsvoiK3WrlWRE
mdpLkk1BZsBpobwdOIeMpvhSeM5JrVQKfE/5Emr2zDipWtkdrjaZZsAVy+Usa0/CsZ91NQVIOPUr
F30KBHDNT5pJYjqMroyZOSS+bBBJZeLu9CzpHgu4mEchqvqcMnD/H9LO/xqZasskg+GS7rJ2Nxfj
0PclQoJLGpNhJi5hJwIjOdR692uh+pdqTkYi380kvs2u2GaxgadWB3OxEK2//w6Gza7d9aLoktrk
HttXohOM4m7rIeFJSH1hVxsvWf+PN+Ayo/nb7/rT9r8rZVuahqKc1Sm/QyaAIpB/4VZ8ZgnFuBQn
jd+61hNAhX3f5RKuKwboNB8KX9UFk9t6fi4U5yRak8ChLN6k3qC9u7HpBJmaPNhkigWRnI5Oar7Y
oRwPWmrYHU9TXqy72cnXbqnAfygRpTv5NO270THeixzOJEpBYy2E+CBDBFSoCuqFE3gKWsZ+Ppu/
u85MZ9RU8gF5EJmOEc6mqf2C8mbHpXTf1PXGbgb4oFayM9RYQc1HhZIOeb6d5k71q8xGqDMsxA0G
L/QgLO8Zq1ZGRPfsYUNo+q9VM+irphTARSFpDub9OOOQUOXBagtUaYtlW4SkRyctIF0bfKuckyPy
uyCfQj0wiLPigpGcsupTT2gd/vzs7MbjNq+HdR/OPMHqWrZRhjWyDIokc1clpIqgTsNzCUCWacJO
K+zZZ8B9x+yHAq5U7ruWdDnDICJ7dtqtUkIH07rizY6qc61mN4S4otgYW0ZBBxgnCjMLY+eg4ApK
TXvIp3g3huMY9HV3KW3uyKSEBVCbn26ldn4I+ox2dxuV5skZfsMY/uUj/s3b9h+tyX8/40sh/p1A
emBZ0uvQA87JKb+OLsqmOlaPwGz3TCVOLleP/6EPK5Rg5/x1OP79s74sZP7kUWf3odloDSCw//jN
YYK7ucRNfy4Da5WfdL/cdIwpjsqTs4Ht+HCl+Kenfg26tH/jH+llOqmrg9iEFwOq4//4aX5sbH79
TRhQNi3XsBcMzU8TyEkdEBJqSXyBsQkhYiXUp/ofZpAt03Dr++/x05pnrrNOieM05nL9jBhiTjd/
/xv909fgICxmy2XgRfjpr5mN9sw0oOLyVq4rRh+1Rc356wn175ZxoUD+dft+fvvyWf/JjH35rD86
dwiWHMiwlnUL9Owijvh9y8iMHVEXvTsdG3ZtxuXfDdkdemkgJ1w1bEu+F2fYvwCwJf6AT2ApuCwg
/4GwzLSXx+s/b3aQKi5wA/ynAHFxd7C//PH9pqja1OitFl1BQ6KdzbJV26BBSqf6AoL6qZTKqhxb
L5jFdHDwcm/zLOLq7naqpn2aSl/5g2dxMg5IyZz0OKInW81egsuyR8ShKDfLeb1qC5xNbpY+gm0E
zyE8b22K8kPrSN1o3e7SdmS4af2LnWZftUTis+T+Iu/o1fbSQKF5eOQqV3c51VuUDaHvhBC0+bGL
TdfxZAuge5GmvzDUh8stEHAAGkYWoNjmZmzDr2CUPwlUsLGPq/baJRbYp8u6K2R8M0b526wOj8oC
hPHsqPcLi45OKtbBshVA1Dbz0NKDsdk4xbtrJR+xU18ySyUnc+AldoS2rJtSu1ZSJrgpCPJyPias
/rZwoqCqCP3aSpJrNTfGFWHIBO+4EOFTqoutbZY9lJLhI2wSqANaJ1YydlEKxNYUpGpy3/fTtehm
iLUqsrrGSJ0THtG7JgspvbWbJh/qTZKaWaB48zFOvUPcjseyiFXfGWLsxG2/j7SSeXfBhsJehtFF
ZykbRTTEtMEefGhkke+8wuqwFzoJ2vPWOKCvSzYA5r6gYpkOUR8D7s5VBMlZ4pJx6yprYnVPdqXt
K5PA3KkLw5tJgW0V4x7dTBG3qZdmOMAUYfs5dMObwla2xeIuFA5FbPU6EQyxbSJjEe3ENKeRI+gD
zA2oE9IyQsQzdh4S4VdhqXRyB4Jj9tF6ceZrDn0bwIVsneZcjmMWvqbOsLejujxjmZwCvugUQIrY
JCIfA3Xu1yLU2nWfw73T9eqWxi8OHL0fg2S0eCA7x7qojWnsap0w46ibP7paNVZl01GeK2a6SmTu
+R0hxzuR6H1AyNgZhbsXuKP9WbMrWLObv+RDm/tGy6NMTzcGUS/STRkxl9IU+45I2tfekUvKOfOd
xnXSXduMGDejAQh92OxDuj7HBD45ZOGil8kRrnc9j7HnXIcqW5fKTM0dvJwXL9Hf6Xa2jjK2a31s
zkpG4l+kMI03B6Jw4uodTidk7cGpYHE2nn2DWaE1D+yANYsC3aJjHespWxnDZzrFT2PEe16XbsHw
pGPd7YybyWiNa2fIXsgGaoLQFSifGlCOlTU9jvTbdEaooUehgNQAe1YUUOClLIDTdMN2SA22EAW6
01oABIoj+4iJvSKYCkbkZOX3cxFe1XZ56kavCboi/yra6k434n2uu8feRUjZJseZ2FydxjlW4rOa
YKAoCMtamYzb91lt3qqF3QcaX3dTjdrRNZj60AzusRHra2ZvL4MX7ZrBPKJj+sq0e0Ow03I0EZFI
LPOB8M03fSnyKq21VtXYDniKe/sg5nbjjtHIZjBx2vYpJ86q2IxxaZKYrdTFnQG++5FWdmAyoZdy
ZatNX+8M4VqvkSysQ9uUaXQNbDRy922lmK9hZOvhOYE6v81YuQQoN540JhNra9R5NMIoXYc8Lzuz
kD3QVxTqA8/d2iLBa8VT+NKZ3W5Gc7tiTLiL7Tlkk4RyfBAROeBFeOPO89WYd62PZW0mZzy7Tu2I
Mhst8zoryQSrZaojyk++RrVzU9s4dNiXbibSaHYY+1PfKZ1bZjzME/rHyipmFnIM9UISXryO9YI6
X3umOHZysvyyVN/Yc2HZhJaXDNmtNmip37Zhs6tSRfCshVeTVHV/agEYKFjeVjmiNrnPCxrFxsjf
nKJHw6J3te/YJIrL5F13B06D8X109E1eIT+ZXWsbmibvwxRli6PIe7LPcuaGmdy5uD7yeUu3tVV6
9yrSLLHpp+SrbcRY9loaagOfcCrWGgXbSnPBfaR9hUEjG2DQQsyLQ06/OsuiTW6ULu0TuNuE/O22
ICNnMrOt0auanw3Is3S7uhUJOR1p7ZxCcqSLRhUsbwnY9rC7VLF+MWONOLNI2Vh1jeneyR+lXVwX
WXVR7DD3C9V+Stz+IxnseDuM6XEox2JFT3YMMf9blYt0TFxNVpH5emsfyhDIaJeUG+Gp+7JxX5nm
i62hIq61lUJbddi4csgqPvhcCIJpQF7RHatQA6OE+UkMVr0ZZg5bw22PSYaGEb+Szf84blD+HszW
jfxOxFhfamcPi4LzGaOU7GdGueIOwtlb1Tl7HfGahJ/VF8qjNPhTq4DBatayHDf9JtOiz8TzdhY0
50Lho2Hpfm375EvZaMdMj7ffyqh/68ml1/q7ehLQxJ8sgvik38tJMHxYiVkF0Y0s0gw+9Ec5iZtR
BwZloxnTUEvwod81G+4v6NzwOEL59H7zQP5Hs7EwTkw2REw0TJYr/6ScxJr4czkJ4QoxMkDR5afg
C/5YTrrsmmxbUecrI4sfK4N6J2VUAXmbBFxtzjZuZW81HiJrUhhSeI+4xrFDdSjLMs++T1yAw0W7
z8jkxQFPiq3jZHi4BNPVh3SJoit09SZS8nrfchB6AKcT5V3HOIP0VjN6VrxhTyKOlaugsFMn2TUt
d17WJd2NiikqKDr7bpBLr95PVyDcEWzmRlDGMyv4sbifJuURy/uDQUm0UnXOZLWmvlAmaM/ugbVo
MMXNRz0bCNnyYRUl6m2Z6NccC4963+RBzC54FbbL1I+Umy7Mv041aKcY/HtoYurSa6Yllj5etSzy
q5RiweoNQgqK+Es1ZHPQqoywvdFdR2o7+FRy2kYCGkNToJjTfhgLxcc+dtQ658qAik72w3HuHJ+k
Mgf7W8yMXO+PdV8+xar3opgOFJXUIMOvWbcWWAIBRqlO5ocWtUjfaeVFCwfuiuKrrmqMGsSt1y0V
KWDwMsr2WjY9yob1fdF/VWtKUlWZHF83jA4HHN4oRZEtwZNyVzXI4ozY9pWp0INQZ0Jh0cYjjCkn
BLAV46gWzjooeL9doIVFwtIlQ8a8dqWckRXCYrZV5yOeokNu4HhsQ0CGzcjmxNU5sYxd19VXYYoP
wmC2BDesrkqUBXaXbVuiweXKSrO90dZ+01jndsRQYhSsvuO835hEGkrEPTIdlZXZUfjl41tkkxbM
10QVQoRgsTBRYiQFsaG8qTXqvLpvOVslw2U8q3hi3DNr137tqk23Ic3bhqBvgPXI67u4YbWjtxke
ND1iu+RAxJ/rbhf3I9mCdmpyDTmIKzJty6y23aQ8/5eORaSjmHulah5Z0O7UTn8c+lbzo7hRg7bR
NWYZenIqc/w8ESK6dWyxvw/7hOyYMTF9iDchgFVNvZSjod9AoaE+lf3WM8mTHqJDJpsQfKT+xljD
wu04iSvHIBDDQyIxudmma5uBJYpIfWvI36em2Oi9eC5IShIe3I0I0L2fIJG4Mk2QK0RRf3eoXf/3
KvenicS31HUSsJlF2EuTu1gZvp8vlcYIiVLxtKs0e5DmF9J+/ucg+E++hbcEveA34CRkefHjt5jK
aGxQs5pXsnnv5PVU3ufer2nY/95ROr+sv7mjPuuPzy//fUktn/XHJaX+ohLeaFnsipaYRj70xyWl
/QJrGkAiwxAN+C8T+t8vKSQOaAAZdnhgpaHPcn/9fkkx8zBRF6AFNBAY4dn/R5eUvjxgP808HAJF
0DUu+Y7mz2M9Q9EHwDpSXmmq2dYHrxUw4UWfmQp9jHQ4E22kbn5XJRXQQBl0CAOY0+3G/V4Nk22+
NLuMnJPWfYwn4DOl6O/Rd9dHdUyL+Dlc6l+7xUU9oWTwQdJSHJOvZWEA2ZW6xZqAErqQ09WopP3K
c/S30NEtHwPEsaTszm0CtxwK8ZGCHC7KvOnc8ZEhxRebkp2UH74AjMBdNFoc426xMxvvBs7E1x7g
8zpLMtRRSxdQDq0kti27BlGIck2dWGqO2pVL80AiHaPwpZ+Ils5irN1db+NfySSBrLb+glltXA0F
ua790pkURdWvOT2SHWkErMjZ9aPQCmk0qvi5k1Ub5FYptxEmQmTESISMRSzUfdMNDYuEiHMSNVH1
TVmEwwwJxCI3IhaXzKdFgtQsYiQoCNGtswiU7EWqVCyipWaRL4lFyBRpSJrIoAUXhsgJwixi9EX4
ZFfM12EiNZv4my6qXyRSOlqpcBFNka5MfR/XrKsWSRWXA+qqZBFakfxrHN2yNokX8CZiMxBlVuJg
Ooqt7T3ZKHKjDxIigiO1d60yzKAju8upkuQcg9THtcvoiqsmxpO9cGo2qpXdmHiTCflaAh+MWn4y
J3uqGnkqVAYomTNsU/ojnwRTNP3KuWE/D3hNBFaZ3o4xySl6/aIr8pQM6CwqPbs3opjUgtj9MGlD
9Mi55NlIxxe30MKtZBL6GraBgc/eipP5jM2LSGcgn7JM6AbMPtzLKd53WYjyI6QtH9ERrrM5+pjH
QaB3K8j08JYAiUX8Z3l57IOW+LBUmneUhxI6eNsERjyuO61d8nUfAHaNwdTmVkABkICXw2cOLeLS
2kMWAKWjxYzIQ1TdiBEB/ydG/lWseWuH6Ahfqstc0YLB7M4kCU+x6AN1VC+ORTCqJPcCdRlSAVVt
jzbpWT5Xu74WaaNgg9Jf7VFjcDgVd2DYBJEa2BbDvHFWFTYpomCQvwPaY0bnfGZh9IXIkZTQD3rU
ZGJHqyTXnUXBNvX6WlOpmLpmytaFtsSRFoO3cXn0Vc2EwKTWLQAMi/gE2thiZjqQOIU85E1b3P/b
4/yqTOdM/+v74/LZv335k5m5zmd9f3+o3AVc3vo3UduP9wdiMzKhTBa8mBT/c394v2DXIcOAvRGT
7G9y8t/vD2bwKjFRy0R9UchZ/+T6wOD98/XhkLVGWhWpBEhC+Sl+LC7YLZckfIjpSuTXxuS0vh5O
w4oh+cM4sxhTJ3blnp6foMXewol7J2pS8R1l1igzcbcxgUGc2nqHRnpXrAYKHlT7Hb/fOe28x3mu
Howh/9qB264Ue4H4Oi94NMqV29ikygzE8OrZqRiMwe/DHpvNbFwGtUIAxZ5wRRjmo82ZvjEK8Ala
WCGeCtFg6NazTJ3HaJrfMR7mfii93VB1D1K017VnXoRL0q/qwV6SI/KqkSi1vj0UAxThSWmOmpsQ
ckk9nY0Fr5m8JQRY2Kz3nRtvPII98fnkmzxWnrpS+B6jNXSHlxRxw2wiokJZDQArb7DTDAT7iQqL
NhQJvNsrfFjIDcRVIzUbb2I13c3gHEVPHo5WNv5cjSx6EwOYGONyVK5KgqLJeslmlCg27mwOGjU9
OIXwgmrQmkAZw8XxmATu0AcpdQj2GnMZVs4rQ+vu7Kks1nNtPS6DSelHojbvPKeLWga+VkErMdpN
Mz9ow0C+DCL0CqVR1aq4VJO2ry/jRNwJUuAoJVihwFtY9djUbRgazbRV03E3Dz05VA0rZwAh21E1
sQAtuJ3Q0h5Mp+z9zDE/SyA8qdp4q55QUxLMY9wCPDhx2D20ef4q0s86tA7MfQvO4WZPACT6Q+bz
dpLvaICVdSxLGM1Of/ZUZkhyMo5cpU+TCfC+BLaZWdNbpVnVA2FOt1Fm3mrIxYdy2Hf6uB2TBPeQ
FRorRYS7nHRmP6qM49ShYvKU0tlPygRnN3Mflb52uV6VzeDpW1X07mrR/7nhsJ89S67UooT3EeXY
ERTkUVW5FcRYrMAPQLwIN0ZnbRZkMHKU7nFO06fU0r8WBr+zMKmesbcjzJMPkxO/RFl9PWJK8sfW
3cl8fm7qPOPLxzvMZo7PgmOdj+0h69Al6sn83EO4J7TqrZ3Ems3W0UtEoInyxRZDG4QGC3Gp5qCY
6/S+M+uHuGH2XXZmw48mj5LZeTlD72udl4oKARmbfa6pq+YY073BjHZSxi1h937Wda+WG90yXtg4
ZGYahD6NJYEflT3rJ+Z7TMXtHJx8f9GNaCPzL5JyoOtR8zRDuC3EsGxCTAIvLNY4NGKuiszJQ/XG
926eASaMPrXWWwbNH/ycbH1WESgvIqgr/XRvzzBRxiIFYFQ79/hdjuz+X2Y3PqfeeGPoAFpUySi4
wkeXqbvMI2PMdir0HxkPYHifJoRyE/EN2MkseUNp9zzGz06L0Iy4NZJ+7ZvGM7548wQHWhmui5Bq
J2s02KGRjjgxzC0cb7G3chlWMO8YU/AQ3q3ExbDCLYiIqUcXAYAH54ntvY9h+ybT6jrUSD0OHSsM
moFc1WyqvHWdWMfSbczr2XC3DAliqi+MeXdlrn2EE5PbSM4PGO1Oxhy9a7l26NJu2pHPoqxbqV9i
alv0HXGzwbSWs5tqP4vSmdcdCn+8FKAyCfL1ViU7ohU0d+57CxJoaNanWSMfTNcOooO2GLe3NfHF
xBsbe3s2L0SxHouMVylkFZRtTPLSrJiI6qIgibPOh+0R/Hvl/3rlMwb86yv/jGDs4086Rj7p9xv/
G8KAkBA6Q7j9GM9+uPEZdyJ715EvsKdG+/RbxwgMmiYflRehn2RHLia13y58PsJqHCGcQfAM2sV/
NtVcCC8/9otLHCQOTw30Iav6b8r07wQxVVExRI+T+LrqEguI8TdQgOVcaTjQqXCjbxQB+StSAIym
6rH2XVgDEwIfgqq/MQiGbzyCwW12uO6N8A1paKKuB+AjypEX3YQHLU4mbR0hvImuTZmLjCWMGXNl
aBzbaGBma06JxW68cPG95w5o4X6yWcnRyHjuhKWzc2ZUaKKKdw7bKk7AxILPOyK53lVRTYhxDlyW
E31I6yvSyNArdsY0OOvIZam2kq7NyrTtlE+LMdD230f/26O/kHr++tG/e8v/LxCf0Z8kTSyf+Mfj
b/8CRAiBNUOTb1jz/zz+xHBRaS5yRuByi8Hjj8ffMH5BvgHEzEHd8+tU5Pfn39B/sQy0I5jHkUMu
URP/pOJlVPHTG4C4H4PVAqWwaQI6UpePf/cGEEkSN3HaGmf0l+CvLDr+iOfOtiTUfmyD1KX97NBk
m2qps2zLEfB3RRhEcR6djC5x3mS8rMgrzJDVa+KkmnZNsQaIPPkGlWkWvgyAvfkQGQt0plr4M8Y3
FI3WqLVCYCaEmiw0woOcbJXtN/MU7U443K/HOZrThnzRyB7OtVGibyqzdNvjdPzklhFBkYsu9TvT
7TAgLglTHokX/W1bTe3eTHX6SzbOcl6Hi5d+NjFK0OXH6lFfvPZ1VYG9y8mmX8ejV/l1VbfrTp3E
0WonbIfhXMKN9ULvrWtyLkuzCqnQMdvOPmbm7jrWrTcWIK+OjD4Sm0qG8yzzS9v6LFviTTEbtPA+
KvML0mAoP4T1VBGRebNqbVqpdK8DxTzgHlWIBfmrgepBadqS9/ekQQMPPDmEH6Ow+x1LVuIqAGGf
cM1mO6nVzsWpupHgsLLamhb+/bonzSuTOfsRt0SlWCPe93p21HFTBjYGbISYYeC22dHtPJiEYe2c
J8ua99LE5YLBJcU8GG8dAS++jiCwG6DyMN3jNndwKAAQ+sScqWzdft6BcboymMBup3AgnrRZkqJD
qOawL57NmLOR1FbEzvhOsFuw8EYT0wICBLY8UgfF8QjKfHFKWo5FdVLqV2ok5R0LbOOWwX/+mahm
fcgqkT8l5H/gdK++5ODpf9X//TvjpQX+m1PrXOTtJwaQP7mzvzu0kK+x/yMH0OOY4YriUPhuyour
DDKabdu/sYV+n/Lav3gaS2ZnOVK+u7ENi2wc1+MkW4zjROP8ox4dBeVPJxb1AOsFjypggb9SCvx4
YmUlMTATp9UlM+Z+U5LHHBSq8+IwmSqc7om1+4Ocbwjy3bL4XuuVe9O10UOYztKfFr9wacqgyqcz
xtRI+TAG+ZAR0RpoBjSEqc7f7RbOIruWPZGrOzUiTKfsio2l1YA/e6ZvbNRelbwv37U2F8iL02Gd
mCJE25Ug4YBcGUb1gVOF0FYjfsosuqHJe5mVFk2UW/uDqN6mRN54sfFW29rz2E+6b7fjmZ174U/k
SQVllRy7ju2plRX906S6rwJVwTEHMLrWBgigapk8QAl/VSdn3ptZtA+h7Gxsl7DYSn/tm+zikXMw
2c6dV28lhKLKQy5tJcNDF4sXVyi7QS2emlqJDo7OUdOYfpb3xObg00gnWmFxWRzR1VQvir74S4Hn
NWppvCp7uHiL+bcQ+t4k4pQuK54KJhF3i/rZ2ZStfKl0EGn8iFva7WVevTTrwBtbCw6OTHT3ITTD
VWE1DYNpMhjDwdgmoXKys2LYFS2BBaHo1kMB3aOxT4hb5o2JUm8J8dpVhJPUCry7Vm+YP9bqtrZn
bq2+u55cjzA21V6pYZ9v49z4bIUwD2nO90sRZVkRR6JTv6vzJLB92KeYVISiSd5GO6QT6hDgteIK
wPklK83ATkAJoU46DVGMU4XkVIv2tjVHjHUqTSdUFUwYczH69tDDd5R4MlIH6B4gUDIfHVr1SXgW
1Ca0Nq3zZpXKHtlcu+ka3Q9Zt4Jjm24Gx258R8OUUhkAUpPKJ5L3NteyJIj5yyml8WAhW6mIP1iD
9XJPlaLtU7c4lwlZB9n4GDfNO0J1Vn7DFAazbaMDTDrGtzUqFpm0+35qyQjARdgJytmZORqBlNlN
iDKO/IVxB0Or2NQRGjX85APc+72hC0JRHPcrf49jUZZXZh0DF1C3lpaqfhYTi9zjs5tS4y6Z81cs
lsdWG87FrANGavMDmrKTCrtYz7iDUrXcu737npBw5MURukg9Ra7Y3A+NuCs75UEU9l7Ni0OHAB4c
4V6CTcW8/Zo36YMtK36p83AyjfpodMW561lLl3K8AXyzHUNxMjsb7dCwK71ir9XmBngs5XB8gPAC
9IvZSYndZmjUazU2ieGb6yCM2ufBgRPcmPNG1LDxOhCB0+wcak+/tUR5lKLfmZIoZHxF3T7pcf2o
9Tkqnau87D8aAYjWjfS7pmieorw6Msc4d7EZxNF0m6spDjTe9DKNNwAEniLpbK2o2GW2cPeo5LZ2
PyyI0fZs5B5FgWOwVoj2pq3fZEoP00Ct/Lir97Bxn9WRaYerpmng6d0tOYKnDjDZCksZabtz9kxr
sHM6QrenNtDHWfE7Nz8bqf06u952UFgueMMmFf1LztIa0s7XuYnIUWWxMON9F0Q6IqualTy7JU9l
8glTSvWNW1icfaNhHJBiYn6006MXdSfAAvux7bjtNY95VHxl9ukxjBiNJkV0HkKKH+Hl7z3Fy0qp
0wvZINuq8C41RjDM8yPgHFVbC0t7FFp3GnGDGlJBopDczcufkAL5vQQrWDQRQrLhqEXK06j2V4am
XVRJ0WkvyRDT8KYrFF+ijEAfVwAhW/4WtWZt8i4S28rNXkvDOE9e1lJG1TtZJFtJLnzQ2NqjQwpV
1cAmilnWNcpND3nD1817EkrwuMzvSerczewGTrlVlXs1Cm/LLD8ri9gkrNK1OVuvWmlviRlbmQYM
h6TF/zjUo76TJNvoevQpJ3TNTl6ox8mZTlBW9I2mldZGFcbWqSxwuGlcwh9xAYhE6q7JuudmEHdV
Pp+mLroP62aXK3OEmct9zAex5TXfg41+aqu434/mtZQySNSeMZkNnywbt5ZZXA1tdC/UuQkYVO4U
7Djt7O7rxgZbqe3qyONXo10pAEZXMbHgJMreySWyXWUfFriEIK56DRayYZ+blPt+zUZGJ8l6qMSj
lYmWw992jnoeLma2tN/ElQ3dbXZWwu15d86nSsAbtWteEvuiXT1OWyfKvWsstC6Dmz5fz4rAOUep
vmI8M64YYL33qCNNO0823DDWKoY6E5T6stGJ2Du2uzBGdDjSkKyK3usPCdmdIDSmr3nd7C3exStJ
Ir1vJAyuWCW5a4vxY19EOvBuuwaAxBRJixtHWWWJjQ8ni04shMurvNLa50RzgIpYc62wdh2sm2aA
gp26M6uuITWRsbMn1titzmkAdOo0GPUBe9217sqNOSZrEqwfQbjfRhUpO5WOJISsej2FQszI8jkc
rMR3omFdawRx9HLcdiawCaNt33sm7Jp0X8zQOPfDxCUjAvymmzZkQmU09yUmO6je8Rsn66Nq1Ltw
iK9Ua/wME+OIBJQNWAx0T7BPaBTjuZytoyOyM655w7edDG26BMecHfCH4d2dSPGw6/AqUa0glcVt
2wCFYuG6J/7lZI1ip9U4e2W5zzysPoUqA1LZ0SMmxo03ZHctgq2+mHAO5vl9jl3LzxR5VMWwV1Xl
7JmaTym01cdq34beVpHk/DnVEX35k20ax5QRH1Gr6BBdrMnlR5gAdpTRzRhSKUxWuZ7DeE24tc/o
/TOLvZOSEz/HQzdiPe+89AODBF5m4u4KVdzWerIGle8TBw3XNkMsO6p3jVRglOSK4uOzR9kcMfQf
NmEPPGcRF3Ue4KxE22Wd/ty7YH8SbdxYgNgNltOUFtUKO3bF6S6fU6Nj92wBiGa57kkGMV2U4oBM
HuEHbg13vlZ7TPuy1e6ngc13Uj4Vmq0GRobvUenFl7AuekKgho5NLqsaS72EkQE9vbXXIinXZuhs
E0/sIW55mygCWCDnz3KyLm2p8YqHtD3ZOg9LVAwW5gGHPQFo+HU42e5VoRWH3CRJPWV2E7fqTWoq
p7RFe6RExqZplJrFQwy9p1GzXTzZL9aQTOw7KlRB6XgaR7eDE1c8jdZ8Uyr2i66TolcKxvN40oAv
dhvZ9KmfN7xqFkQ7bzl6qgUzXnjxLqrTBKWXPJfskGWkzFeKXh9LLaoC3W7GoKozwLAj1MepgnfC
f01yCrS+uovEWG5BM+4HBwD/1HaYzJdb2zKfR403WsIGOahHGs5qMi+aFBcYNL6ZmDGRY3Nzgja/
CJOMJx299WGowxuvSV+IVjV3y9sdhz1L4ZzbXNa98eLG0HlK80YbRnHyjJx4xnIfleq9jpR6Lix1
CQ7fRmoRqJk8VZG67RwTTreVfUVdQdNr6OvIcO9lWxwEAnXZ29SZcLoxzjxDebz1RsjteelcEi2C
eZ9sUsecCE9IHqvUezFH4xZ8R3G0jCT/f/bOozluK9rWf+XVnUOFHAZvgtCJHZjTBEWKFHLO+PXv
g2TZJC1T5fumntpFoRsNnHP23mt9C0G2jtyqVR/I9dmCohPIaYzydc7Y4EyopFUhRfCRcrXfxCmM
miYv2R0DNROVq1GKZcqIuhZUD0aCKsdOouiCJ0tg8GLnTcX3e5EWqQCM7XQceOzxFpjYDwWUHIni
KMt5dIoJrMzzQzOP5K5ffX6R90Ic/HXfLwLYAS2YIlFKvq/SEh+sBolE0UmctkJ+EAGbCup1O1x/
fpn37as/LmPQWlZJkF5MTu8v44uiRRUgcnCXvw3FjaDs/vW/T3canRlyM27Xx3vVWJNeMG5NT/nA
g7Yxfebff/YMf/Fb/OLzY96TuUPcKLyIH2yIgQHCQtGq7GRSd2jn2h9Stn90fP7Nc7n8DG/uz4ff
GlqCFAospSd08ALzREhRhqtiGX9NY/fzr/KLS8FxYRJtqhpYOevDT8FEGKrKXCQnMd4gwGxFu8S6
pTpsw3hZPr/W8rH/knl9/9nf/Sz0Lt52LUUpynpDT9NTqTj4TSAK8Gqxpk796vML/epLvf39P3yp
3IitojN/XEhh2k1vLVyxjyxbcfmbZ2350B+/FIMILADsjooso5J7+6UULZcLNt781CgrP33qR0/z
v37+dX71uL25xMfHbWZeWsA9yE+5+RT7D6rwv3icF204rU506qgE33+FuEq1ViVQ+xSzAir4u6b/
xeKFzEPUF70gCpJFm/j2JuVCzvlel4rTbDwNxrHDRCS2v1m7fvWj8xAzfFIXd+di0Xx7DfxoZT6Z
c3aqOfhNDiYsSbvoa7soXfThn/8iv7gWsfd4RCWD3Bb6T++vRV44AG8UFmDcOZN4OPpDEByVXXDG
uvx+qf9anioPwZ+LrvvUPv2fV2Je2un4lL3+3/9hUMN/cWh5/73pufzlz0mNLH0hGEqCjLnsjt+N
uX82PbFmQKrjp/hT9fqz6Wl8kU2EQkwrf4wq+X1/SpP0L9jKNahZy1iFzfZfTWpk7f3ysNh5eeoX
jwXPpLF8lPdPigW3BMotgcj5GBUraSl3ajmV3XTM76JaMT15KYoaGXtCmhhwc7V2W2kS0lExs4ss
G3YcOCFwh+hVW7HbBEXgadwPV6kLqq28i1ccf73YiJ8Hn6R7TnNURHlGD2Yp5YylqBPKyToPq+xG
W4q+alAm5AMUsAkCwoBcJTG6o2a5zrIoPxkSIY/FKAHGjDiki6NEnGQa3vlqkMCOtC7MBJHQ2Mmv
pOVCNYLZe51X1oaIrrO4HKeVOOae0IyXlTScxqJMt6lQHXviXAO1Wmtig4pHG/eZsWj1qa/rqTg0
GnPSoFXWCecC1A7N1ymSZqiPQe8ZyCEcJfLXSJGuVIvAvlGlsuI4CKoi2vap8SgtbguCQ4/9ctA1
ZxqrnImdbuSIXUSSOyZdiHcscS1tvvQDadpogsSt6aL+LI1wmmRacLTKaEfUa0VZlnpzK7zEcWrZ
UVUZHPSj9TADYKx8o6aCIC6U7TlawjVXXWqeKwECVwW7AP4WZCytchkjXymaF9ksvhn8cx1zZ/4p
uouh1DyFXa46jW8AYTFaNy6QWyhLeg/LJqmePX2tVKW3ODUbqImXzFCK8yqTDtUYj55YSSUdmaJx
GVzK61mWr9WZ3mvSY4EVtBtWQGtX9fEmQVcCCsvHTcvA2vSTFXXnGRj488Ev3BYSIjXiqhitDvNa
dGepjbrOR/DRPjQS10oJ/IsYNlXTvVxkKzUnw3CYKD6V/rJvBIKL5uGVK4/eqKSvvVFJJ5CjKNCk
6TwekaL5SXiwOsHfk1f0TBMeCFAtyVu8kvpjKGSGVxmdpXlTDm9dnFdaovk4YfryGPQCtMqgaC5G
KO1LlMYiBVNKojAAGL+YpTnA51CofoxVXY6bVvFXkwbxSPHrB0ulUadOOa3AkktA6C+7ZFMPGE47
jVtsBj7nqXC+UUpsfKo8DdB6jCs8IHRDp9c0rBJXSrTL1IdOpuNWBih2XIJaJPLWvURHmow+6yWe
S2vbFsbLuPifqTg5y/QcaAqpuWhJH+ZFPPggTF2jHsodhDWHAAEBZazqIWFd9DxmZ0vjxF+M8Fzz
IZhWseR/S0v/PKUT4KpZK576sCscvSNezJ/Ts0rORW8W9WqDK9oVaM8bfr4bYrlxI19+iMu5s9Ee
tPuQjN+DMtTaqyj6yXUh4kFJe3MSbCkNh+LHRvjf7rR4FP55dzo+lZyxfuxX25f/+z8/khGXv/lz
X5K/LIA8Fn1Dxs23nHje7Es6zWEO3eR3/rAM/tyXzC8IbhjsM8NjSPbdqPFzX4KArxHVAYjlD1HC
v1EQKOJyBP7r2Mq+tEz8OCPj7LDg4H3cl+qqyZhBy/OpLBt0qRTAdm0hfCy16UaKq7W/iNwHqXL9
snsWO/8x0keMgaMK/91P3SoRbqy+csk9P2gzugGtxbnup60tBtFJx3A/+ea5mAZAz5HLeNUgrpPR
OgyKti+yYm0G1qaLZdpdgJdN4kScOoBzjm79SteKboVv71XQcxIyrJLVTQ0Ohg6/RyB7wjYrFg4Z
SSuQ3nWmRFtRGwynlM1bgv/OaUudNBwkeLbz3torfYoXeFr7I/bcSbMu0ji4CmheENFkupMGcDpI
CxFpkPo6FEEM2r4rOZtwnUnr17NQB44CDAMTwoaWmrgih4SBRIr+oKVDhNY4KHcdw3BPLgl46mTD
cpOwcqJUQ9eQPgeAr9qJj172zbqr6ihxCjBmI2vnyhAhGQ4sUHlOAFxrOaxYbq2m0hY+45kiptFO
Anvhs6hDCiORyU+YdyUw7axBv6qkSMc9VrcOc02+hVWrJzPVt/nQiaQCWch0Gy3dMjw66ljnlDxv
nab1H5vAvI4FU9tGgrJRJ/+VGpq8c3VEy6BnbsPA0ZYLOAeCqm6K0G9YuDLxmkldQ76etqXDOLpq
UCJiTTcjMBMn1BK8cnNTOUXU+Ftma6KNFjK2S0IEIppV3hxGE8F/BKJoQfK1lmgf9pWEpUCY5Uur
kkzOPQmuOmzWAFBCV8Avs+qHJUIzXdI0iQPPt/qSsIk0anAGwSTSm/jN0SCHs0eabtM5iddtoaXV
pm6Cwr8yIWPsiJh6CYSCUD701bu5DKEop/W2roJrhok1RYi8UYWydahOvCbsNK8npt3s8+IsN+tD
02TfipGzizoPeIn6+7JheKHP0W0nV/BQiDFF813e940pkr8177uco00mqk5txrATTOAlBSGJg3bI
Z5NXQrglO150VOiZsUxfTQ/UE/kD6w4VjBZhAWpU6HmYXdaxIe/JNyhs0Wof59I/9WJyY43MaDPI
2oFcaWumhJkTS1WEnrNoVlGYA5dLDmEgOGMahB4ipUOeWpt20ZoMhvAS+dENvAVEP0IQ4rYXX5So
vO0T0xUC4lNqU5ae+lrzBEl46AmvtofWPCgjCHHOrckFOemPRKycNZLxYszNGY3h4yypZ0E0oyMp
EOMWhXzICUpIRaYvpaGfKWPt1DX9XUEOL/tA7AihmIgovE4ET53MszIi97EHG+WHUe3kYLqiHvp5
m6QXJlumIxf1Qym0INM732HQch5qPpui0rrKAHMlij1B0Ddzw76GR7VyxLqxnBqiaxpaB6Ibt0af
nBDuoTbiVyf5+aw3SK1MsvnR0vt21Wa1oyMg1DCepAJBHG1f7bth3nIcfJa1EpKfJGEXHVCzRvFV
m2rPVh1Wbjdytsgr9PsCqBEp83mJixCPUdhiwWItJIw0HddNDsbkR1z2fzvuInL75x13Ee7Zr3X+
VL9E+a/Ue/z1z71XUr8Q8U1HyyIV5rvY7s+9F/WeKbL1quy8cHNFCvefe6/G/6G7gR8fn6puvLU7
Kl+AKEMxJCMD5QpqmH+z99JS+bD30lxlwyXMC+cLQh3xY6cChm9pSaDmhcSUOToSQ2WCvt/q/VQ9
9rUCEKat2pqRI/nhhoMYW0OkP1RNfIMGBb/FrPfiMa9l1QWGGgBQBSLRXzCDLKanDgPHAogdq7mT
sfX1LDR2RXgO0A1oiVgfCKyrZuZCVh0065aQzPDKbOGu1BrvkJ0LqIhsNHzxdUY5cqMi9papTcXp
KpRMzGQy4sNVCed4Lkic2WAbK3GRdcZtLvUCA3h8Gbcl6nfeBq2cJ0fNZ9gkQlPldMdLyqWkLx+U
rIofBK3UNvSkWrKt+tQ/GaIUmHZqxtGBzcTsnMyfMyKHI913rELe5oGYOZkSdzSmjexo6Hl/mRGd
AxYjkVUm9Hm/oebQyJKozEcZb96M9cUqZhtsnz7ahhlpBitmalwKEgxXglCzaANVZP6ayYKCGkCd
mtyZRNYDEhAsLS6XwXGHvsLslXat1fwgnLdHoX9gVi1JXoLjx1NjqQtzL7ZCf9Y9FBXzYtIZFHLN
NlZA88KbyjpYG2I7XzR1Hz8qVt5cWEZjAIvSJXJsSMi5RrV5tBRyGInR4G6e50LQE1LWLIaSwC+6
ahvKUuefTGKfHxKifq4p3lJyUvUFJD3kYpRuxO+MacFceNMVZrqRpORIHV71wQxeLaRja/QHPvqC
EJ51tKCtGwEIUibQXk7MqLkPFamsT5VAEgR2h/9qhR/nfoVG9+cr166A2fIrlMjypz+XLfR7aHkx
AlMbqO/zr753uXRIIRQGfwTD/Fy2QImge5YNlhERFvtbMh15Wpj5f/xj+pIZ8y/AdD96mu8qBgLR
mXegH1QpJ/B/v+9k0dzKxlGd6tMkkF9U2nInVWyCuRlzMgvzU6TqB/xG4VHXCOOFYH5R4U9hJREv
FV+9TOrutSDyyh7HEIFOfxYa0grYxj7BSyz0jPRzwtFzyZ1lHHy9OmLTU/Yi1ANb6bIjJvaVHxj7
JhRWxSRcgPW8Mab8TkOeavoVQlcTVQmrx5Rvk65wQ1T7th4qW80Mb1GhOIIqXkBZOnYIyVDqHEej
b+HLjXsEeLzZEhK/4EajeSbwjby0Hp6tqD34FiHFtfKoBCiY23aX+zq1CTGianX0w/BoFSNh7Sqk
iPLYMTpVCgR1o3wHMWYTIoSxpskWkuIUSzG8R8mDwOpWzeyGYv9gRc15GHaHYJicniA9lYk0UqBj
DcyaCM8GbRPm8aFDXNTtZst8IunOhqFwF8f9VmgslwzCyzCY10Icu3Cebb2siVYkEsYfo1MABRXr
vCvF+o3WZJt5ai4zs33O5fEomPkx9Kt9r2cbjQBngro3XcXxPii/0cM6snEx8rcAg6uXRmhgdRTK
TWvkOdSv4ZB0NDOkCQipnzwphXpplTqpoz6nLjgondDuAzlz56Df1oCXUXVcxhYkaNG/VRfLsqV4
OmEudoU6ArStis1OrMj5qA6RmQ4osCqkYlDs3CLSnwxgSuuyGgk11Bj7j+WdLCOVzobxmXwXa4kA
RH7l/cii9Buzjjcxvmm6Mxw7T+o8402OEa4o677OOWsSXuL2I6IUxmvroiJtgNXyMinacpfrRAI1
FbILKZWUAyP43u0nvOQQ5DmT56hVfGWOL2VJXiey2FDyBps4x+JIkWp6fCXQKaT9OFLeGTYtQBLZ
TDF2OmNQN6gbNSRN01WkTpWLMYr8MEVPVnPXlk5RVsS8Bc0NxRzOa70jdyAFI2JC+J/JrNTAUVnC
EgDrfwW0DwJfPc2ytlLr5IibfUC73TskxL1yED+YcXsnDPzdoe5aGCmT2jkVbTD6i4EXZcUFDb3b
oaM9SEXaIkdAUoXVDplSqT7TDsaxXueEjjRV5zaqdSQ6Ec3MGL9YAqKDXu0yp+85Aiey+RqU1mM+
yTewRV75/CQZFGKDCx18vFKihA0zAL1aDoGXup22dCkRn1ajHIvobmU7ztW36jh96wyRDHFzpxZh
tBoFtF1BeBvNqDuytDoiWK9WgM1DVhxBPxSpz0yXVIKAMsmTw15xOxWgzCDl91DbuMtV9iIUJpXT
OCzaoiBfxcm49YV0HUO7dKy5f5iXPGB0GSfCmZ9hwzyPKpOiesx4bg19o+i9xl+mVJt4HeQKiV2Z
oqxV5LVfyPctCirIlQb1OlV00DV2p0f3U4Ap1hLUr5FfZa5ukRTctc9CVy9BBLDHfREBs3+nALJz
JmrpWQanrKLhUTpBduBegPGpy+twUDJXjKfJQ+LK4NL375WUwskvfYPnS1nResHObA28olEyUWDy
WpLejqpDUb5lIo7S3g8W92yNkS4CpZNVW8RyOp+t3+H6O40ZPAFgzvA/FUKORfx8/W0uirt2gO8O
CIa+tzAR/QnuLQnFqyFoz7Q8vJYmgwCaGPEmnVrbVAfF1UdhH1G8AjdLbuqQznyUlYabGmXaXYVh
kq/qoQlCRygI6urx7TpC3IdbtSWzOoXRnoumsEbbCw0iB4meNxmMv07GiT1hGsEbZUhjehEVEOC/
b8H/VVEK8+fPzyKHJ+yYf29eLn/450mE5iUUMsSDBoSy73Gbb5qXmozvTsPLx7D1bQFlfKFIghdD
fSQy9wKE++dQzSCx3WAArOFPQGv174Zq78fhS+vSJNXGJAzUwGyFcP/9QaTphg4K+TScxOK8DlRS
ig33zU35hb5jmdn/ddRh/idSAHLQgQZM91ZTl/HvG3sV+cWJ0hldd2rUeBcZt4IIm+yiUTeSfz70
R2zzn18Pc8Zvrrh8ojdXXASmEWVSh7oHqIn5fegBB4oBSLHMQoa6MHd9S8NFXyYljb7S46miozb6
mtdmreHFy2SFAY68BcG45Jogh5caRoSKGe61Ir0F3ZU4ZS2+9ELyjQDoe+TI5wXAQtugIYk7vp4c
WIaarcih6dUpBF+CzQJGKfq6mQhx1zRDIUczKtb+NOZONEYoZ+uOSLFZRNYmR7iBiKvrokuT052l
KUStRYSyVD6/EtnHmW9SiOIIVyc6sfpw4dNFtX2akGTlnPehYlO3b3Nxoe7GwRlwOdyQwk0tEH3c
54/9rJyPRrjpaT15UtusYeev1dLchUT62KFeDKgp64bG9XQoMF5eGS0VLkUtJd1VQb7FRq+gaKGh
3VQYE9qLuUSO7HRZPRanNFD3rSgtPJeZkrRpZ6SeSvXMEGevY2NDV70vjWg7JljaLB+pdHKcZv1O
SmmzLuUS0kllVcvRV+y0L0SUad6gqYexVHe+rLh9Uu5b0G7YQ7aTEp2Lc+XkfkUlOe2Hadx3Zs1Q
bibTJtCGs6YX7yp65qpKsHuWzzdaSusdWGpyjLr8PE9a+oU4s+ZkJ0JHgm5Pzk3S1lgORpMWYp+I
tooqoYmNG9TWNbgVMVjJWQkdohvadeoTc2NCdtiTTAcTwJTP0oztfTipoXnZdMyjJcyFqK7rlYRA
1U+j8y4XroY+X4VgwuxiSRCMLOSp7YsRYhiQ9PhCRkRrdVlHSIqE+F13UX9ekPRGjckEUh/U9VD3
KxGnWaujM5ZEWLXFFVmG55lfAa0e0Xm3adJfjlN4qfvStoZMwbjvHuutMxpajeBWUJw4qr/lCjFs
yFjBcmAVhKaBDAypbv8qwuLLkaZXqoQQ0rCwM2D9URQCAYUBl31wDuPmoBJtUGkZMAjNg0/NoNg/
a5piUyOxbOZ2UZofmZq48iBsWSguJjPgnBRx4lNUn0g75VYFMirzhjjVQh3MtXTaJAO99jrNUWsi
2FcmYZc08zXlfMg8t+UUVVzF0Kk5uvNY+1gYO1N+srr4CdPGoQA9aKNITZyBiEYAv0OG2683N9+X
mf82vaUW/XTTQ0piP9XPT7+Cwy9//HPjw/bOlqLihcPF/qM9+OfGJ35hHiciMtFk7OeLJ/1nCa59
kUjhwWCnL/O572FwP6d2yhcmfbpoLk5dWn148v5FDf5+k2A7shj9ydTzuO+ZxSgfVEdKKAlDO2Xq
Mcwe5+Y4jg9vbssvtj3kLe+2oeUKCPQgzwOyZ9/TjA9ba+c3KvL2sTui8veotL5NpXpM/fhSq9tv
TPDdGju7m6kK8FAh3zLs2tRV7HUGmlRd0Is1GJx1btQboRGv4y5cqU35IuA2sglr4kQ6MoFKBnsO
05PUS1rCeK6tlFOQNRimRjC2ATfR0dCqTABzppl0U1HbjtDKqIIYawMx1RnVRagh1Sh9ISzNh7eD
hFBtZOp/MRDuY95LbLjq1y4kQ6uVjIBDdlidSRZDgkAyT0ZpCF5q1vf0PxWP7i3ViaoO6BYGRBhy
0a6kmnoCU+EZCM5H2hN7El6IfMxYrIO+2qR5sWGYNru1X137WrpW5oh8kkBhMcofBZHoZ0kdv2WJ
cGpHq7AbzAAr7M4ucvsrI87IuSy3SmU9JqKwyctu15Yi7t5uuhgTYqnmMcejVrtSm+wqw3jypX4A
UBKTIye4XRI9tcRXA9ZSbRSdmzSIT8LMn+cDiBD5oUkCwiuNDVOIvZqjK6/l/pDCXNMhndZltQEy
Z9iFat3GILYBWqfntQ99s5nDszYSHyhFW2cS4p26CH9TGF/yrFA8zupVpOTo3Jox9Doz2k4pvRIt
1jTwMWR7V1FjF3ry2KmWN4hMfQjwQ7Pf4j8J8t0419gB+ju1UBxMUUe90R/YZE9JRAps5jM39TNM
2v0hHOptMQ3bYIzvML+w/1kD8oVhT6LdFQJCOuNxeifnza3kG8TrdKui1nfmrK2EsX7U1RYHWYvB
QWkeCr4845cRwMn8AmvJA23jwPFxlWTcl2RZ2V0VlOyUsG1as5GR4+Dl0o1H3gJ49fFD4C+cNoC1
K4GjoFFW36Yi3pjgZFSlfFyQ4IKAsQEKOAFmMW0FyxG19HlO/IskQ78EPnWfxHWylgL45KpgXIcz
M96yC8EcQVARs+zZkuioC2VIoT4b2sEcm3wXRToKjxKJh6ZfxZZ635UNoVRyTZ+9XN6eeLgSJdTp
HeBsuSI3R6tGhEmSdjmaGHK6qUvPGLYt7CSl8ay07G0Zr6s3NPoxaGVsDpp+K5I/4FqVbz7XFn2C
EIY1SOxSZ16d1T3Y22wSaOkQpRUdxzrS9xXHDJcmALtbUgYOYdD0DMArumqILCrtBNFrZ6A+eesn
l4Wpy3jbO/EMa/0SpCYz0qjPWkruUi2bbd7R+CESkbhYuWo2CPhiL4i6PVAONuGkJDBshj4+zpY3
jzJbppqWXoG4BiRilJ6MVEwRzAkNsb18Y98vv2rzdFv7ypORVBvWN0z0UuZYBF64UyrsfTo2S19H
sxNdw9oOofiq0BgoQ23y07suyS+HHlIgIR/khZHmg7mpjlVXMaTOLcr8DII/C6LEhzaGi7yD9VHS
F2ON2gWVv0mVyosB8JVzu4eAvA41UPmpeIfdgfJe3A2Wn6KvSh7VGPdQEy2pE75+JrXEq/lqZDyX
Az0AUGMNqjDIw9eJlIEExoSmQNJylBk9G87XhJI/qg+zmRwVudyQ2X4hVZhRU+woY4btfx40lyVv
K5OojUVCr7fphOlLKK8zOeOsa3ep29SEIU5Dm1msOd1uEPXiMVdbgfVXILopRAvR1dCBgQK6dQmy
tVAQJTlTYvSbPg77dU4bb83Sjyiw4gpyl17nyDBc6j9r1xFPv0NjccwtTUcRp5hbhjMhqc3GtVYV
tIJwjUB4lJsKzLvvI/2qrnV/ujZzbb6f/RyiSsc0WyPr2zYwIbYTLYJSxB1MribBCPyhXfdad19H
qbkazSmanTQaQnalsN2o9NnsZCDFngBld8qKB70vkUTQVzImMEwFzgZjl1TTjRjGXh8lYC3L8KZL
5Wuzq6yzcRp7gOpx7RZ+OlHNIIbA6PWg6JbiKqNa3Xd6ifetAIWZhDzoRtQhS/GVe3m02itf1saV
2TE+iWFS/KZKfC8lZZpJ8IwucdRAtYqbXv9YI2YZStMgzo/twi4diX+iiBrqZvX5KWBBD7ytfv+4
zqKkRmzEa//xENAac5ZACjlmpCLCuLthVcIdmD2yXNb2MFmLXS3d9GMJPjnZNHK4J0vTNuX8jJVq
r6EYickFh552qVeip4SEu1stAQT+K7hvalNeAXUmB1UMnj7/6L/85CCJDMTsGh4ZRFdvq2gt64qo
tZL8OBD5GkzXYkxGWPGDM/yP5gzr7+Jvw1IVShhGKuDMjA+/Q9ORbJIlXX8s4UOTOadulYKFQfQr
9o2+1zxf6O+FMi0ucmIsJzIEBnNYfOkIeHyFTI04o46au4suVKyrnF2pK3pKSolCpiAhToOphsUv
OEZCtKPA557LvDd6BrN7WjSseLqfkjZFyoKDdh6A2TUS4bOAt4lFU74KDC9Jue0cViXdnhiwOkWF
Wz+EC8BWxNEm1EmvlF8j1XiisqJVCP97NNIDjmoYIMYkECY0xAcxxAsyj4RPBBL94tCi0SJFwa3f
Sdl1NWjsH1Kw1zL8sg2J6xtdIp+tYItbLGN0ZRKvFOUT9hwCQWdKWElJ97741KmrTjO2rIsPpoCP
2xikzRSrD6lSh15e5oQbIs1RBNGdVY4eI6+Zi+O3cEch29QtKYmZNKK56p+SSA6/0rNYo4vMXCMN
D3IxMy9qqhUOTXqg8niZ6XpK+Cw1rT6PZ5XRHD5/5ujlf3xfLEQDmD94HJYR2fcEtTe9G18RCsJS
tfZIB+xJsRp6yGWfHnVw4jbr6WPQAOdDN+pI+uiaUYolQUkP3BUQ4iHxonLQHBBC2cMsH7TCvFfU
PFw1mVatuk4kY0WTO0CMoOx6TPnEo6rZBvRL6Q5StPiBATBiWb3EvU9TRsPLl0Wjg5u2YDegNd0y
coP2v9Kz+Wtd6E8WGnainQoDm618o8sTZ+cpAP0ouXqBhKvWBKKRB/0+phsz+PKLboyJXQ4sA1ZK
ENB47Vvx3uhrpyoUxHoTT0hpd5N8pfX9IYnDqyrSLjPDWutTew9QXrU5N4qeXuGdDcEW079Dkawx
LVAIuxVpHLmSLjwJPBNOaSkPkiLcSyHawqqdFS80EILNAmq0sfAktV6LYry1iBOBsU7Ia++qCV1l
0xzODEj2g9Q3bPO0ddL2Wlkm6ua4bVBFKIP4tVLqp9wg72XicxJSm6ANQrSzN3J9NRTAAAwYClEO
Ut+KLpJSSLbYSbyimTw9RWxUcqBBy09dwsvYC9YFObbfECktOTA08hHit22XODoaPhkYkySBwWhI
hlZIWjClIPNgEjvDckJFj74XoIIk0kBOdLskM53jkraDECdiIpxl7OLECmxMKX3oS0LlAzu3tioN
PYldM/UHPMjYl+usdDuhivELC+t4MM/mGFKShRxjkILBaVCOMWSQkBabtjaY574pbYKc7N2h2ucm
khLCkAVszQOQ+tTYqcFwVi40C60AVqCUESNRTGFhSfuroUpIdSdWgPR2tEz84VzXPIOon8E8ZuNK
n1YFQy6jv6NJw1xBPDAEJpbIV/cE8WKs9n3/rJN7A6KHJDlGTCLs0M9uyblhU0xQjcGebOqeU4hR
IJYnNYKkx1r6zdb2mzf1o5FKDq0ptsqko4tKT7E5ZKCXRhT3/nBK6oNExfL52vB3w9u7lQHq3bv9
SA4Bb+UZK0NRvCKa68dLFKl5cM9A8PMLLb3193s2a9Dip8QfikxJ/W5DebMGDQ3CNTgDI4K8KfDK
CJMvsvBrDSnkNixw8iVjf1aWEcpQPC8HswLQrMcFqK0Y0MzAv+tgff2miuYFARymzWD+VoiKE4ye
q5TjG1WP0zby1RjgI87bYJW10WMeq3dCmJaXQUdkkgbQcZ1p3ZmG3o+DhTdJSDU54q3zVjHuLNm6
KvHo00nZdUq7jRQZUti01UrrNCTBWc22TcbQWSLnvEwCqZamQxDFXVbWQKf97VAS6pyORPVoGQFx
hCClQ/BQjVaN6diHQNYowW/u6vt+CweuDzd10VC/uano/Ynl9s3xaI6P4fw8mb+xDv7u318e1zf/
viiknJGJeQX2e4VUFpXWzW8ei8+fCv3D85fpWSImcjAdNfk8IoeJ2ySG049R2j+eh94ryX/eJWIF
OJJKGtOf999iNJohRLY6HS3Zkduv7ZBxJrmJRuM3v8Z3J+VfU5nv7S8FCZ7EVotIj5Pp+wtNZMgN
wVzKR44xX9nU3Ot05buC19uRc2fn9t0WG/j++TJywtvRe8JX+swb3WyU7ed3VV76bH99kB/f+O2G
/+EAaPWRVVoBy0i7gpjuiN541a2zC8DLnuWkNM3X3OeV5KAvtkPPYtDuqcf86+efQvvVp3j7yi+L
z5unJ/Wb1MQ2Nh3vx63sYbBZWeeGzcjKDt31nebsdTdbW8dwNW7IKN5cQ/9bjxvWPXteF5DZXVpn
ruUK+26Tr5tTSOPeDtzbwu6OojOtta21Lc6GTX2Tra4+/+gfp11/e7E+3EBBbqKUhHWeSxvi/ap5
LVflteRWTuz6buhGXr7KdsX6/Ove67bkMIxOvGOcvouPgcPm4+mJ/eI7t59/qr+HOr9/3fUPAqeI
MXNNGNp0DLeWHTrzJlv71zmjFWbstm5jUHKQuKzNY7WRH2mkeZ9ff3l8Pz5VOhnWP9+jD6sNS40w
NeU0HsW58IxhOJuF5Nh34h+WnX98X5dV5bPrfFh1zMhU+n4GGMaZ2u6Hr+K4GfTnSfEqEVRQufr8
W/16jfvzW30sJoWMxV+r4u4YGsRvAOgJLv7/LvCh5lNGPA9Ar/pjop3JMX1A63fT4N/8MB/NvkJW
mrmBWfJYlEe4iatShhVt/uao8Lv79GFxa6S0iXsjbo/j8qsQ8WGN/96EvZwR/vopPjxgXTFDhmyy
6Tj0oxNB4ktGhxnw5z/Hb54u48OqpPuBMNGcYzcYdUe1cM2l7UkB2WJgwosHGZNm9Jtb98vfR/su
nQTFYH1EC4I9VPwyarujmn2r4xUoL5p868+/1i9/njfX+PDSpIHVCFWojkfg3fTvL7LsN12F313g
w5JIsOSoxKS6/D/2zmNJcmPZtr9y7c1BgxaDO0kgkbqytOgJrFoUtBYB4OvviqY4TR4+0jjnrK3a
sipFZISH+95r36hs2jSjc9Kt//olfD8f/+qLLw+UHw6MJGXoExWsY+4GG0wgx2mfX7gi+MfOT7bx
dfzbuG7jb1aDLV/1D38SpbWhDXrCGfVKYxielX+J+dsb8a6d18O0uV39hv/YWFvCZDfunbK5H7by
VL99a2+NI7d2fCrbZdjsKz/Z/V2a+J8e5D98I+w/LFY37YQKz2y40a7yIFc2/a4wD5Xmb/KdGbxU
myMhrKcP9TOXs+5pOSGm+pvdS5fb0199KH/43Celt5PWW6glAuJsg2Ul7nLjnYrgHtvW2diNwZse
RpuKjm2IEnLn+srf7NB/9xScP5x7Ctx1sxLNcAN+fTMHdDazr1aoBc5p/Dbvm215dnaEBX/Eb4Y/
7/IrOPZvf700v1+8/uJdcP6wTnIi7sy+Yml24RwCbtiksqo75P4jFLXDAengZr3BVfMC6jIow2bn
3I6bLhi3yQH80qfC/5vnIwvj/3o+//m6W394S1zFYzZUsaW0W3Nn7+wimMM1XM/pSdt8wV8ekplz
aPY09c6z7zxtXaqDajvs8vAhDWSR8Etx8O/oXs7R/2507xd/Prjnob8O7hHI60jWMOjITw16zu/s
tkzNTeAsFlN9Xfp6fh3cS4G8aRsyc/3X8LNfB/dgIJDs6Iz7kXhoEvP9Twb3/z1Yd1WMlir58RbE
Cegkv98IHS3WiqKz6qvuMlvRh1kmx0iN58z0UZ9jjVZbHhbGcqjKCsMOGua30nOO5ZSGLvD3uqhv
HDwgAOSvqxJtVWYwQNKc+lykDvLytHteVPPV9Ro1cHtE565CzPaSP/7MlBvoqeYxXcg6c0hYJ9Zh
Qw5mozIHB9UauDLxSSP6CZ/mFKBnn3ZJlBDbYaEnqtQB+iWhUatMj9JiiGFAe9eoJvVJJkyNMmtK
IXRqRrAPUhDyle31dLBkNtU0qU+TDKvKlq3Q6fMMnkmP7HuiFdFWkGQTv5FpV63MvRonElaQ7ZKF
VWVfvBRZ9SJzskbwFyj7kwNyoehQyDQtzAjbusIArNJMPVmWIs4wbz1CGUv6B132BBSb5OMCLAPq
s2tNIooM6KLJaoaDPT5C5Wc8lbdPthNfG2AVtCxgls5E4RhtJOW21RhUCq1EYaqt73W8p3k7XpqG
rPp8qUmFn5hLdaTSV/pzmU33XobEORKZRd9V2zsGBtElT79OaMnjar1Z9XLyR8c0SBbuXotB8aOx
ln7I5jwmLl5ZFfoCl0pfWbE01DK5ra8zss+HzAgK3T5kg32XRwutOUFapL7G29Ys3VAo9ZdWB22H
JJ3cE7E1W9Ld1RIfanpFUXgyDIbvbK+ndmLNRGN/26b2sIHjQZD8RKKcKTUKVez32bhrW+PiWAmm
B49sU0gSNeRyWqWNsusy5Taf6/6yQpvfWCSKo2Gy73Vbv3gMO0B9UlaapUn/FIAno9E13RTm0EMS
VGEKiWjbxz2mJVBMU1ZdYjP6tLTTEhaKu4t7ww6sQX02W3D0BmnpGqSrpR1sGubxXSy0szZLT8GM
4N372tmiCUpAFOAq7EPc4ibAb3Iexv6a0sNW7uraKdZvy0wYqoOm28ub5zyKWx9r1qmXKvmKIc4x
G7y3OlfvYRwDllj8Dmpcs8YhUsqg6QU5hErYqfqpLpKbtK6Pc9bfVHVxO1WMvunsj0jpRuJoI+tj
tZUREaUwTDKx6YNuQGasD7q9XuBO9juNCWUYS6GiMGz+rrlDB78TUsqIKmEv0DZ21lsvpY7l6D1V
iOyYoZ46vUM3OViotI1N3Ky346pjJUDUvVjjHZsdjXo4shhVyQ6iro7QWhqQfLFF1sRHDKcaNSag
Gz9a4oe1QSRgS8FmIqWbeodz1SydaufFGtpFKfE0qJuZKcV7QsTZlqQQtJaSUGVk5QCyxh0oBaMl
twYXBaljVh81itJSSktNNKYr6QIWOa0wCZGfWlKIqkr2B56Sz0xFozOEgQtAQLYJVb0tJTGEDCHt
KoCIGJImAovs2yj5IqU93xuSOGKAHkH2Ebam+rqAJHFBkzBiYdwraSWuCbdkHuOXSpJMcpAmjbug
f4cc2HS3HsgT1c7CVSoQLWAoJMmnQWrn+1pyUhyAKS4+E/4yU3rPfNQkUyWRdJWVEda2kcSVVtEv
M1+DWwcYC1rS/SzpLJXktDjgAHVJbkklw8UC5sJrTTEvA+b24IUnkvgySPYLzLMthsOP2PuSgobp
QcTkvCecA+BsJT1mACNTDnqoSq5MJAkzqP077oFQZ8SU7RLJoUklkWYBTZPy61zJqrGs+FgAr0ky
4P8oN6aTKck2fKAwbph9zRX91rLBDSo5OKCG95ARIeO4XXyYoWBHCrY/sqoIumBi4nxS+zUFoA6r
R0J2YnMOlaR90KHv2BLDEyf2uJ0lmseD0cNUnxAwJhydxPdMbUtpz6wS1djDCOHHlKgfxWh3I/55
K29uhIQBNVCB4mG+V5d6y9R8CbHJnmr4QXjOBfqYZQwFbKHcw2tCduBdmTjZdi1W4+cK7996yuRW
9xf1VPLeD+//Lf6Xj/qhlAJsaHMZxJ0MhZA2wW8aSBLNmXp7Jv9DI+GH7JPvAT+MHeguuAwJKJp+
E/+bxBKw4fyijfynPkTrD3cF2sCA6vgtkL0sbI9YAX5fSpEGpBpN0RbQRZyMPDZmnJopniELQlpo
lWuTIEdnIV/yQp9RKmDvX2IIECtOrWl20SCkF+a5j+iKIalqLRQQw2s2fQxxyjX2bjGG9hBty1nb
Cw6tEurHRqApZKTx1luDT6oZZzAquH7mO+5kF3Cp35ws2QqcbYOCsGvRGnBN5hdc6Lt48Ygb6Ovc
V9Jy3GdNt+8879Rn5B5g4Vph5SrMvWHVTWBl6ycHf4HQkUwsnZnuklV/Lzo11FX1FcugFTpRNPoN
8shdx/SfAGlCxky7P2KDnEI3ak6Druw9I9vmSfZAYmDjz9Q126mZ7yryNDe924TClvFkPLkTGU+o
jlyB3KzSqg1cpqtnFF9JUWp2i87UOo3ZzJUleuyKGjwRcd1qJQi97rNLboIcTkkd2ZKqUPhJ41i+
M9cL01B3myvLMbGGKohF8cTxqhANUrEB1XcJ+IRN5XpHDeHWhqn5xav0x5azlKL4DlOBsh1XQPtL
KTAGuR+aQho4bMI78ljLjel6b1mm3dMohacUMcQeC6MkM8F4XMv0LQeQLQpOldRFF2+ksOZBn2et
+iFDDfZIK81AT8dlm/Q2coTIIGQieUkynn8M4QKvKqZwG2jtaJP03VSGuS17bKtZjt+yCEQMCSRF
orUMGhVoyt9R556upldBYiNneCnv5w6QSu02aLEMGLYxXc+2Ih9vQLkRiIzHFcbgsSvn5q6sx2td
uy+WFvG59xSD2twiC2zetDE9D1l67lJAxAqqVd+yObpMHc2A1xM9USoGsWpDs4uM+oacG6DeSCoQ
xKEd7dMbNavfCEtOw7aQEXhpF8xmhQifJ8rYlflJMe1bTb3V9d5vLCHjaYjWicdDXzVPozLt6r66
JHUdmvZMzEKZ9n7cTx4IcEENUaARc9XpdW3Tb/2EezebdyJtFrLc24IceCmy4lUtzm2N38PPvenB
zYtwAObOLX66REoaLqqHyLO6alZ1q08o6CxoxaONqXUhAkQi70ZwpNgHVkpdrkw2XDYWaBr5tpJE
XBds3nJ+KePVxkdsWFKno/wv1ekjyec8mEsDwZ6U3xt5/3nGtSZqF3PrPCLvajPqYM/baZV1SDR0
oiswfI4uvBkbt/KQjCozmL3ZiHxm4SL0FJcKiUzaeE4I4YzyDEOi+XUEmxmOSf61NqZXcAtfVkdk
CAbQtMSGuF1GrgpE7mD3G+yBRqg+oW0eK5jMYJKHE3sPuDm34WSfWxygVTkcrArHQmiMqCafIL64
7i4xOw0oOVZQ5vaVhk5n7tatO8Ih2rqVYs6bdkIuvscKviB+Naw1vSEfYBkfPLXUhgfhdYpxGueR
YY5VFclrt5r6dM2HZl/H1B9NhlWkNnMzTFOg2q26vmtdfN9HBniefD6aZjWGndJhwVXsk+XMxCO7
pomS0P7S1nWP88QGSpOZr7lio1Ikhxj4z2ofjZrFnFdujlXQpI9m1Z+ayHxPsk4PBhcZNKrGD5yw
1F5JjWOlEmT+qhPikwGd+JLPl6Xpgzn1aOk2ysWsujslGk+lW3+iAv5YMYOIGZtiz8WV4pgU796Y
jwkTZVXAX3Ga9xSOup1GqKd1K9lyzWdINqCd1bObqAdini1vRaJ/rJrKb4mtj3wq8UGmgbIe9WXO
AtPqtsTC3Ofykq4mKtZ1IPenInEual4ghp3rdyaSh8QwOlD4NLzbdCXPTS9vbCdHcm15EBQV5Y7W
hR4Iwkhw/IwXhtfYo+bI511o9k7FraOv1WFHQDR7O9mQaDgc8Og436tIeRzyYLXiF70jGMtFP4q1
Hf2fm3uCP45p1CM51lgRea2zjHAVaYwoA09TOTdi69Ti3LgD6jwXG2+sOddUVBdqvZLhenT1yMLp
yx6m3PBue2LZ6lP+sEBshHwHVTLyOECsbHyKxrEPRlG90Ic4ZkrOcxzXVwSTKPxH22QNrESjqrri
d/Xwrfe8JzboUG2Kc14mw0aPjT3d7SfCWXdK6sw+6uQDHMrbCfO1Z9WfUw66jeaoN6Y6nJD2Rf7E
TR+KgNaRxNkRwjJxJAwi3uiWl22SPD941oJMIa78zNXbXW+lwk/NHkX5eItLI6z04Xkq8RvnJPGa
I+rfZTTnba6WE0EKbsudEM67EvO/DuV9YOcIWxVF29nceg4Db6hPwtpVbfps4zrDcawoY1ubW0M/
P+EAULeIwS8kgtmhkq7xThEaGH3P9snvo7nCN+0Ua/qtrYFRUno0WEOlElqvkzeMGAYCPl0GAlsM
ZD3pbTJmeAxrRN4VDRc2OTY4S+zXUucrYbm3OklhaIgwBtv1/KWq4xdmate+cr6gkPsy22rY9PZr
ncevddzYwQATLSqbV7V294bZPQgcXmitfENfcl8tkpPeifeYTLbR0b95OSFvY3pHNCe24kF9qEy5
iSsWTnyif75Xm/+W3Rh7/qrsTr91f2o94lG/ld0qmdhgi4jEtn7hePxWdms/8SmD+EDzYNKS/KGD
6f0Ercgl2gvYAWRAj1/4awfT+wmvLT5ZKePVv2MG/0EHE4vT71risux2cEbxuyyMTDpBnr8vu1cj
KRO9TtWr4aIWjcqVkAftUx1/JYB3JX1705G9S8QIaTXC08+i4eed7lxtknrHtgmxG9wXJPhSifmq
jPTt8+S16qxdy43YqNxL49FW6p03TeZKF6QCr6QDD5ZD0gIAbPaQ8amZq0eIgcRkemrht6SDBGQM
vEXkDZNUerKWbFuSQ7wS/qSRS6ybSuuX80ApyqVYRhfna7rvcQ9vMlKNtdjZCxlzjIRQWkvfsrJ6
WslB9rL2FVtXuclJSFbY9VoSk1HkYxEhQ7nzlHAlUzn1qDF5ZbvGIymE0opW1WATLcaJ55DJPECN
oA52N3Fl7hxSm7t+cqlr3edWcDFpyME5rGNOCHlknjK1qBmPKnsCiPAYIDvaj8qyq020HZrMirbv
RTPeQ3zrngrSpAsZK2237jFO1Be1tE4khhJjqM4XMkIsYBJ4nCzSqYdJyfyZvGqT3GrSDWuqZuu4
aF97cq1j8q0Xer9ohCE/cg/AkYRqtqAHSGDCN0PGY3uW9vSdGiVUorMVDJCDDNNeZKy2Oi/7rF92
qC+3DbnbY897FsdEcYufY7nJspq6G0JXtWQbOVm9Gyx6YKehTlGNmo06HGqXXvLgeDSV9SHLNm2t
dtRtqYkAsO+plN+LqRX0Pi19YI9WyZWZ6QuRfAYaDmeHSW+D5gjHpncpxxaYbG18qZKuRZMPOdUw
STDQ9Zp/CTUQa/8FyxDdmbz9kMxmSne6jHh+4QzAIIgt9Pxrs5wcw7lREt31B3LWDFOl1lSS12I2
3yp3JuZ9nh4gaiQQFciEMVvra9b0H5QM39YB++bkFM+xbbIUCDZCk0fjuNdPXaWk20wMxta0ptuZ
hOrA8PK9mXRvbm4NoaGYBeh4920ZaOY0pp1B9RJfcefiMCXcgpXDvaFKe9dXMy++FLFyE78VU1DF
8ZFoi6/mDIa2ZL3QygXvfLKrapfVzd1kcDelJn5qTKShNjzCggIaFjxtHtV+iWQ4p8VPXNSo8dre
pVHhL6bSn0X/VlkWNJlFqU+AyNY04FfNMrU7ULBQw5ulJFcS/CfdPG1GYWM1Ttr7canjQ54kp9Wu
bkBaHOeq+bA9UiELKBtqCBao+/LvuQKEgC4LYoe/aOekpAAt9fgnDR0e99vJov1kklOBsFLCZaEn
/K6hA+iOnNufTw85v/9lNmaCgFDRgqv0AfC1fve7/nKy0NCBGctB5VG3y2mb809mY9p3/cx/hq3y
ZIHbzhEm/bE2T+UPDR2sSlgqOru+nTuVwm0yxcZsTCa+ptgnDhXutCyE/KiCs4e37KQWJc0Km/wj
UvXU+jUto/4CBp6OoWG0DxkF6R4Pa38j8qj52gzSWliwPSWFs0Dz1pYUnbkigKrTXLjtu3K4thn+
A0W18X5i4XHxaWikSVVRdZPHjffVVZJ7hgnWNdY05ajHiditrl0+De5i8RWEZS50a7wMfeIAn6qA
qzmjkoeatdTP2Byw0hu9/g2/WfFqqUW1jy3oTVUT9e8TIOBtorrp1uk8sXMyQUpVMjV3AuB0MRI9
SDu+CSahmdM1UYih+ULeWmKeNCJIFtxRdT5ilRsIiTZjL0tuCNsiRrqN+qq7OgltCCfW5uQhyTxu
D0KGUK8Ut464cT3I9NB6TYDq5EcSZFRtigkfWmBxO01PtlLRhiGpd/mcTXpbbnXhQbSN5jdbFMY7
ZEKrRpRvVyFtYY6UEbjRIOr1XU5AmTQSWIPSnHMljTVvFzVT/JmVlPpqta7vUZ+s30gCe+2UNqzi
9Kg4dN1LjbuysLpmrzQC+5erjcsux/9FKT0s57yeoQnh74E/X9ZKQaERpxglBoPx4VTSsMnbF9NJ
Qc572pNB4b9vlHbZJKqYNhZspb2d9faDi6vlMCiD99SorX1DiLAacJp4Ku14q36MerWkq1F4nxVH
KEejGJxNM5fXzNWUoBsm8DoKfPutKNp2CMgzBJml1P1haaLqnq4qbCluv59i6ulg9ZzsaaZdcHYy
M7sgIcre8K1CY11Jm+vztX5bx1k5sXjBADmVuILhiF4JsRBPVdZBjq9nsBqEM90mUwEgFYtYEVSm
icuh70k9m4AODjQirT6IgZzBioSKtdcnynqMVmZhHJ1ZGHekDrjAm2tb+9bUzRq2EmbgcWfYgPyx
ftYZ/Vvjm3TC/2Ivrov3PwOTykf9sBNL554GXOZXVt9vNb7+E3UEWjX0CPj8JMbvV5WCS3a4p0lS
KPkR8AEp/3+t8d2fVINrMfcGFPrOP8QLaK5UIfxuJwYKLjGn8ATZhh2Vp/6jXMt0y6zjrrxc3SHu
bpnZl/ep1jivdWHqx0Xk+duiDU7oDpN6YTgXMaCaEgIEpvXZ8cTwkKh1sVtXwkUpNaOtowwdXLQ2
2bqtelNIJu9kaNHZsrzuzpgHHj+BHwpGSMkUbtD8FRrDs762m37AzImNLIempVLHVOB+1WUFUtr0
86cySeIjTBcyXpUhC/RKXehsuw1N8+XZ04njlDtUVDrHkW8km6QiTlVee9uuFjg+Bi+CkKxegfyg
dk7z3PfsNt8AkoH8JV0+njGg3c5W2TfJsm/NognzbqjKoF3XWBLy3pI5jtBATH4q58jQtgmUq/KD
vnrCH7hJ3cZa/KrmyzEdjS40m+rOqvFCAgxXdoMdr8c1Ho1jkqjOtkC/oOEVOwC08QKits1dXlTm
dtL1CEsddwb6cqAAygZaTj3drR2c6Kboiw325XWjWARy5+DO9Ni7yQy23mnh3VFGzqxUNAaUZE27
9vARgsURzaFN+uOoZ5+4ds2bsoD3BnYn22IMPCZxuw4+Ge3JlnZGFxSSdx4BPs9MZbNIEvoMEr38
zkaXlHRSibLLDDgdwiFwMzWugVNDVRcMVkD4PNgGAzwnNjCfzDsdELtO/euRSwqdnRCUKwjw2xps
uxr3Dm1xRo/oOWZ2YfLecVFK1rstqe+QwmJY3DR6nao89aDhLQtGfG+Lh4lcFNJTptzPJUke9vbV
AS1fgZifQM1nIOcboe4SDZ7OKmn0dmTfUvWHK5j6ck2HjQ243iONmUssKHvarA1oe+7bnP/A7rku
8D/g70u9+2wIePgeYPzZgXRhLU+tJObPUYMOTFL0h++45zZnguzrhj1+MV2kF9RlZPFG9Xz2BGc+
kSxpftZs7pS45minNR451o7WzeeY1MTDv4Xxz4UxWs2/2oyJG/mzOSeP+m0zJh6IyCvqYdf6JYbh
t83YYMs1iBQCzkxJ6lBM/2czpj3DmAnBmNRySbHxD5sxnRZ+F70B1yMe6p+UxbTnf7cZSwgZDBpG
ra5KbeyCfPn9ZoyGBtqDmqlX/fsCsuRaMuSq6rJxO5lUQarkjisROo5M856jgZDFSNLJLcv5PJTF
gyO55WjjgnEYIJmDNAfScOhBnOeSdd5J6nnaTkEkUei5oX0SEo7e62DSy7Y9tBNFyZpejUE5EPp5
Acq30SRgHX4RUpqFlq/Tu/sKCvtK2ehAZR+EXfs1nHYglpG05d/rxgDoFJS7lVfwVxWNr4ryqEjc
ezRlaIEhwMegEIrstQANLyQjPrOy+15S47u2B65unUoVnjy51btFEubVxrwmiHg2qmaeVphoUzWe
3D762njilOr2J13S6k3JrY+r6ILlEgOzrrwJ0PZcp7V3MoeWjQB7v/bdcwoGP2Z8S4/FaH2UGk8z
qPxRMvNr4Pl57l4WSdPXeA0ReP10bd57ydufojzdCsngTySNvwLLH0k+f+eWT5yNV3yun0pJ8M9B
+c9uuxu+s/3LstpM4P5dsP/0Yq65jmrOIhBgFCQDLCtgFtsLR2FdxJTsVJkh0BMmUMlUgYl4AZeY
AdGTNyAIHkgTiwQCHakZW9FzK9MJ8nx4tYgrEOwwm0EGGBBkoGtGfE5yYo4SOiYVYQeMG/GoEn/Q
RzQCegIRdIIRVJmQQLvbOwp7bLawtb9WsfMQR8tuzAnYRLJzXGr9O5nt22w28ooPim544Wf7qkb+
YU4uoiEdGkySDbcMiouzN5eP9rnW8oKpDC1svk9BYkQJM4T+g37dPnO6nc2p4w9jFxO4mV+0sd02
NbwKNZ8mzLb9gzZ1u8zK38xFQ7DEpkz8A1N0ktGHGu9uVZV3Y5YsITzU0BzwT3A4b5cERgdWfpfG
X0eDkTz7rJRewcXY6XF9yi0zLDwAZjkFiZmLY5bgc0w6dMge770ZnQbyuEDEps7yZYzr7iXBzgIn
3CtdOimVc683sJ/ijduVyp1KB/MeLzX9FG1OwQSrYa4kNi706COPyQW2PBUcAaIDtXWOTjU/93b3
eci5rzV1fce5tVOS/E5DJuMSxuwjqQiaGWC54UxBWqhd6GIlxURv8uKaLWwgBR1Ctscwa26TiGuz
Vzirn009ncC0DAbYxIa9vM+2HrTz/MmNqLK85YkPGkNnphyWVDlXbbJLcuVQIQIkdtKPM6LLlWif
QWDK3Yp4WReYubkejWZ40douSCzc4jqe36nkTmGk3G3SFp1Trm+82dkJBrNlU/KBPA9dtlvmMQRW
50+ksqdKFDMQdMBy9EGSeq9lhmG575LzBA4fzVXqhXNpg0HNESpRMdL++9IDjlNJOl9mByoyBRJg
2Qtm64PouPaVusowVQg+WzhEyrgf++7L2E1XQqiCPjMf1TRmFrh05zV3bIBJ1dbMSdhQkU20s+aF
Wq4+WGP0DYoKq3PiYgixHWbxtKc7PPtKCw3QKG8jFeFgAqE0Sy1346aTn5jjRTjVaSYKeVPmhW/G
LgSDcTOQJzFSinSLuvOc8Zb574uqN4cINRXYfmebZwX731wpYA7qewM0hp+uHXn1dFXjbC9Zr006
3UT2+sh8FRLNcBfp47Frp43d0gifaZauqx7adrc1FO3ADHYK+rpa2YWN0LOGE1fs0KVV4HukPrWN
+hmvIPwdffxkgFj26VUYB7hYt5rk/Mbxnba6Z89dJgA0TObtVRxVO/cZHSY+pB966koqWdDWuINb
fGsUSpgXy63uuR+GvjKBbyAbcwvtXIUZMph/oQzXZWhuB8d9mlNwR6UFvHkuLW87Z3rxmhvRAgxr
+sj68UQ49HMxVrR463Pi9fQRu/QenSNCje7DioG2jFpzk8z4ArL1Kdd02BhT/swOvO0r665TIrBe
qvem2N3L3M4nUSaIecbSIdqLBq7GtAvGbjLTvIEOaA5SeGsuh6gl0gsJCHnGe7vv8+epUATpXwhh
QmUdhO/O7rZQ0wMyGMS5olyDuU6+mpMxBstUz2B0tHdvXa9aB1iLciEOYrz2zOYzyM7thzNQk3oD
BpvUYbtc5iogjO6lzvTbutTvER8JQptN6Bb9F2Y/wQA7h6jra2/PTAnZvzrIQ6AFq6d5UZ6buX4s
UvrCojKCpkDv6sI/nXJ79SGpQFGkzi/GbLzrUI2Qrg4tzKxUymfk0LNfauQvn36op25/vhT+TzWC
AAXS1f/v/9PlXfD3d0UbNoyq25YmW3eyRvrxrkg+g2YuZApctYdy82qF023ro9v0vffH+/5CMPO2
9od9erZ2gMn2dZgcLXDZl2T3b4H7vcCVft//f4H7ONbFWFbf/rvzKx/3a4kLzlAq+egp6BqLSIry
fitxwRmCwbIdgH+2iqX6xxLXlMWvquk2lFZN8oF+LXGdn3CnStEdFN/vPeB/UuLa36kE/1lD30tc
VbURXhCRhkFDNj1+XEPaZHFuEnJ5Xa3kSN+E6qG2NnNe0XvN6nCykBZkUXExmyIPLcPcq6O2S5vh
moycWCjEoWCja1P80dCOom/e89F8wxft59VwmVftHHvmfk2YS+RKvfiJE7+Bsr1jAJ9v7bIkLsnG
pJgAcIuKsfFXTRSnckHWW+SQfdxyQPBgJKdxrN1zxTHgJrKGka3ClWqQvLTPNnNyI9JuEwQXTWex
U3jZKxQSqU6yr64FRF0fmROC+kivqMq+EkyNaBEZEdB1x/bTKdcOKBnOwwARJyofDaZIHLeX3vTk
tv0o2GzArMW72h5PtrWS+TnZVxAdx2Io4o2XWE8GjDOyWD6JxA77qZvIQYAQLjz3lhkPaFfsISK/
yUQWNlBHSEJEVJw5BQz/TnnxpPmiXptAtbJz0hEqLgdgTKaGA1xThD3gFcPE9spQybxPs1PeWtN4
NpHy3TTtHdO2sKQMXhztCrQqHI35fmFeOWcAfw12SEPDO1Ior5MZvTBpCO0Rfpw3CTotRfk5XZjp
Kio9CgahG23ObpaJt67Nxzt1jthjc7t8bs0DYZjuAKSPBgPegOkmVgmDoP6l3WALfxmnh4TRL/9O
w5SDPBja6nnkaUT0a/w8hR5jinpnpSrvjQsNCQFOO/E5ZJkCREZ1i6BeXBQii3GfuuikRPQVNjCX
I9t+NGv7XmE27yuDffbKOgKXBLIpaVBJpF1yr1D3Wyj6gSxzz5jb7NGNqi/MyIMqKtEv51+zqnuO
PY510KICHV1u75tIE0wPI3xj9Rz7yDBDw0QonjrcmuoUj3E60j2W6Qw5dShGTd0otkDzUOggSHQt
qwlMmwuO6jSvdV1uParGc2LxbrdFn/roGJkazhrI2p5QWAU5LZiehRKPPL0LWu6nds3vifZzfVPN
ABKlXMwQ5rtgj6txU3T1SYXye0amSPnWv6a2cwaWfU/QXOo7qUc4uLauu7LKOKOiDoXcUrEyDf1T
U7UP7sQHb4mYeL31huzAr9GkaIExWSRFuPejiPbCQE2jRdHByRXgNCz6DcLicF4pT0iHM2lm5T2n
bic2WQtDT1mXd1xLvQ+bN8b3xKMHpTsy3Q7U3N5CpseZVGB48Wx1l2K12S75vYIQjbIYkdD6ruTL
+zDZj/E8PeYFWvjZvYXsCXA3Jr1D6AA/jVR5ZtZQIcZ3tsk6hMky2cAYWwhwGj0proRweJTlnc91
OZq9ta0bOj9EOBmBrpjf9Lm/FKpymdWh2pLdUG1pWL7jgtkvzWD55NEvfFyMYOnTO+BFMf/orXgo
HZBfbT9ou4gOnuwb8XymogrEyArk5x96wQh5sSTqFFTgxi2U+3ZUv/UlS8K0y5SEUeep6dqbvsBw
AaPwW9PQBlNE2GezjXi2MLeVcKgYtSxM1LU7Rxp9tgoiKQlJ7qklnpu6nNU0DtWbWRZ1WCvswXHq
emQ9dCbWq3gfIQXd19ry3togwD22RjNHX0p4gU/L8rIOybVHi4sPQuYqpsaDyEqBh4D02l7d0Vd+
bKB0Qkp70OJW9+uVKGK1dt5jGo+NnRx1XlwgUmbtljo+Kfaq+eg62m2RISjsLBZ13kdvk72+dUN7
D3Ek3seFssd/McqUFACbw/jQuFoZdDmfL1CuwDUgOgpyUjdx2X1mnsJWQdpG4l3Z6HZIv/C4mP0j
ARPPuT68dC3ZGkU+vpjequ41XWiBquqMsXHmB6mbWP6SIO2sY2ZKJIQcuj57qGxjtzawyaJcexM5
SkSvyEKr8DLf9bgSGQ1u3k5/nuw70R/X6FWkJzMx7qqs3TAKfc6U8ik1Sj6aatjZVX2jNzQPm+L/
2DuP3jayNe9/lcbsS6gcFjPAMIvKyZK9KVCyXDnn+vTv7yi0JYv2vT3Ugi9w2YsGLKlYPKxznvQP
SrWSQ/NR4aCfK71z3gYmW1unMJMMcIEWHoTzGO3BSYAsVOZ0x1UeIy6kriwcv1ByHObjoFwxDDry
kdFlBtfcWjVgSbmo10V92pogkg2U1j3KAB3Y6yzOnGCpFiW62WVwqwzjEr5ieIznnrLABPPEGSxp
AVssWmh1H05GRdMQ9rb5ttxk3uXe2nBsaVqZtsDeZB4agUOjYa7YZ492kPgnXVoz1YXeZFi3YQa4
uyQxhixTjMOp4stotlR8zxai6ivPrucBQF9cqKu1W4+kmFoJpniUxpVb1fphi8kQNaxtIyU3DMux
71XOY7uYEzxCZpSoExnKiZobh5xGa9Pl0bF1uFKIrM2kUte+BFbOCdGiq6VX0sov9FPgMd4q9eVH
bZAfYUvdE3KEUF6/GmRpltjWTKUXrtXcI/3nbBb18UMfRDDXPX+pyiHllUsfIPXMO2SH2yVzknDe
0UgvEOEHgTJS+0mitWJilziL83vA0IruXgJCXEkSsghBaZ1pOaDQoEmUKejSG5afKK7Ej/CQ1q3q
WYscZ5yyMpehXQH1YF64SHs5Yugh5/QHqE6VortLazwX+/jK0IeZGRs3iVOcD0VIo3uMDjvdXKCb
Ce5SQUKY/oBS59dWpj9wuJ7X9Kensc8jEJjFJfbeCw44ZdnpdKodBeqbD8vQGmn0mAxGnDA5s6BF
on3r49jiRMO87Gueh86LZ745+gDCqnnS49uCiGgFSUrdjJXKkLljzh2A9VFs85Qk964s82PUB61p
lkhzBfE6xMq+ElowAFUvKXuP2LkrC5XtSdH5NzlsLlDV8UmnEGoj5Thw6yM3zm6NXLmDREuMSK3b
Su1Psh5eVxcw+A4l/Kocw/uSDDJ2jVJ8OAbrUi9Pes9bIG0XzZrAvvCNnBgtmTdN3p6MvT+R0+A+
1o11ESHNWGnDMfSRZsWMqZ6nvXmSKDaY+oSDUKJZZATozhv6KsoAv8njUVNqGnL+NG1NjALCLknO
NdoIM6+2EbfqAEG3vg5vqsHgFv0teoBJiuBoZelQVcpVpavZrJTDe6sjh7H75tzK4Vo5ZZstEaOo
jpMCUdZC6+icWjaHksvUyJWWTtKF5JxuzeYyYjRcr81aWgOWSJamnx06ZFtCRlgL8fhrHfNFi+M/
w1+D2uQP5VgZpEE9bKnG+LPXakxlxEuthTapLFCc9nscDrMGQzMU5q4/pw2wqjAicSxmDSolmWO/
g3fy77JsYy6F7CQzgn9SillPpik/SzEBwkFYi6mF6vA/bkXAP98odcAY6M0CU+jzVEEN/aRSGyCd
QxOALcTNoFMdwO9MaydY+zwAtvg2ZqO/pPl1RUyCY2HdDy2WyHnjrUqI3EUekEfZDNEa3TqVa6WA
JILZFjNenZTXQdraG/yFmtPt83PvVJLciFSDqih0s7NqqL9LYvBnON13PZeyuU9QbBzywswOjnpd
aHw64YmUF+elnBmzzNdGXIzMdlbjlU4UKXGAovNeNuV9C4YGPdthKav2vdRTzHS1MmHQsbKs+jSF
zEzLHPibUXRfsQy+ieshnoaRcqUZ9Z3HMGhJYLOXxDvzzAOMNYdSVJMMRiVpp7cBFpeBPqdLbdND
DgL1LBP4afDsaHSDqPaBVveqvE5k41GvkyUpyabSSQIEFruUsOoFnI0CN7/trBK5vGuYg2Y9VJZU
wLmBdTshg0cIrSC9AdY/lGp1Vo7BrQESPGJiP2OGBTjcMM/xdCbIgRtP/IAzryarG6XGW8BCv6oC
7bTJpdPxCXYuB+pkEFB0o7CTw1ABFWQIoDoYz3PJoAguKlq1huQDKOmVo9CHWhcKqHvhxSc+yefc
BgVvVmChOqYMDvh4OyM0yk5yliM4C3ujsA/LPFWXgPaXtgDYl6IRmA+xvYwsv5yFAohvtm4/NwQ4
H6I6QPxBXZVe98UFvx+D4zflBo+fFO8+ySmWJQymHneEiQf6X2UkPukFIQAv5WFiwhFIJAPZeVVy
l2w0d9pl7ZEMo8AX1IK+Jv+TykuzNc4ZMR16Ic1dUw2XOqyEpNZXjoLqfjSaNzVBV068LxU8BkAc
EpMDFWqDIDm0gu5gN+MdyRtsHDVfu1Z+KwlqRFx1N5IDWYI/xRhVECg0waSQkFfVVJPiRMl+JBWO
IUGWn9A3O4t0xO3roQdhAEWj6dtu3ts0ESyki9krpT0Ls0DF8dtZdTU1c6SV/aZ283AmVzmcZcEG
0aLwtkEbNw5utJoQZQveCHsNcwSYJHZt1cu0YsBvdECqekV1p1omHw0IeurkdbMkDLTZCD1lQNZ7
PqTFOLOgrgQpQRqANs2JJ14LBBcXokvUg5PiWbvStbU0/IhkUNQS5JjMqubUb+HM9625rWcIy1s/
ZEGpyS39RznKXx24NnIXn+bDACMeEg5FnD83Sa7AtJLKN9Um1sdkEgyHmLKu9cYRRaAg9fQwzm3Y
1KU9/FCr8psnNUddVl8gHndCKhZhLl7PRphCmoP2gCLIQ4agEYVNJIMRh1pU1vWPXEoSAOWdOot7
axMU5TdGuDLpD8ROVZCU+s4213UjuESGZFNe6necusXEHEqkS+E51YoNKJvpPAWBfVQJMpRXNc3C
H9s1eV87VWFMmX6/YTzAZEqQqeqiwgJbEKwqHa24hOSAmeW09vurmq6QgIvM497vZhgOqvM0NUo2
XcaWsM2TuGSkmvXuaRZrQgzTRWNG8q5cFy323LlyXH2l9YM9NaGqCQwBhXx+6nlKsSC5iO/KjmLJ
7dpjSbZUCJJiYxvhLa7HJIFtRyfN6XCsVP37PgUC2OgBmVa65kC/HPQMYiDaGjMCwAUgTBXwiTFr
4f0uSdLxWq80PNxNYHJ2uvZdatWoiDHlbC8CQwdKAq3LRXoZFddSmadezN+27ZVhhvZqTJt7FC3I
JfPSnaip6k/NsJAwjpd+ODqIztovgyWwxIt0yO5Njb1dxBYNioTCAgcksmt3TE/lwmG4khV3mBEL
ChXVUDJQ5moq/h4+Xc1Zxplt5KmMiYNcL+I6u28cOu85D1LnposBbNNE4SufEO7KaaehMV33OCTR
8GRNqbQOoczi3KsnFAColWiZAdZGb2/8IbroiInTOgRvExhUCAiE04+QBh43G1h0Ewq6kACb5tKI
LyOgv0FCiwHnTjo/cgeVNTJvjBr6bjp8NzLjPPTyxx5tAJzfwzsTkuekAxMJmT89VjSzOIU0dkL8
RxLXSleyohzWcV5O9UFt5pEAv+IcFB9WY3GjqWz8ONVuJdwh66D+3hXxwnHDG4K9fERbLJ0Q/w+r
wDtjYHftjNFKk6puYmF/iHsD3YgBvK1raBMrHfDyEDBcJubtTLWsh6DPqILKzEP0GfzgkNmXipsU
c0PIFqc4lszzHCOLNm7cQ7kcNiaKUnyfrbpgfn7dp7BgbVdaB563KRER95iL0iPMceBkBJJa+XkW
4YtEY9XDfN54yEMwqVhUftVlGh5hYZ7Ljfkl001wpHG/Gj3tRyh3FmcsMxJVRTbc7tHMNq1YzN+q
iMbCwOMXKjVUigFh1VH5albtKdozwRzfr2RSSpza/gAIP7QwhzWlcCOn6gl+iUyhAzdE+iQ/CgTm
Uq/L5TBiotloBmaecrQKETCYoqJIvBNQ/UJ102km0JpQ4L/7Ht3GwvbKBcIvMiVN287oNyLoAjNw
kMxbpqYKJAlcqpNCuvbL7gY+eDZJA2eadTEcCjwqvMauaRRmxUzV/avaxErUjevDxmuw5ZCdGyiZ
517cOVPEPrp5kktYfMJbm2rgOHpPiilW00OJzEmYdcu0t6r73EsgHRDPWS1CCA5YJuq8gsHbwfKQ
cvOHKYPL0GyCQELdFDnRD0vobKix+tAO5ZFDJJ8MlvFQtdYSc+4S4oGydlMtRTCo1ae9Gd16SYIN
ZV+qU7tBLVpKgHbcy7Z3TGKgQ16UsonShOvcKOGdNmF4qgYZkzg6TMhZfPXwA8fZNbxWSlhweSNd
WgnTZDXJDnWnu+3JuXD0HXMkzbN0XtR4cCCDQkshKvg4OnY0dlfqc+AAR3aRnds2/c7IKuIp++4H
cEfQBABc5lDaF3Lb3OUtW9cvlYvYSxHAG7QTzQyo7Az6oU2UX8EcRXrUUjTSy55zukxPer3E0dLU
14pdPzAhB50S1LdF73MGNfLNGKPXP8TX8I6SWVdxpFryPVqbPPzM7SDXYcfLWOc4r8pFKiNlLA8V
HsS4//DUho8OubHfmtTLffo4JuV6dPBH8crxUFXTOyrmGS5AN3kL86ciy7Mijj56F/gDO52FQlTA
TTbWUu7LH6ZPSmdlPT7r5HxtqNCED+9Q7j5EiHuGL+cGltJ9WDdnul6skwDxd4+RPi61REqtWOER
dNn7yrw3AMa5RXbVV84q1x1YlxJAv/AcafbpECj0JTXIJW48xyb2GCe9wybIp7Eht3h4hgoFqmep
0UWcjubdgJ8v2qkS09uL2KjzdjYI2REjl55llf9Tg4r52e9r0K9wb7cUoPzN3wWocgCqjCpSccD+
6mJS+Pc4kNpUxZ8T8zJTBg0HB+Mn4s1RDR0QHHNeFHDeI940DjFQyzahQxXMkn9CMbQ/jpRt6CYU
UsDYVWRGfiGC4GAYprEaYhFUu6AjbGTD3PK6VhN/GqoDmZ6SZtdBq8Rnap0kV1XjYjQmK6A+RleZ
KkjGeMCO60mha6cArfEjipl+D1aIuBDMglqVaYcW7b3TdPl1NoAgIHnpzx1a0FNgWdbUadzsWq/a
k1LGwrlOUSMIfJjUXkEnrku9S0Ah6bLBgWTuta4yqxTlJsF+bBWD/FiGjrbEpfpQG+xrr2iQMtRD
dWa2eXAWB30yxWcVdzCT1KKzv6SjGtwUjKVOfHVIF3Q5Uf6K0KNXWIIzpDrdBYMEZwUERCAXEIWs
E+ZBXW45s9jT2I3piHOABzgbk0FaqyGk3SY5bgooEw5gN3T2sWNupk5G2DL8fC03+jyyPHmueu06
KqUjPMe/sJonWcYkTa4xImDGmEzSyP9mtDqwIbJL/EhuvSK6FYTmOa7LQJC94KrWQcuAAyHrSlGX
Mj1vFY04o0lm8qh5nIZ9aq5N7DAnNVkfnbcQcwTJ8Ba+28mAGsavfNEhqOv8KpPcUx2Oic2cRHNj
4Fq59t0dqnOkLNpjBBCw8KyRqC86+xRSdjwZ3fHUyPhK67yfFUN3HiXavaqVt2MXPUguDjWZ76+j
uD8zOzoTFrMbROvgO9BlPcTNBd34BqZc5zlnZLX1VE0EAAR8Wp8AXENKllLY/5p744Wuw8ssLPjb
/ShhQRphKMK4bmraRWSf0SgOtXuBjxgOrbqK5jhNH0E6HBOKl9KbxQbFg28ZjxKINDySKSCkAXCN
y7DZCQ2IgfG6RbdvYmGQTZBTjjWL+XEs9BNcWYHXaNjBcjAiwPMYOCCKRTPUMNppa5cUBV6E6hvj
p8Gn1x8g9zDPQmchy4BVzGhkkYPKPURQGp1XA1hXxwaf4jCz0rz8Mk5TlPkC/bC3HaZsUSJfpz6u
Pa6Ow22WIppjYHuEyiLNBZckQZdTekDu40B9HtBlOIwM47qs3W8qNnhTvHKnluWcMhGLaTAb4L+6
RkYdyzyU7FI/Y+6ArCj0m2muBCYIGf2qjbJs6tbGsQxCfeogxjWVJWNdQnhaK0N2VOixclhkzIO8
GkV17a5S3DOp8xbwZvqF3gUI/ZQB+JqkXFYDjSKaSTO7iO/92FjYWc5WZ5vkAuGu4luUA3nvBfY9
kix7BnpGOfMFMt4VGHlmTPAndUi7je2etgU5SuiYQAQdvLDTluccRUHAs/3FoJAuY6wLFn8YcY8T
+HzmKfRrq0xfDp4Lel/g+PMiPYKWi+GcwPijNDOui1CRlrpgAGRFfmFKTrkYIQfgy3pHdaqdqyFt
b04/dGYC2ic+pAJJo2IQLAMTukFhhd6PCgKC47ONLyxICRg30IWHEQRV4Sls/Cd+GgSU38fP6waZ
0cctEZS/eo2ginXg2IpML1alXQo45mcEBWtjYP6JNYHDkPkdoMY8oKEgmrUC0/0sm/UKqDEOBNeH
yInTNmgcXflnEVSQ8N92cXljR4GUiQiqToiXCf5vu7ieW8gF3IfmdARFwBiw+QYrDDnsCBIbB85s
KONb1IaC6ZC5J0FpdzND6appmbbnWHAeWg5xt4L/B0SjmFVScIQyxclgASYA0nvF6fK9pcmCnXtL
WSbhUut26kk20gpyZdObJlV+xkjqtoMAp1b6HaM4lEh9R1+4AtboSOMi1iWJw9yHll1i9uJJuNTn
4RfDTr/lQ3bT+rQms5oRj2uaX8oCFEqf3taOdOumw5FvMiTTgpM28o8hkX+rMpu2kWOdl5rxEIPc
nCd8sAlShuYS1jf60dlXRj5YHIUa6l41Ldci7la2090MKr4iXt0tdB3LXzVkt3GuxACF7O+F3xoz
ZOWPqzq+7mgRT23PmBuRfZkFzncEKM9hsQ9M72nhyV5Yz90OPmXeQvhJH9w6++oW6hmIzAfGAaDl
o9KbNwzgVxXoGS93VgHgIj30vsUqxot5bGPlZAIs6vLsoVMcREXIdZIB7EOuYtw56ImzAKaPg6Zi
HRNp1oXu4iIDQSXIS2rxbiGX3dpznJWnGpfD2P4I9PDRSsprLfAQiBrvEm9MZrIgffIlOXKJQEAH
cpq5ZYH4bGFemG114jv9jzh0GGXDwslkV542JQD9RFZvdc+41OvBReEgutY99Uejmi3wYfHnBn0w
XWvuEtC3VQb20jRMandsJN2mDpdwxL/iLx7R629OVd+QJ0Fkod0gEBUytCKmkgvZAukAB3JZ1D5g
zigHBJrzraGIiCOjYTJEQGurGO2FGVQ4fFeU5nQf1sKmblaGuFSCn7+08AHrUmPRUAqCigRb40WE
V7nuQUsywwcgyRNnQOqc2iMP8VDxHSZq7s27crzKPIBTTWpTsbYLV26uRltbBx3yZ5YaI9BTuAA8
4zBnYBc9gKy+sxkIMYfP72UlKxHWdadl16PvKQcrkPcSLAh/JadSOJMsDKxlOVuaIIIVOWimlSw5
q9rvBmKL/ZiExTGd33aC1Ew+ZxRwaHrDAGysTecUZTdZYWAijhAoT2MyoYl3X4mZoVwqAJpHREGZ
3KhHegpio4dI6B3GquNrsyjqblUbA8p5KVV+8IVlcGsSZwufbjMwtIXpJnJ6bdEfzGZ6nYMsc8pY
uJTZiXXOUCeAKFUE/rlW9N5XXA7nVcwjNNF93T3NMZxEj5YmM8IEMsBO33K8K7+Qaec5Rn8hx9Ia
vdVAmzOD1cDO2DH4WdusisPGkl1ab0FfMw6XQYHNqkGbgry7yDKzL5ZkVepd1MlycBJjjss5E/vK
rDetB9lrmnAa0ZVFsKFjijTO3Ug3CsACquVdy7UVV19Vt/WocLVR9SlUE9P9FhkB+BRZBWo4iZ0e
BMh/wuUzApUZ4O/D5ZdH9M+3idoY/Nnf8dIGMCrUYhg4KpbyduT5FC9RD2HU6EDyfCtqox84gE/h
PunOE5WKKPsaL7UD8EsqqFVNthRYVv8oXopo+DZaCrdryiAhraPAvdAFHfbNzLOXJa8ty5RoKQID
KAevMpAOTJ7zqd8arigypLBf38hQUTmjY4t2jqz/EpaVGHcuM9RzwHCGc4MbtWROEysexpUNOQ1a
V502+mFVueMVSq4oE5qKfhvawFXzLLTXJSKSR4olGO5WafTn9KoutSEDGGoOnlUdtVFYad9aDnL7
vHOLtsXyDU5Mq7cBxYAUn3VhXCnzIM8zdU6TscF/T/IwN6ZGoLEUDc5csMvkWZU+GLHenVoAbs/0
Bv2uqZKD9V9kbq9N47ZBUFs4dVtBl2lncqvg4N3G4VlZRx2sD6pX3zmnifBoYPudgsOBTH9tURim
2IIbwh9cRd0Qk5kAxLy7cJK50SeH7jAUmDIngcDUz+Kh+OHb/iVt2lMFB/JGa69iYZ8HDiX8akXo
BAjvpRPJykvEoA1zHQeQPJ2EuduoYiYhSdoPPazSle768mlaFzgYtFRdwFANRAzsE2glp1WKhvao
2i0ot1Fd1ql1MyjSHVZnxQx/P4hMde2p6PtomJ95GG7P4ekFzLfEJRDqVSKzvCn1Wutnpp36l5XX
IlwJixOdIbm/0+GysYoqNXUV0SrVpRJ1RGO8LMzaXvuSopy+2Xvnzw/tOzi+mM//8iwLVVbFpkEj
WIjsmbfPcjGUhedRZZ2Cudl0DDiuxitrAv0DEH66QnCMgnKOEMYcRvbEWOsLbY6U9DT6F8+6AYjh
zX3gjaUJDjkpsCGSXSA87+8D39Gu8So/OwXNuB5iv59GGCQD5QSAxYTEmReti5aiahLQXFs+8azS
XSt8R2ZUIORpYRzjwua21fFb3WfOolKBE9R1vnDt8ZtlYB0bugwP3LG/LWKkE9WyGKZWhUZ6j1kl
gE8mUIbfz9F0XXYKzEh3BDdnu9B7ndWoIbymqkvcY5VJUaMSFDiw6pJ0xcBhlqGVNsnkfN513rHq
Qu2NUmST6d/AKw6Rrm+L066nyVN4grekeTdel61QZTsBTSoDss2XcsSDZjkF0ws5vPrzV/z+EHnx
WZNRvdUdIPOa88sh4oxq5+SJW57KbRIuOQjwESiBM0mBPzcyVKP04l/56W43SHnznr98m1KPtkkb
edVp4WlfDRdgGSw4aJPWSk+ak6xwGdKaAMgtJJiMmGY2Q8DheMRhGgMC4zgL7Ds5oBXdVtIPYjUI
tgKLVvNCdscHwyu+JR0WpkVa5M/slP+UsAbfwO9j8tfmfrOlgOVvXgOyqghZH51kWnhJC1uLny1g
hVhtyrhLQ/6gHqXsfW0BO/yEfjElrMqvoBj0MyDbB/SSUa3jRwpmGvBI/kELWJN/LWB5DyQuTFEu
432oKL88cHFd1jLK5PJZHWZ36OoaSzPSpCMVr3vGl0qOjAJ7rkl157SP3GqRIWyOMaW+LjMDbduU
aT4NFOO4LMcGteAIM/nOXLZdcxXbfX5SjtI0b2UdbNKD0kYAGpIOzQdE4EezO3RcewE0VJ7l1E1N
5dJRdYZkanX6TZeWKz3w02tO2Wbq5fmDieFq1uQ3paLnzKhRjjW94iEenGiWVUw/i65b9XnfM9/O
/PRC1sAQhTr4Gs08cs3Omded7E6TTsLCUBFmzTE4TbfeWI334CZ2t6AtLM+9IS8OkaRNUEaTLpGJ
j8+dulTQx8frAsNkWI+DZc3cgEm8JzFpSt0BMopeUkho36vABNVYnNp1wFTJj+4CVbuuMyefSaH6
mEdGP3dH76ak0ghoXDVI6yLur6wgx32n2E+R8/JXkYN2tIx6jamCyvSOwtG5VkKOXmMUECtVvs4t
8K8jX0Lt5/U0dpmHqrWxGZqqh0pZ3aE7xHmJoeykoJjrdPncjnVl5rvBReAw95USDLLXwyBjsIdU
mIxkmIx0GC3ho1ZoiWlhddmYTjnpGSxNxpIho4X0WGjCYbHyeGYBAZkUktSgLO2oFoCkOq6ilZ2V
yTxIK/vMUfNhGae2OgEgfKikhYNWffmoFi147dHyLiQBGBkD48FBSuK0GNQfMfoOJhBWhC1Q13dO
wcXiPZiW0cSNML6uDZgRKQXK2ouyMx8SDcKa9hlmHAiEmw7H4gDgJ8Lto1LoQ5TqKcI7KTPkkcwi
IM4oDb4mioFxb8/wlDn2NzP3v0QRBiBlg4W26kOCUrE9qTwWN4YOBRIGmRWU8xQ3u0/AezaowqxB
8lwodv4DFtO88ftlU/T2NCU7mcp1qR2acXGYm8m6rw38h7WzQYnOqNb7qRMzWpWz8Fbu3BsjkapV
HTnZ1Jesm7L2DG5bPXZz8inJBn1UFEk4aWT5MhnqtUz/tYjCyyDw5mYTf+3k8h5Fl2yqREisD8zZ
7TJqZph0iHCaAl9gcQ1dWrcx9himLIxenCFifmwdy4XyQKzXZlU93OaaitiXghlkJXhO9VjMhr49
jNxRhvoun3Zxd++z1nNTy91pagYFban8TkvzE4dhjmlnixClLZIH96GWu4VVCoxS3BVTBDsyJEma
ox5k2nRw4miaDsb3WrDsC8QYEzs8Llzm1kGeICVCihD61Tc7LI6YC90o0fhFkaoL7o/5g25MnM45
KYW5Ajc888a2wwg9wlSX+r8Z5cvK0b4NtZOfIa4VTwOUgdfwT6RDYO9MzQGHtFFxpSPZ5efRpW2m
BhY4oFxgqrvVoWtxlbH0jVUCFLh0YZCFGojlJFEvQhlolo2KGv2TCumXzIqmWB/CXAJzMgUifgYt
FoZal8Uz/HtAyHn9RajKiD8Y8gMK+C+Wgv8fxNmXW5xt6s08Bc4yXDSP5XD5WNGvqF5DkPjpE4H1
Ovu//dKfL/QXJTDvfD3kj//9X5vvSZDOgqoug4f6bRBGzYh4+S5oP93T0w3/6RLxhqs337m2Zh2o
hs65oTjy04vsPs7QRXv+MeUCEVpBn5Wur/P0enrDN2v0u1X48wd8Xs4//87vP4Homz8t0OH3//4v
5bmlwL/945Xgb94shXmgaXQHyGJ+uxQwz4FFi/E277V/i6CT9Oy4CDrTemQZLR6I1+/7w/PgcBDQ
cHj9+V4uhfJri+nf2RkfngcQaOgVs82eXlu2Bj9TVIWCag8XATPk/8vx8H4RrANaaDZCXdrzGvBR
3z0PUA9U1sgS2pp7uAa0Cp4363NP7e9j+18cke/XwBZcd5W+IYM28RI/fXtGqjDebSRNCY/7ugi7
Hwz0Wx2NwokmwdOL+u7dIhAo6M9YKEA977z9Ox1F+3jn05FmHKIUmvXbRaAlrcimzPLs5XZQnm9s
l+1gHrAbNAFoed4Ov6YMbAekFyjZRTW/n4tAh2vHJ8E5gBaDQCZy9U+vD2eCSvvCUJB429szYfdF
QCQULICDrOj27UBwoFJEBO/lqdu/M0Gc5Ts/CYbC0Q9+8TeLADaSFFshT9jT7SAoezsugi0UDxlB
CR7hu7DAYUAOJVwdnrPqvV2D3YODg1EwSQAh8rdHAiQe8mYxpdvPc3HnNAEFd9H+1Zmk/vog6AcM
F4ExMVt9eu3pGsjP5/UOARJurSVmZao4G8XrQ86s86ToGjnz8+mzh8fic0WzwyJo9oEFFRnA8vMa
iFLkw8EgIGXwR5+2y94eDJ+RMFkg8AwAAS9r8ctSiNTZNvhP2deDQd89TJI1WjoIQiHvJV6/1g/k
CoQP+ObO3iZMu1fTIDmhQijOx9ORTIkpk0VavafnorZ7gCQCEP8Y6r3kzFTm744EMLDIteEMu691
g7pzfKTfSmFE6YRm3uux934NHKor3QI4BOBWvPb0cVB2zxnVA4g4oEqol59eHx4H48Dg1DQUEkvx
2tcIoXzG4WjLKkcD3kjPr193hmhBOSbKHnvbV9i9zWYcaBhNUEc9f93i+/51a4hyE2zBfvZbkTr5
jJIaCCLoRAGwf/fpwVfwAwvgwr7ugw9Ohf+85U58BCdCiaA/7XjRu32/CPIBP2Q+IRQ+9/lI2L2I
kA90eq2QH59XYttSmMItgFnNnoYIfffMGVVYXSYpMn/XZROgIxVip7Ae28uS+qXE26WSsg5gwqLq
ZL6Ukx8yZx4VVEMsBeLpXm+K3YtKHbtSVdUAwz6HyV+XQrEPxNPAMfk8qtnXo9LYOZGk0UJeZLIc
vykqxWCOMS2Nx+cTZF+X4mVIsNsGobREDwWE4dPr16eCpYBQJ4bae3tKPH87uywCgtwieUTR7Tlg
cMX3oROCA3hbtN72NV5ou9fXT9UVAE/8ip9efNT3i8CmUJGPR/VnX+PFznk07UfdeSJqvnRaPnRi
5QOMMRlXKM/vtX/tR3X3XgOBgFH03zHzQw+WnhtPAu6gwvRuLzMHQbTYbSojmvEUS5yML0/Clu0g
Kg2wPHu7HXavqMwDTBGfaF3PB+OHmgJ0OnL/wM/3tfUmuoW7PQl041UoaTozyN8sAgcjxYRMX2pP
t4O2e/YIxZ69oGNZ/5tFUFgl8F6Os9/V5Uv/Y7dsQUWXCiTLy6xyy6ZAFlQXjKA9fR4EwWTHTaHR
gGQAhXf1c7bwa95IP9o2GFyjrLuniyAkk3ZcBPsAmzKTw+EF3PbhSaBNi3awTtt6TxdB3T1vtA/I
BMSz8AL9/bAI9BmEjAYixs+vPV0Kbee6UmP+ABGLue1LXfkhZ5APaDqhA6Lt7bBy55xBTPA1wd5+
Rb3yhP1aR5h0pfCw50lhA+5fCi0EZHY8GTQUaWTcSl/a8R/78TSmBHFP2dt5nbb7ZAaLbAvgqw6+
9+n1YTuIakv8x+RCvPY1UmjPD+ouOYNJNIT+DfTz70Pw/aZgKWSU7ug57eum2Plk0J6iIYZTIv14
9+lJFhRTs5luvyzPvq7B7sWEBVxF+AJQPj+/flkK+m2k2JyfLx2dPTwdd08eDQomNMWJhc/FBBv/
3fMgSAGcnMA+97XB8NID2+VIIALQbAfc+bvRhHIgCFPUEXubLOx8LtJlgfPA1keK5ulF0Hn/JGAH
jrQb8mz7ei6+HNi7PAmi30b+LPosT68P2wF4F3I8yMDu7SLsXkbQg0eTCKbQS+78a4xgho8JC+jY
va2qX6iNuzwJQshQuG7ShN7+JMhsB1VR8ILZ0xD5QQrj/wJkgDALdIn+8tPrw5kAKQBqiM258e8v
wr8RR/8mKE/9IP7+RE0OHqttDObf/cIrJ/fjz99wbp+Yx+9+U1CVn9/8J3X5f94xl9WnKunNT1+r
pqd3evn7l4/48c3fvdnr53r9x1XwWG7KB4QInljBLzd6uklgOP9vzP++b35lDIuWz+u/baFZvy0c
/nx1/IYeXy/0k44s5Ed+ftRfONz/9sWTzfesfL3Qm4tzuO588UlT19tunJvb+drTTbxp+Uqq12u9
uXee992vj5Z99eErpZVJi+oTLp7W5eavaVbV296CRGbnt5g9xn+dZuXW9Sc87nz9efzXLCt5eF6v
9Wb9KWB3vv6ifKzSbRcn4O188WX8mKav13lz45+xXVdNcp/F3+uPl1c+Y8MeJvljGWziLZf/jC17
iD3Nlkt/xo49eiy3rLkYEO/8fR4FqbflIBAE/Z2vfbyJtpxhgkbxCZeuqsdta/IZG/Q4q/7639R7
jB+3rcxnbNGTzXcO4Nd1+LmNBBNz57U52eBK+HqdN9f+jC0qro0T7ZZbF+j73W/9Mf2ePQTbTi/B
z/yE65cPj99fL/RzbQQOcPeLZ9z763XeXPsztulJtnVNPmOXcun6sXwcttz5Z+zU002+7Wn5jH16
+thuPuaOhiwmsDt/m2flhiPg9UJvvs7P2KLn8ebhcUvuKLpRO9/5Oea525I7MX7a+eKXAaljFXzf
sjJiqLHz9a82DyUlQVpviaViYPAJb5D+NXlEpHvbG3zGVr3aiDco0035fetBJqhan/IpZsGjt+1D
fMauFR9iwQ54CKqHbe/xGdtXvMc62xTNtmglACWfskrHTVD9dXYfVPm2z/EZm1l8jpNN/bjt+p+x
n7l+vflrsinvN9tyBiEr9RkrxXtMccLYcliLVvRnvUPZjK8X+3mmCgLr7m/gb7bWhPqnbGp6GFuX
5lM2c1BFOAg3r4vwZmE+ZS9n8WZb9iB6vbuvOolJsu2Z+ZT9W2/wK4o3TfV6p2+W5lO2rmizbInD
QhJ+56W5fvQ325ZG0At2v/gfncd/p0/IPvsbdvCnxtkfPXF2vzgNomRbX070t3demT8bFOx6839w
29v50r9Xcf7zpbe1Zf9GvXxs1r6qO277s/e9aPEbD/Hjpvyf/wcAAP//</cx:binary>
              </cx:geoCache>
            </cx:geography>
          </cx:layoutPr>
          <cx:valueColors>
            <cx:minColor>
              <a:schemeClr val="accent1">
                <a:lumMod val="40000"/>
                <a:lumOff val="60000"/>
              </a:schemeClr>
            </cx:minColor>
            <cx:maxColor>
              <a:schemeClr val="accent1">
                <a:lumMod val="50000"/>
              </a:schemeClr>
            </cx:maxColor>
          </cx:valueColors>
        </cx:series>
      </cx:plotAreaRegion>
    </cx:plotArea>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rich>
          <a:bodyPr spcFirstLastPara="1" vertOverflow="ellipsis" horzOverflow="overflow" wrap="square" lIns="0" tIns="0" rIns="0" bIns="0" anchor="ctr" anchorCtr="1"/>
          <a:lstStyle/>
          <a:p>
            <a:pPr algn="ctr" rtl="0">
              <a:defRPr b="1">
                <a:solidFill>
                  <a:schemeClr val="bg1">
                    <a:lumMod val="50000"/>
                  </a:schemeClr>
                </a:solidFill>
                <a:latin typeface="Cambria" panose="02040503050406030204" pitchFamily="18" charset="0"/>
                <a:ea typeface="Cambria" panose="02040503050406030204" pitchFamily="18" charset="0"/>
                <a:cs typeface="Cambria" panose="02040503050406030204" pitchFamily="18" charset="0"/>
              </a:defRPr>
            </a:pPr>
            <a:r>
              <a:rPr lang="en-US" sz="1200" b="1" i="0" u="none" strike="noStrike" baseline="0">
                <a:solidFill>
                  <a:schemeClr val="bg1">
                    <a:lumMod val="50000"/>
                  </a:schemeClr>
                </a:solidFill>
                <a:latin typeface="Cambria" panose="02040503050406030204" pitchFamily="18" charset="0"/>
                <a:ea typeface="Cambria" panose="02040503050406030204" pitchFamily="18" charset="0"/>
              </a:rPr>
              <a:t>Where do our customers live ?</a:t>
            </a:r>
            <a:endParaRPr lang="en-US" sz="1400" b="1" i="0" u="none" strike="noStrike" baseline="0">
              <a:solidFill>
                <a:schemeClr val="bg1">
                  <a:lumMod val="50000"/>
                </a:schemeClr>
              </a:solidFill>
              <a:latin typeface="Cambria" panose="02040503050406030204" pitchFamily="18" charset="0"/>
              <a:ea typeface="Cambria" panose="02040503050406030204" pitchFamily="18" charset="0"/>
            </a:endParaRPr>
          </a:p>
        </cx:rich>
      </cx:tx>
    </cx:title>
    <cx:plotArea>
      <cx:plotAreaRegion>
        <cx:series layoutId="regionMap" uniqueId="{00000000-126B-46F4-94CE-ED50A6E2AF6D}">
          <cx:tx>
            <cx:txData>
              <cx:f>_xlchart.v5.6</cx:f>
              <cx:v>Qty</cx:v>
            </cx:txData>
          </cx:tx>
          <cx:spPr>
            <a:ln w="3175">
              <a:solidFill>
                <a:schemeClr val="accent1">
                  <a:shade val="15000"/>
                </a:schemeClr>
              </a:solidFill>
            </a:ln>
          </cx:spPr>
          <cx:dataId val="0"/>
          <cx:layoutPr>
            <cx:geography cultureLanguage="en-US" cultureRegion="IN" attribution="Powered by Bing">
              <cx:geoCache provider="{E9337A44-BEBE-4D9F-B70C-5C5E7DAFC167}">
                <cx:binary>7H1Zc9u6su5fSeX50gsTCWDXXqdqgZQsz7MzvLAUW+FMcADHX39bdpJtDc6Wq+KHq3uUVcmypYaa
/Ah099eNxr8f+n89pIt59aHP0rz+10P/98fQmOJff/1VP4SLbF4fZNFDpWv93Rw86Owv/f179LD4
67Gad1Ee/EUQZn89hPPKLPqP//NvGC1Y6FP9MDeRzq+aRTVcL+omNfVv3tv61of5YxblXlSbKnow
+O+P7jyNvusqj+YfV98jf388mz8uqvkHVze5GT5+WOQmMsPtUCz+/rgyDPn44a/1b9vQ7EMKypvm
EYSpcyAdQm3CbfT0wh8/pDoPfrxtYYIOkEOZYFj+/NrzeQaSu2v0pM/88bFa1DVc2NO/G/IrVwH3
4p//eg8elvdiefcDAOLvj3d5ZBaPH27M3Czqjx+iWj/drGpw9fJC726e7sxfq/j9z7/XfgH3au03
LyBev7H/7a1VFP8LwoD+vAWM63cAWRxgQBkTzp9BhqdkHWRHIEkoc1ZBfpNS23HeHGIHqDeF9gzt
83nxHrNZHBDJCcMEPwNN14EmB0RIhmwBj8DzIvI8m3fVZzvGK9I7wLvy+T1D9p8UlsfH9wCXHwjE
BBEOlU8vvgVcAJ87a9i+QaPt8K4PsAPC6yJ7BvJRViyqaJ6+w1pNDrgkwmb0lSmM7QPbsW0bc+en
wX45kd+i2Xa0N0bYAe4NmT3D+5+0iPLFO6AtDhxJbQfb7HlOi7U5jeUBh5dtc7a6YO+u0XaU1+R3
wHhNYt8QzuaPunoXhCksyYgIAHDd6eKcEEmR3DaR/9lZoVcAXpXfBeBViT0DWDXGvMcMlgc2BscZ
vTaDCT6wbeZg8MlWZ/DOCm3Hd1V8B3hXBfYMXVenTf0eTpc8IMvACFboV0IncoCQoI5k9iq8u2u0
Hd81+R0AXpPYO4Qh2l8iXJv3wFkcICykpJRvN8SEHGCgQWyOwUS/dLhc/Ta9XkN7yyg7Yb5Fbs+Q
9xbph3MN/Nuft84MH3CbgRleYr98bcRUDOY/oxBTrQVVb1JqO+abQ+wA+KbQnqE9ST94ugJn7M+j
TcUBJ9KxyY8AWgKlueGSSYlhmm+Nrd6k2nbMN4fYAfNNoT3D/LaKgL0d/jziDB1wCtw2t51X5jc5
WNJhGAz86rL+BpW2I70+wA44r4vsGco38/yDWlT5vHqM8veY3uwAgyuGBaXb2U/MgR5lSPK1VMbb
FdsO+Svj7ID8K5J79gBMIQP0LsA7MMsxkGIYP8/y9XV9yaIIG/7gNSd9d422I74mvwPSaxJ7hvDZ
In/UD+8zu+UBXpJknP8gRjcylRRcNe5QunTiXnrob1JqO86bQ+wA9abQnqF9mC7y/M8bbQqUCgGb
LAlkI1f9MwjCpMAc8tWrEO+syXZ4V8V3gHZVYM9gnTXZN50+mj+P7NIdEw5mbBNZsN0OpgjSW89L
+Cq+b1FpO8QbI+yA8obMngF9lA/v4YY5kKckMIP5j5zGhjVeliNIxxFijUrZVZ/tCK9I74Duyuf3
DNmlP3naRPWHi29RXbwHyDYUEhAHSyaefe0Na4wOHAiigfbe4my/UbXteL92jTtA/5ronj0FJxBs
/flFnNoHlD8lPJ5JErQOPXjbSy4VQ+C9uorvqs92vFekdwB55fP7hixUJr5HoZhzAKBBDQmzXw2k
HHgPclnr0O6q0CvYrojvAu6KwJ6he6Nznb1PkoNR6UCF2I86wC3lYRzbDoNyz9WZu7tG2/Fdk98B
4DWJPUP4dJ68QzYDAifIVWCOoKbg6QVR0nr8JLGNHcHX6jx31Wc7uivSO2C78vm9Q7auF+9gdSF0
YlAlJCR5hhZtzF1wuOBtJpy1pfl0vqtGr6G7Ir8TvisS+4awrj/8kweLdPEeFpgdIJsQKn5a4I2C
MCjxZRRKimCaL19raYvTtyn3CuJbBtkF9i1ie4b9MnCYVvP8Iaof9E8T+Se2YXAgRhDiEBJvd7yg
/IDBThRb0C3h1C+NdnH2t0O+cmG/htkB9O2Cewb72RwSlL/uyjO3/GdQl5xBchL9SEivT3ZA3YZ8
lsPlGlOys0Lb0V4V3wHlVYE9Q/dm/lBBzX5u3oMnEQc2hxJfoEmeJzYY51WXDB8wufwDEfWW9fxt
um1He8sYO0C+RWrPcF8+1IV+l6pBfgAhFNQdiB/e2haKRDqMCwjEttHdb9FsO+YbI+yA+IbMvuG9
qB5gh6D7x/dQ8gOKHOkI54fx3ljGwXcXWILLtnWOn+2s1ytYr8rvgvSqxL7hrCEH/edhhlpBJpEE
9utHLdFGdhId2IxAHTiG2GwlAb2rQq/guyK+C7wrAnuH7ruUkEBYBZtsfk3hjUJQILUJAe8cFux1
cHfT5zVsX0jvBO2Lz+8fsmZRLd6hDBB2uTvc4Zyi14hPfOAA7+nQ9b2TZ1DdvatOryK8OsJuKK/K
7BnSt4tw/h4EN5BksC3SAQbllUIwCKhgrw6G7TjPjtkae7K7XtuxXpPfAek1iT3D+XzRzt9lKzQs
xg7hgqIfu3I2yFAMKUjYksPkGtG9u0bbEV6T3wHhNYk9Q3hJ/5xBx433CJ2fgijOYX/sK6EzTGYi
oCiQrU3jNym1HefNIXaAelNoz9C+AOozeI/EFYVN77DtQjivbYOG3gc2bJR11vnu3TXajvOa/A4g
r0nsGcKX6fxh8T7boMF3XmL8vNl5M30FKzZfNj0gvwjwlyHU7nptx3lNfgec1yT2DucGOl/9+SAZ
UtCSOhy2WP3wwDb4TgQbbgRE0XStFP8y3VWj1xBekd8J4RWJPUP4OoJuUnX0+D7LtRTIpvRHAdhm
BRgwYtBrCqqE1oLlNym1HefNIXaAelNoz9Beuh5qAZvo3sMRg4Jemyy7HLxSFQYtDhgiCAq717zt
t2m1He8tY+wA+BapPUTcixbBewAOPYgwpCWhD9Fatgp20GGHCthi9+NRWOXClnd9Z51eh3t1iB3R
XhXaQ7CP9bxs3isNDWgzAhUGT68t0TSRUBQq5XO4vSXceoNyr+O+PsiOyK+L7R/20PFCzatv83fp
AMqWlSXLGoNXODNgvh0pgDWDJidPr405/zb1XsV/yzC7PQFbBPfyGXDT93kCwFuDgjIoGn0tf4kP
oDAJA5225rPDeg/3fme1fof86iA7474qtp+oV834DoEaNP7lwISjn9nMdVMPVDk0LYOitHUK9Qfo
O2r1W8xfjrE75C+l9g3xcP4u7Y0gMQIdBMFzo691ACYH4NYhAXu61pb3nTV6BelV+V1QXpXYN4Sj
RfUuZhw2TTuIwv7Z5xqTTYINHcCbYOjFdiduZ71ewXlVfhecVyX2Duc6iQbd/PmVe9mzikIlMPnZ
Bxg4ltWSQnLgQE9RG/q2r83laHedXkN5bYSdcF6T2TekdTp/UZTx56qDlyUpQJgvyxaeXutFhEsL
zSRM5w3aZWeNXkF5VX4XjFcl9g1hM8+jOp0370GYc9i2g6CjhfPani1IjKDllg++VgMOJx28QatX
kN4cYxe0N6X2DfFls9j3SINBExtKCBzF8CPY3vC6oRBpOes3ChdudtboFaRX5XdBeVVizxD+otP3
YE6hnzeHvhfQUm7dKIPV5rBrC7qcrBrlXRXZDuuK9A6grnx+zyC9bYAfeY90F+yKp2hZMfYjd71u
iJe1oXLJkNhrDtfuGm1Hd01+B3zXJPYOYWjznL1LI35+IAU0B4SF9xVnC0GATDAWZAPj3XV6DeW1
EXbCeU1mz5C+Bze6eZc4GRr6QhRM0WuNnp8mM9ShOGjN33qDSttxXh9gB5jXRfYM5S/NN6CP//h+
nGWnQAzdIKFY/+m10QYBWvJDCwQBhNiaLd5Rn+34rlzNDuCufP7/AWR/r+LKBS/POvvn573dslP2
rafUQeNWOEPBgRTV9tV5maPC0NYEcN+Wo4LjxH6drPdqfP58uN/GOXUvZVeu8fkSf39T3ucUutdP
qPt11J83N/PJ0yGBLw6p+/27Tw81nG24JvpjJ9MWEH/1YDx6/PsjNOWksI8Zfvfr/MHlQCv7oP6z
pfTno7EquQDy+++PcOYghLwEmpQgQNSmEgEl3S1+vSUcAnumf7wD35dDa/gQTjKE5t4UQmkw0PAP
gb08Hz/UuvnxFjSkYsu+kbB/XjAqfh3keKnTIdD5rzvz4+cPeZNd6ig39d8fIfH98UPx/Lmlvjay
OQdWBrQD6oURYsM3FQ/z62VLIrgR/4fGbV6Puu8u+lQglzVRMaVtGE+KuHUz3ptpbSU1Vb3N2i9d
nJ0UdS8Pwd5wxcoocv0hqD0/F/g6CJyJJexMZUPOXQdF1gky49z2yXguG7PonLKe8DgJVJH6N7Sx
nLO8TUM1tLScFn1bnkNPxUkchPcm7CYdyqNpJMVxZsgxq/D3pB/uuzA75iy5KNPK45jMZBTGSsZZ
qKKMFl6c4kCNA029HrHaDWQTKmY7i5izu86xviattejasPS4P2Ru3w29gt5Fj2U2BCpB1rlBbePh
Kh9Ul3S5aqXzbQhZ4kk488hNeWtU25jIawZ9H2b6ijjBxNFVovjAGrdsTDsJqsMmOAuiI6eg12Xt
nNHUX4xppob80sFF59EqOc+lMx37+FNWUuUT/yHM7dvW9kOF4u9DwAovSsmVqIZBiWZEkzao77Rl
iBoaU7hNGqbT3qS9KiUtvcoZbrLA2J7hHZvVAsUuTcNqgvKGq1Gz0c0iPLq1H8uJZZzaYyaYJSGr
VWbRw6ax4msbp8TrSapVPLBY4chuPVtb9Kwqk0hx3bVuInBxPFrVta77VDFLo8Omr49shCOvoiaa
sia2Z40vh+Q+DywenJF6zD7FtW1JlWZlAbevHd2eOp1q+6ib5Lb4Xstw1oftRWiqxKVZbfiZ8U0t
v1b2GD1mqeaWJ3EqZxHD/tSuHXzBUdS79SgbNyBDPi1Yp8+ykUR3ohP3lYn6GaT9vyZRn7l2W0QX
HYuJZxVNNSWDuJV5d0Qz+7Co/OYwHXE6qzC+sxofew3q6KT3x/yw7fLgOmNZqXhN8os6l16J4F7S
uj3rw0HfwhPA3YJx7cZl2l9CV8p6IpquuA3K9lsNhWUnPCGt68ThosBh745sQJNI4nNLaN8o1PRw
623scmmaWdX41YxUTnpTOmV60Wqe3yZkMF6Bo9BtWXGrhfGMcSw1NqNRQWTPeidPVONbsRvTRiuj
h4vOSN+1aNW7WaLlxI5Id2IcLKZD5DvHZkDz3i/cMuzuxcAKl+ZoUDooYi9gclCkZ9aRZcnuaxJ3
ncrH0vciYfLDvtDJQ0LtepY2XanGUhwnXdjP2tGISWXkyLxqLHzl2LK66ij2T8OAijPRDuc1lGgo
mVqDy3UEMzNrq2mPRO8Zktdnlhi1qnGCVGL34+TlYacra9yDLoYqCsIf59X++vF/bnUG/z2dfvqf
Xy6Pu/3PT4cLvTwtsl7/0NIe/frUf05QXa7/v45TXbMqz2fmvmJyfvvmm+zRsvnk6/boucR70xY9
taz8aYvg/FugX23HgYTKhi2CXf6MUQd64tnQvOU/tkgeQD9yCrEkkTbDkGN/aYuABLKhXhJYQEDU
kW+xRWC9Nm0RtD2HRgIQvoKPRIGbeGmL2qFrmWG8uzB9m7jMJJ90O1xz3baTVAYXGS7jBx21uYoG
eksNjd2WWv6N4N13K0RT4thMjdQaVSBKWAJToTIepJOo8r9VQYLdPuUVrOH5NZNpcIik9g+71j8T
cNayFxb8W0OjG6cdP4WZcVySmkaRgrm9DrNZwotjWtRg3TjYHCrz6ZiSG/gurzO4UVXXhB5pBqxi
0cSuPzpnJpF3sHcvVHkSPMa1OGOVf4VYfxEG9UxzXKi2Ha5IiNCUCdqqmLWXPeF6IihxFCd9p7I0
cf2AqHEsXVo28RFiJFJdgWc49LOpNLD2JBFMxmYo6IQm/qGTpJXSNJMzv2C3lQSTNUivoXTSFDVS
ZWVHbpQNRyOOmWvyUKgAjfe2fMy071WkP6trMLGt+dygMXKLuO4Vo1GrmsFPldOCQbX7YdEifdRi
PuXU4kqi8D7AWaCksNxUpKViVQYr1TiLCb/oIn7OWeAGurrXlv2taYYTrpNDKxk9h3K3rPFR4ydX
ZKC5CmznWsAd8iMeKEtX0y5Nzysmr50IfUv6EakeSazA7oxK8u4uI+xLLOQ5KXjnmjZn06LBtZI9
P8GxuLVSmrvOiO6jNk5Vl8cnI/Xvir46LxrrJKgSqeo0XTAr/Nq31m1Bm9M+7K8N2GfkWJ/BOD6k
MraVbQ+tWxUBWNRUiwmpy+98GG5QY0WqZPIMYDrtYu6VVez57Dsu7IlP4HK6ZpwWXNceYdGNDuOZ
EwutUMAPx5jbqsr1V5o7X8D2DW4+9HPWdPB84bJUWQBrfGv0KW7TRx+eSFnRzGNEH+LUOW6cYaYd
89haYK9JSG/tOjgMogiMhF9eYtQZhZO29+B0qFBV1hB7VtgINVBRKCST+9jATRpzK1Z2WNuKZeTa
OMVEFtlsQFklJ7XJi2M/6IJz0uj7vv6SlkcU5tyXzERKDyWahQH4BqNhd7ocwquhq+SRn4Cfo3nd
H7LWj8DQdcxtShxPhia0VWQV3+0YDNVph0uTX/mhHw8TkyXleNfaOkqU3failirwE3aT+7RIXCug
9xGL9YTh5gaaGYzKH5jqc2Z7smu9VMSxx3N5OBRd7VlYCM90VXocgXWeZK2PJ0VHv+jWjifjCNMt
DeGRzjvjqLCv3Mi2qWtFmRcI2d+IoneUDsOLPhwfielVVAbCi6JyirrGa5IMT8Ye+5PcEaGXiGCa
cn7eM6ZMEbkjEp8iO5+GwvaVEeHUMeYoElRVaPDSXl+mUTMtWsu4o1Wf6KIulNWaYxbmwXma9HcJ
c27g7uLDUrLzOq4u+7K5k4mcVZTlbuB332qH3WtNP2eIp4r4pRunNFNlOY5Tp4vu7bBnSo9Z6MKJ
Iued30qVd7RzkzA9Rd14CL8lbh/FhSqN/aWwnEKR0ppUNPk+jOVdEfP7oozO0op9qyAYcFHGLxwj
j51GI3DzQ6po2WE1mMBykY+/oT6+FiQ/BfBK8L/HTpmE32Vt28EMoca1OxFOShF4zmgxcJ/lqOKk
9LSByTTA1OMjXGdIjuqgbVUUmuu4gVWA4GOE+YnfmNPETivwkLhRaeeEym8zqWiUparhIvZYhseJ
n5iFFY5mqmUZT00jI1UU6Dz3pTVp02aYkRwfj4E/t4bsNEzGO2ugROF+eLDaMr4Zir53q66bFTXL
IWSRiceD8qHTKFJWhQpXZ/ldJJyTsCgeopEbcDlRdtvn1czKyR0nTeb6BaCRcn86NAnyhC9g2eiO
eFb4nu80syIG61CYB0k6puoshWetzprOVikKrOq4QnhoFUqDfMIcWU/rJ+eXPDnC/+sRPUXoy706
r3tEz4eObnpET9suX3hE0CIYwl6IfQV0E12JzhGBOrNl3yOYH5ADexGcQ/YEsijLo5bgDL2V4Bz2
CYFDBM1xoCk8PKFvcogI2nCIoNUOglNCgAyCQ1+WtREvHSJd2GNiD359gVJ6m+j6htT2Scbqq6Qv
YgXeUngcINVlmM3iAdb5LEn8qd86YA37xleoLCCOGWAF04N1jdg4uuDmYNUxWATrEV8ZVBLFJIyV
cx1O0rjARzKoiCrC9KbieQxmQguFdX9mlUirLI8Ltxtby7V62/e44fEkbYmlKtOV5yjPbqFzhX3G
2zE/jQkxSjukhCW9DiYk5YesloESre5cJwwhVK/y2zAX1EutDCxTVR+VhT31hQkmdYKJ4ixbjGV4
X6HUUimxZ5paN9aYYOWX9dk4jq0a7eAbMG2xKu1mcCsNoWV1FONTHNDHNpxX1DUymGntB17XNkSV
YxPDHUlSL0/7xCNjXUyKIZ53oy5Ub6rHxnTH2BQduDVwQVXrH9WVuBwsXkAMP7HG08bg456Jr3bs
HGkUMyUHG3mS26dVUF1GWQ8eUwuGVvf4InGqFBysZoIFAkgor5UJgvqIVwyp2s+uSdCxK2mFDz3J
r+pcNCd+SlM3wiGeklITVfMWT6lTNZPC12aSJksXI4G1uELilETh0dBETNlV6MUiv+6TOlZobPCk
pBl3RQ0cgiOzfuIgXk6C0rQ3gUHU9bH8FFg6VhCbHZYoPq4TfsvkOMdWkB9mQ6IMMpO4DaWnSZio
glahKlgx61BLXMeUx9C4F1yIqjyUNIvdxMc5uiyYyW+EX8IXV7UqEn0xsuoh0p0+Iq11CQ/4XOpI
qyoO8uMwwZ+rsj2rQtl4lmCxF3V00XfNogXfalqbHoxVLfwZ7+1vGUxRpUEVN4mcZBp1zY1Ngvok
E+i4jeMvxShPxhJ4DluHh7qzTsthKFSNBJqawMdKJ36nqro+N/EI06e9DQP/WxlyMcup7FVsZTf+
SEPVk+ZTSflRUgJLImx9DEVxKTg8TjYVdX7kBPZdFaLwuDW5o5J4vIExu9OytVu3l1pPTOBUbh6N
kWqrPJliuQSvp4OLHN/xsM8+1Tqu3HZsGlXXeX5ck6Z3e4tzFQ5RqdI6BR+hr/XnAPnBLA/D6jJ2
bKk6oHr6fMBT0WT3goyxCkw47dsYq5posHy0yCd+GjeTOkoimO0GjGukQ6VjJwS/vjlCo0BHpQiP
OPbTQwd0UaVDBwXLolEiqy/r2IxKl/mMmXIWW44XayAc4tjEbpFaGGYaM66FSK8GFnJPAu1nGM4V
h/+xmH0ZB1Lpur3DfXxiV82xpsO5ZNVNy9tGjXV2GFp+ovLMHyEgwudt39xF2s5VOoSXGWuukgDY
iQQCkGz8XPuMqwT8X5Xp+N5pgQHs0Wyo61sjHIhimhwpBP4QMAz9aVKXE44qPc0GUStS9Wd+Ra+S
fEgnfYcnnBTHpGlyNdTNd2b7X6MAXzAdn1ttcVnGvHRFW3/zfbtXTTJ+TkMgO1kpxCSPs691xgk4
ncDNGQJcTMhOeqvQ4F/AU2Oe6C66ZL4i5uT0EKrbyCTU/bG0I+39rwl/MuHst6TGc6HQpglfSr0g
2KH0f7mhk9rQ731pqF8Q7LA/G0N3QoyhVEmAu/DThi9JDahbElBGDj3Q1kkNypa7gcG2U9hLRN5i
wyEfu2HDOUwibC93pEFXrmUxzUsb3pKcmNKSwwUc61hPkZXmk5qhOlEJhcXyBCjb3lawhliWa/t5
cdbB6oaAprRF0qq6GhvwkJF92ud9qdqY5Kqp2TG4H8hNB1pPCTby3IFFdgYUenFFWFUohxnrBFht
+7CO9WcJwb5r2eghL8Hs4HC8yiKdKL/TKZCjbapowC9GkbZurlukgoInLqzao8IioKqJgtzNM3KV
UCs9ajNwJjLfnqAqtGcWB2tnU78+wkmTCyWd3HajIrlmWCy6pLzRbXRaZF3lVRBQH8W91R8HMk3d
0cjiAjXOVyCWrmUJo/g4OYO+ox0EuY1X93nq+Z08QwxuDSWp6oP2CiXjfdYUdzIuT6Kw/oqAwY6L
DJQdO+LmIj5lNlD64GGfjYV4HCWwJ8OQwAQn7cnAtXb9tCtdqzGZCp1+KoF7T0JaK1voqQ9UCrfK
s5wUn+NoSf/SwnejMKsmnT18GyNyjqMKfhDFdRQGqYtiWorLmgprOLQayBmAywRsDQK6vKy0J3A1
qQp9SHg/RbI7JMicNFhOcTUuRiGiic3bk7y3IcypuABrMABR1NSFy7I4cyvRFTMZSK06wj4VTXrW
WDTwSlZM2p7YXj0sfO5MCCmMS/xgPgz594YH2uOJncO6POopRiY9Eym59KsB6CQHgvYiLq7CapyL
svYVNlbghql23IoBCZA7QOkQcx/H+qpBGVKOA06QSOPpWE7tNKvckOaHDXau+i74BPyAVCargUQx
qddaWTsRDjyuooYIOEoC4/FhRDOe5tFEZzUEp4FvJlEp7ws/vkyyoATixznxO1F5Q1kDLWxHczSM
AbA4es57Wrl1b0VebfnjzDeaAcuWJJMiYJHKSAOrPx4Lr2cBA0MY3HCfwzOlKZmRLIMsgu7dJgd2
x+9HCyJ5HirK2ElqdVfAx33JOfVV3mdiAkmF08whMzjdybhtIC/6vK7BGyW2y0N8hAJUK6fARtkd
mIA47S90bx1V2lRq6JKHJm4+xRn9VgzdZcya3sNBtoBF6rwiQQaUoDhvOxtNYiEq5dd5eyqH+pIW
9DFmEbgnRTij6fCti+U5uH83UZ7GbmaPQLYY8A4tO5gKO46nRVA1YGycL7Uur0gQpmCUk0U8tuVs
IP7h2HQcuEoLHHpWp0oGS6op6GBSR+nEKpJPeac/4SoET7Bl8wrFX3OnyQB+bVSh/UJFmp41WtzH
lXWCg/ZYyAxNUG9PnBBIIG3HbqMbtwXiVsXS+mLK4ZDH+lRXEI53vO5UGPDPZgQ3IgmonLUFlxDn
ymzWYXjwylqyC5JoYXnlMq/z/6NZfGnfbNiL/rug9mUG/zn7/5TGfZL6aRExnD+3bLqP4KBvG04K
hQF/WUTYILvsM7bMLUNctGw29cMiMijAx8uekWhZdgBniL+Iapedu2FA6OouYNMVGMy3WES8ZPFX
Ms4SOtbBuR0O7AWgsFF7zSCakeqibJr+HDgqOWlhakG0RGOwOgnv2ivHsofjuG/zZIJQYr7A7G+B
IqvB/NUyLz+9uHtbEuDLs37WtQFjCQcFQcjOlqeArZpnlg9FIsOmPSdljs+DZMx9YJm0E7o9OKBS
tR1rvvC2AK63yoSBhSuuIIftjzVnLrQJyh+lMegCxggbj6QpvhttS+DDwbH9BR4s3E9/rzHZyNiD
PwMdIOH0DAnuBIQ+axpHPARsB3NOezsAjq0f07sW9lbQqeGDtoHx7zGEU9wXauTOEKkhQfQQMnAD
9qpWm8ewr2vsAiMLhsREuoWVPESt4pWdBJNAx+Fl0sjjDBK0tQdVSfK+DsuTJO3sfhLVkLaPqrDN
Dn9/VZswQMMkxAEIB54N+nTRL8oQ+GAFnVWk9XkOfvW9DgTE/ywh8GgUedNfdn0lbwofp59//7XL
Z+3lswjMChA4nEoCzyL8tVTrxdfaqIeEex3k57kY8TlOwuY8r4EcFn54//tvWs9tLb8JUmjADMGh
kZIvfdGX31TkDKjWKtTnokBsXna6Sg99IwaikiKcoLJJR5eiQUBemdpd9t8emnUvFK6SLA8yZODa
Qh3F+tfDvhzwWvIsOudlYs+zuLHnSbrUwR6zeuJUWqsBAfSHXVp2wJMkmi9MKuujTg7stHdohVza
xTpxY55nd7QqCPVCMQyLAgIpD1kjEA621Kya2dQBp/X3d295tvEaUFDkBssGJPAJW1alr94+5DR2
btu+dYYbP5tHlakDha3E5ExR8H6C4y6Mkm/A5RenPXBGU0ezPnIJbvl3w0fgtAcwUy7Efe0iqih/
bO0i5Me/V5I9FcusPE6UUXiIlr0FoJWfzaEk7yXITiUicIwNPYtZWfgSEhIyHA9701M5NW3TuFVf
oqs2G+xGhWHI3QrnhzWpisOUFcRN0jK7LlI76xVPwc2Ceht9NNQGLLVdFndOnQjPL3MfLHIcRyqC
DGin/LjOz7vCqi9Ka6STIMAyVtbo55lLWshc2o5Jr0kcXAZDTnuVNrw8N355awiUgHgQXMONjIb/
y965LcltY1n7VeYF2AEQPF4OD3msrLOqVHXDkCyJAAiQBE8A+fSz0ra6ZXW75++Ify46oh3hC4er
KjOZJLD3Wt/a8LE2BPO2ZcSikFY8TN4qMgcnHiX0ZqvdkuaW8EDnuBzi6AFP0Zldk62gNvSKTbpf
+tFMTzPxUG1ZPcW7ajTzMah8/9lwapt9FXsUnhFvqs9I7w8Q/lvjvc861kXfj/6x6dr+SE2qvoil
h0PRM908ibRycbaYoD4N1TDnK67DngZ+emcsdK3ADmZHqaMwiMOY1vliYf3mi8+rUo9sKOY+veOV
V5OC0m46YKvxbd4SGWXJFKuPThN+9oe0fwrZFO7nVHr+bow0amSQPeUIo2PbLVe/x3OOfPJHZb+N
dd+HOeodMmdt7S81cBzZ4eGwtlzrZU52Q1fxQk1MH1r8KLqiAA1BtOglzuQopZfHlY1B1oB9yIJJ
VTmbvFbvh6gp62BeyZWlCAoxQvdErReYaccmm457x2J3EzXbpqoHABmTBlck1NoOX3jFfX97G63n
YtBQ6YClvPvFX7Wc2JDN0zzDGpka2G1QJ4TZ9guIrOqoB4FCVIL9eSKxx45yZWyGaZeqKoPLB5Fj
4xq2WltV2A8n1VhTRo2tST6oiVZ33KCH7g7NGlterE6l0000Tgx3lK06Otp8xl64izwuq7sFj05U
5ybpE9xwrBn1rlViAB9ksHlVpVtElHsVqEl4RBVpg7yDQqpz6IO2ghEcK12OFaqCXdjWesuTLcSK
2foN2CvNB09lywgW7X4UntZlV4vkmzcvsSAF6fxpL4JkTm5Dr6qrU8sgXKOubd1otvUwIns6cDQX
PNZlNS5oeNJhBH62qkivBwJLvM9Df1Uihxi5qv0gjPByfK3+q9frjRaA+Bpd4F/i3SlJvBGXvG3R
G6AMPjK48Kps+BQ9bvPE2E56nU/P3PIxhnzGfT7tq2Hp2ydsxuwk681vdnOPd1B2k6q3MqFuS/NE
wua86GTFre3hURmKitL5NLAwVEVdsXqGF7rg6xTxiPqk3STbvqoGR+gVCd6ALtiquTlSIoJDLeIG
gEPTGFaITlTFBgs+zDw79Om9rCzYACaM3DLdyw0YX6WCHe2rOsTbTeO+pCvfuiMX1NZlkwbcZtef
y2gq0ha3T80M6DoBDmNywnsHUAf7IRN4jtBEb7/qo8kSeOx5Vdafb6M+XbuiTc10CecWW1I9xg1+
IdUMV6sSnLZvoLVafjKrVm43WjQSZzrV0zP4rvBT6CpdZQnFzbubWxezcow2gTc/U6kLxUwz5omt
SkGFeVPWorKQtVyexjCyn/uBs8MS27oqkyYkftYmFf5OqDrpdu2w0NvN9Sx4GKeQPqNnxk/YyBuT
fKJr7MrF11IcBuf79thCCvXvhBenLy0x15tTSjPuYzXy8d6twZTkxFh8Nxwogi66EYvuGTtY+sIS
grtbY5UcIBykrjuCg6v8eznMTfPoJ20aHF0g7XyZ3HQtPvnq7sPGi1zZWY2X7rqrGeJ8PW170sTX
D39962DZru+r1/Q2CFt8itmEuFS86ZotT5sFj06v4OQ/tEOMR36YURXU+H9YU33AIXeGBuvQZqzn
AD64Hdx80R7vx0yQ2TgAXTFh5boY/7po4GHK8YmwgLiUXuvkqdUv4CDSU7IIkWQJD6HFuLWOPtmW
4W24Qa6PbHIEMgLKXAlnvG3kU4LdYj+2hN6atDZvgI8ik/GAC//UJWA6zxXv6qVYh9jAbo5Xtu99
XNYcFsf6S6Oa8N7NI+kOhqxL82ojDdxGV56G1Z1e1xBhFFCdCGPBSuGvfNz1kU5fPQKgRtu+hvIT
YJlbB8sfRTeN51Q3MixCH009lr0QyvTC/fRlkN5Sl8pv8ZhsXsXSY9B21HzVWJDXE859x7Nhryt2
KUMPV9Qt21Jik7HmTIfZj/IqVdOCnZZBc4sHI9+HdEmfvRVl+mlLp4F+mcZ2BahJabwchYWSVDoN
+S4PbB3VR2j+3OZec6VJQUhNF7fG6kkuo8mSeDwE2i3hYbMRvpyG0HHb96rpuksbueDGm0jQldy0
ejnXq+0BDoSj5s+oRMYvJG2xjGDpHJes4aMFUGOXxGAXWM2Tqg0VH2m3sQTuGyqw9UM/MS/FHxur
oeSx19Qnr+rtZ14TbwE2O0bNUaSEPrirmrMfZjOKUmwzblLhT5Ldu0Zt4a2OeqUy0y8kugSUBy5f
Ud2MpeU9vjWbtKLOhi3WAiLTqErqmBuKRfnJsN8Sg7u/CVwdF2u1khHO/BiZVwh39FnyAfcadjpo
T6qG0dGmLcUC6/ep3CWaA0l185sPhDOhWdMs8YfQb40tbFhPwSWoVLI8mmpMB2zuuKPLXrCrIkbc
6m4Em5ruJh56zu59R1R0rFwH2EE459WXZvBA/OqxwpqBamyeLkpVeP9D2tS7kScNL6wj5LiaAM/9
CjtZZEHF48uvVenv3PzvLe5vzPeP3OKPGOP/Cw95Eb8M3dh9m34GIv/wh/79qEmGGvzPGYG/jVb8
UYT5nf+/Bmr+xgmEaRRispSP1AaDAvI3SQUp5wCrECB6HARPUrTr300GjCXCEBr0XZh8ELAYPc13
iD/CqfE4SSsGOY6oAWyLf0VRwTjSn7ojTDcMrwNvrv0dUIXrgR8/9h3jvIYhtlfvNg5hxypIuQKO
Z6uiNmuh9O2aeD14Y8ByyfUD2P00XwR8AmuwQK5TVyg5HbeBohKXoBdJFHWZb9eqMCaxKETHzyi2
X7AjvvfEXNaZHSEsJFD21VAGHVqQnn2o02GvqQZTjHbD+dLkoWG/RFTkSxzhiWTkISUe0PqkAvom
h1fi4m8ugA4vbf+kffkhplfKCrtPNnvxVurUfAzmfi4E7QE2eHYnUXkXpvN2rWlmdH/D3jao+4IK
9OQ46xPfYiuKsOqAFthQekXlgvdeLd76ILGCLTvlqNUMNuUEjttI0ruM0qAu0t6HvWzTXU8Hea0j
dekD+s7NysolbG3WePJ+luuUpa3KdZeofCbyyxTHXysSQGcWSZix6VYtH/yxi+EYWrRL6QyUaO2e
YkebjGr/XarRy1w6+CUUmiUfu+UcVeN4MqT9bHwuB0AJvCMlcEMEGSId+A+mqWGa8jgs7No8E76U
TTyv2egAHCHk8LENuhct4u6u31x3g8zEmqP+KNs4vWN1f2xVdzvSca8HvlNpfAK08REqBWC4hq3H
LpIomAJypADcMo7PjQ3K+XkVwfUmamM53s9rUk/itIDILHtcPtRZlZdXlum7KiHP4D2Xne6xcqVR
fA60mMAOWCNemtHzVTkooMgltcll89cHMm5NRqLRIKkBjnLoyVMNBLYyqDG2gd2ZOkWf5R9gDTyE
Mj5Wats3y3zgZBuLZarh/uo7ly573/krEhsLzBJ887bPuAzRa2r5GsbdM0iWvUUgQHsboNRhPLi5
fu7b7Waw4mnQ80cxAaB1EOWl4n0emXDINsH2Dmr9Dhqpv3PxehO1HTnjK5fZPMuvEoDdMuC9eXDV
SsZseIh8lDBbvGdb+O4P6BxaAvoPVg2gs0eNPvW4hlN9w7zgScz2c+uNaEmfh5nSPDXpQ81l0WOH
bfvtNET0haTSwnOX+1EMB7FKsDOMXTAE513Ptdh7cbTrpxVBBNODVa5FTr1owx1qP6UV7UqibbFF
2y0IjTsOHhEF6bkbvaKjrgD49Jn1JCpIJZ+2mt9ZGryawd7wkL4oQ2hJ/HVnUHzlovFuK5LupW5v
Z5DFGU/bz0sV6JLZ6iZFrZCxRZ2Vwo/R9GynecrsoI9JPd+AijjjJ7fSOcZOaG/hCCRW+TsqphUc
LnrcRw6oys+8qH6TwkcMRAKdDsm3zRsPjVjextTubLqUa4K3wJL3KWkveg68HERDweicTxM7DHX/
cY0hM/jX4I4NopvEnx8TalRBnVX5MLCPYh6OFkKe8pYq65Lggcn6CBHswW9Tka/bcgkXC4k3bPdV
OyTHdOgPvIn3Imlepd/cwPn5ELc9ydDOPU48KPxeXXgLGZTMr40OngaB70L3yy+BxqNGhotYfESo
9HysV/DgUiwH5ZuzSf1H3CSnbgYcy4fpDtXAbok5iOp5+ah9U2w8ULtlJNjo7dlL6dljBOiL9Y7B
GhzIEOymwRz1Zg92Afe6NTcunfaT2h6mpZmyWJsLY8PZ9bhlE/iWelQf0D6/N1bcBSY8TkPwdQz6
E++iI2X8ZRnFU5iMzxihqrIwqnZLCChkST43BPKLnlHNQnSq/OFmndpTu/l4wqi98K45i619d4o9
AZ5nGcQFcGGG5DIiIH7FDlrHXai7s4iTb/8nFcy/X21CUSv8eW1yvmbw/r4suf7S97IEUdEAh67i
0BAK2fzX2uOvTg8y/vQ6NiuIcRrUj/hihAP88E98NXsiDLfH3/teloQ4uRe+TAxcASd9Yqn7V8qS
63z0P2i2mIsPtwiHhWKoU8RI8JMaSis2rU0fh7d8Qzjpg59ypcESrJoWnHsIVSVy9MVlTBr2se8i
Z/bEqgfY+jnoSygWg3CTyKeYVFG2Jtg3jrobtmKNFxZmczhKdPpjdbJMWZBOqtuah043r73Vj/B5
3531pzxm7HaNWlMEbSjKLXYiqw3/3MU8ynzS+td+GxlE4uVumvdpK5tc+81aWDY+cVp97NO252eA
fhtQbq5r9wLZfESqboaIFg5N3xUoO1yUdzOel0vgrdFhBeovAlHtfAAHJZlagfp/6T/7cnuvFxnl
U6SrnPbtbkQYDqSxPBjpHUCbT2iK28+EDXKv0FMWW6A/iNr7xb/07XrpkEVER4nLozagBqp6piZ5
0KgY0nXZy+2BTtEHu4yvUVKXQTuY9P+mlfh3exCv57T8swfxvxWCYl8+/fwo/vZr3x/F69z466mZ
CXS/34v9vz6KmEcZwz8ljP2MEmNSBwpEFPQBGCb4tT+0CDgxCBEouB4RxtkGqf8vPYvQBH5+GJH2
wDlTEB6gS5L052xV4mqTzgmf76SY+lOi0uAytO6ctAqV+jy8RFoXRk7Noe1itX3l3Wi8hxkA6WoQ
m4AGqR5S3rcg/deHqQ5O3ai7nVGjyOgGjj1uqLcXagmyoOe7uln4EQo1yesepCE0hJrn6WLanY57
NT+tdf+WIk2JSiCGqAiZEJShD65pcd52CvvW8Spfk1WcZtUUwBy8w+QN3+q03eBbkmq/0g4OCm3S
o5rr5aVHH3b2wYZeEtbCIBBP/cx4XyZ6JSjqE1Esg0eKeEnbomMbiGMl/MyPgCMPKGOaeJhKU9M8
nPxpF7r+NgmxRS+sS3eL2lzmVRN0R97aw2DHWzqOKcJT5m2w9c1KbcmR8/BHH7hSfbbbBFpQ9sC2
oJcgDpbkdh7nssU3DBLam0q8WP0N9FX0vm5yqXYmNDyDcQJNm4/0kA7zI2/YUyIR4j32EfemB0Fb
c0BJmbeGRwcTrmP7FE0kHTI+V/GSsbgK9ozaBZGeKvzWVLM9Xgc67oHBNMWm2/tVjrcRygBU9LeG
+Odk8nbdaE+ejopugx5hWuSPQdCK/ott/UcxpW//2cUhBSBICav3z3fxq8JwM4vxv+4+i7Hvfl5E
fvv174vIr/s5Wnl4+5hfjTzmH2SG68HbGKyHze+6jvxNZsCuneJ3cBoRhGLgHj9s6MFfgCDg1wiK
A7COOAPhe0z1D8JR/bX7/b//64dhAfg7f9zPQX4kYZJi/SCIffo/WdgDEMwRgYj6rlY1uOOzCPj/
YvMi//iH10iwpiYYTcRCcCigUX6lUH5UMjTtSNqr1YHEiI8tn9MdtHU57GLtLpD8IguXYx33WHJk
GXk92nU6JeGTjxwWoDtE9y7g6WBbt3VlLvPgwQ3UM4vMJYo8AsMQUkldkJ5CYBgtKbvekh6BeFhG
gxeQvXMwx4au9kuL4Wf7gQemHDsr9yxCM9Au0T3s73rfw+op5g5xf+HVykfuv5PevtWIETy1w8a/
wXhbdoyKapPA8IlXpmoNfImdG/9V0h4RphJuKmFPQOnQd/XGmYfJ4V3AndttHoUb4/hH1sMocnxA
N+6ZrEmbI1vMHoLKjZ0jioXTu5358hI27Nmk49PQbDd1u7xEoW6zJDJd1ojgxgwBfEVzw7k80rpu
jtCfRVG76GypyhKik2ypuz2y9eDqkNzbuvWEpuytl3LNlYqjjHTmbhCRPKQtv5kd+cyjZkUyCvnN
oAo2YIL0K1BCVaxpWq6QFbIpxfpaB0zvJufCfcuq7WzW/rxU3t7pBqu5qPdahUMBOTWvt740Vly0
DVlZsQCREd7vt204VoN45KFRe9kCbKy95jhsXZXVSI22owNiyfVTN0xnzhCX9VYS/QLRf8zXobY5
jIOdg+abOSrKAIMPMi9pCwQDj643FxugLKOS47LCmAmTBGtnLcOnMMC2xFwwHwDog4usUh/AK9h3
sk4XEyH6AqXruGAcxb5T5GsQzV+oDpM9pA59ZqmGIMWbUDz0baLRjwYizCnUFRpT75Q2ku4xpOGX
xuPHLcLECRp/mLi3VxwlbrIOSLUl+czguOvkYWnbXYoBBnKoypF6uY5sc0A/vU/s5BeG4cKHbQz7
cnmlG1j5Pqyvkc/3LVouHZlYJgZ3ChW53/BHF4pOOuHZFtD93HuwsulXz3NHjIi4Ydhe0/jFVe9d
sp1ivSW7UNblEIcfzEYhDLnPy4yZA1MyQeJpbuCF3teVpDnzmyirmvRN1f4bnMa0GCy9SYO2zm1w
Z/hh1QHP+TazLIRoHnPvOXHjh6BZSlc3rgh5fR8sEN+IQKGhF3GeuuYI6Ell20Jfeo8/J4n+AOQe
OSS7i+v+G1yQk0m9E+z4LRtldDIy3atIzVfTo2AdhQ40B9NjYOUJn+8cSvKOWSMS6VcFkaqDEOaz
Xt7qwDUH52n/rbNJ/HFMOjHAnFqrD3qqmkdXId/inKIlUttD5omJF8bDXirVBGx2WufM+KgoLB6L
m6UPxe0cbFA3FRJDYz730fUJw7E0HcZ0YC5IYqrk84ayvOBh9OKNflQuY3QLHKFCbKMHgRWkI25m
htTvOqvzmgDOrf3wcSJkuIYvTVEvPYJYVJ6XDiM/+sZm0iKztIBe2sGD/RhFTxLffGFmpA5jN7an
hKnoUvXQDN3Wi6yJus9BLWUWIbKLRw4KZRA+k7pvcB3XZl+v9Y1EshK4WPXQTN3n2aW5rGSRSGS4
Ko88VRG+Zda/j3NTbp08LHL6Fg/2ToWb3NUVgkLMqjdfzjsexe9Xz3dORmBc1GjQ5kifwtBKMglx
bazCYl0FYqxxKY3/RUeT2/cmLGS7vC2s2iNs0kOUm9/HCaHuAV9zY9FOxa+0HV/gEr+GtNMIessn
p9abNrWHyUAz9ax8rfkKtwyPqHOXpdL7WlcobVT0OE3bHYjfN8fD2w4WdxIsr3YbcmoR9Im3ZQcO
AYsFGXJ8G0j6Nu+bETC/ZLQPZBhmThmBeK841qPjJXBooFph9EQ3fGujgsZbt/GzWcRpYtGUj4K8
YSc4mwqsvSfaeyG26dDJ+jVcDWQ8AlBKsxLLTeHN7sJafHrN45tkjg8ADBFCC9/SfikqsEt90tyx
MDlAeAIpXiEk7jefPCC1oRUHgGMWkZjqE5maE651ITbXZoAHT2BJHsae4G0G4wlYwmEIo/cKMs+y
QjVHGAwxmwKmwoY+FKi5Fvwe8wm+gWEHggGthwQSOs8mLmmo9gbIkG6nrWja7rDUoI8BCq83yF0U
SPrdzIN4j6ruTAaGTLrfTbtWE5p1QWDv4Y/wLBlqVjbJ8LElHDgNSe6AxYNvb405jzQG+c2d3mF0
xS8CcUAMXam9j7aPcL/A+y9XgjkjLBDqCySBuPAZjDtI4v4FFEX1m9wEH+sflzl/RM2uJUgagAWM
UIVgRAVgRJQoPzCBtAmp1m3l3Ur5IWpemvRzEO5/KAH/QSX1v73EtdL64SVW3MVRgxkut8SAy47v
5v7Oyft//hrR31VS14+B86NRGzJYVz99DB/TKLRNRX0HUQWL49023Tj37HnFP3+ZP4o8v10tmN5I
t+C88QCDpP74UYCLrixulvpuhvJrJEdhiOfQfJiDe7vQLBrByoe/gXb/vy3NfzcdAngJboQ/byVw
fvs/6B+uv/PX/iH+S8J8zPKCEQjY9CrtfRchrlPlYDSSACFn5J3gOP7VpsSwMaSjMAIswIB26HT4
Cr8LghAhIEqgHYngef4ak/oX+geWXu+5H/lIwOgYVAh2F6IkjlT8mY8cN2z0czhHtzWDH2Nw9wIm
6RJugsJDxAf44VbNUJw9P+IK5XwVdxeMpED7PAu5ZnwKCUItsyB6yvwar1HnI1m9oKy8OcCIKzj0
CEgxuH8YkGUnOYOhnLXXFxupA09nTeyl/XEMBjhg6RJG7mGWSPihMOnqXRwOXj679hXen8iBqx2m
9tdoDgZ/mYUs2SAw2GSuvXFXzeRZtj4UlEgh4IJM7koe21UM2KHhFCFWce47fW5NdUOte1lH7L8u
RuHa9xrl11HpGoRdjcoHVbUA947iVLnYZiLBJIy5gnG1uO1Vx+k9xVCy7Cq4ezMyY71rkZQGg1VY
nZxAVn3xQZcWAmbC5EKW0VqdtSDYSrr1fuzadWejJcqjGTOzqsVMOYs3VzRTpAqytlu5hkOIFsAv
STivBcYwmNwmyxcvcIjLiDqfUf3kuqJfHIZB5dBcd5KYg0BFnmuqbmTi9zliUS9ziIlq0tgb1AYI
i8AMQYXAntBS7Uw8+7uqqXINMC+rhqo/BhwQkwu6W+l3j8bYvIr7s4CdxZ3E3LXEoFwGgjOrzwGg
twy4eTExki3QghSHG7T09Smo0Cz1SYQKfcMuNTmZDaprdskaezuPTSCVNrrDOBx5g2DRHo3P69y2
yCp3qdizlYkCLtS9iwdAF+mUYyjJaZnRAxgyvNbdijuxCc/rSp+mGvlppzCgx9FD08pHdFg3ImQF
OKsZMalNlBWoQOSjvQo7d8Vz4tJ7EnYxyj72tVN0PNAemnHYdrchbac9R1vUsuYD6IAXLU2GOMQd
sKoeEy8alEuYOZNfg1dS6RcbJ8WKIXkzYW+knxHwkuF+serJNSF63OvuUXE4S4Cr8nWUC250n5/7
fgCUmCKBxa19bWOg2tKfXl1lX2gwPgcjGpJ62PYtT+8wpC33ZJIF4fTZxSiVxtYC3IwbWO0NLboE
VACb5qdKwrztJJ3Lbq1RAgX1wUzmcY62N/Cx7yYcBUaMrNd5fMIgOx7QPCDzh0WQCNNoAoSSI46K
vDshBPCp3eC+ktr4ud/RpzSMdmIInvuR7D3W3VsiAOUI9oTtJikSTjQaMu+25sFFxL2Xs0bsnFCv
IojbfUvXT7reHCjU+jAvQ5B5PEnz1mvagmGK3G6a2jfZmgXXR3R4yrbknIKzx2w5ssfwo+HmGinX
FrZv5aughMoSZRFoAzWud6ADvg4KUmA3mNs+jjHupuKnQTNVRtR9bUT6iCxXnEUIC2ZUOTjz2/rN
LhoUwYKhUhjeFOR+Eid5P050r2J7DSHOT1EFgAEn4CDlTL0ONwB8e4PsBgB1fmhq9yniU1tOUduW
Lkovc2gu1Au+NgDJi86pIBuaFTcUKOvNI98GG5zrThzWrUO4DdpFBNAzZo3N4dijIjPLLnHeUvhz
9Bg4PzjWE8Y1bRJLCfXlBe3pad34Hl73GQGNB/SbZ63kkU/mqeLm2+TSsWgtDMGuuoPm8twn1xFY
K9RNlHLROcW6iLWxw5OrWBl3s93LpnttO7i+scVgFYW4YVhZhCdrFMZisS/piNlac+fhmW57/HHR
vDnM88Lj6HbNjHyfTliXpwAad83KX3371V6Bc0C7omzX4Mwj/eZWXFGazk8K7XBZLR2QPIAtbPRe
kDn6yusJVWwTE0wEC49k7DCHJXjfBvJtobgZ+jZ67gd8YRZnBRahmkYsEa3ZGR3fLxIgNsPcgGsm
JVNqATfcPOKjFpjydbfpINiFiIjn9eJhNpeKbxCSuYYhyHHuGpHPVeKOgYUo1VcfeZxCUFLiq7aI
ylWBBXJit/YwNssHdBBbHsWgwBFvWdLxNzHtP1USQbjlz6uk/1a9aL/+vc56/a2/1kk4YOpasEao
QVAwXcXU73WSjxl51wIqxKy7aw4O9e53nCvBceD4B4dFQw6CTYp5rd/rpOQvGMoGSxWWJ7qHa67u
X6iTcP7R39VJPobg4Q1iDH+APBRe6cf+oB5iK8E/qDuPmrdaTABdsRnSNTwqCmlPYqscMRMEtFdG
FiwCrEa21NzaBM91ZTWMUoGeG6VKPlx33zokO4Lt2F735QRPKMKu6w2ZqiLyoCEIOr2I606usKVf
1bZ88YaDasZPOnJ1NtPgS+WLMe89DVUidGeHEqG51gpJA+cDcnUZrUuY0WtFgaloqhh0eMVOZviv
18oDIzBhel6rkRZliQ9YrfBRqMzXigVU5Ud2rWEAu37pSHRCeApbz7XOqRdUPBqlTwgJCRNq0vst
pa/LtTqS1zoJJrLF/CXUTvJaRW3XekpfK6u4OrJ62iHzXWUGuClgNvey8foyxe25R3HG8Zkw1wPr
lkYA3YqmWOpalw1Kuor6z9WqJhg/s8b0FLBl04gKsG88bJIoCjWDcFEl/WtyrRcjstZzjXGjRtRP
ky/7dzDeL+sWYAJnMt71DAuLoujApBneUeIeRdvsdW+jLJjDLgss1MaZVX7Gq+TCa/+FGQygmIW9
85ACLJtm3go/3OpyS8FQ10Pq7b1ufmQe/xKqqgMBV+fAt5pzF32a3Ceg9Lugjz6NK+v280D2asbs
nQGWePeSUt4+KaL65quoty/W8ceNYc5LPPdg1pqBJ8mngcrbCvf3Ea41ObjJ7+78oUrvAl2NpxVT
RoMUVpaNo8M0YK8nnIicY4joLZMbIDDRabtHEufVthDqheYX5rqvoHP9A+nq1GQD5qdt/1nnfgNQ
r0P7/3yd2w1fx3/UD/466v93bJViXYICAAYjhgP9a2f3wzoHNwc9Hw4HwE9cQ8Lf17kYE+WRXUsp
wzmLf0wCh/CrkRuOMbP6N6r1X1nnwJX8vM6hsbxytUlMIVNAbvnjOtdohbQDurzbyo2nejLL/7B3
ZstxK2eXfSI4MCNxWwBqZhWLgyjyBkFSJJCY5+npe0G21T79/+0I3zvO1QlREsUCMr9h77WLu27U
Z9sDGFshrShWmYUYWwQXv7UXpbuuWsvfmowuiSka2kdcLbMft0XqoUbb1WPkp0vEaH8Vd5TgEjel
m3ywxpMbY5WAzAr6wwLBOQLdzrMzhQFw/lCgGxn7UktvnVPFj2kq9y5XdeGEPRqyFoiTVC4pnGtG
bUMdNLkSvc5VF9+HYSzt+zibnXurEG2MOH/tR+w+Q1ZrhblaPNlYq7Zh40K1bmEIdvj02lj+6M28
xbaWji8pyhjDb9NyD886gVyHnAwPznHsrQcrYkAYOsUPdcmeelOiXo2rT11Izqa4/8DwIb2mS0Ak
Gh/x6kVgjXWxe/3FnqYffcz2wYCHpAyKr+SA7iLJaWhWleaLeQQeVDhmoJlUWKEhWDCkb3pkPaLa
uyYJ7uBZkb9013lCgvfFMFAGbc4PxRLdjeqS8xniyH7kz6cXr9K32cA8gexsry7uiHSY1Uqeiac6
0/RtWaRIkfG5baZE38cc2cUwNH4+yoMRMzG0GH1ucKEw01fTItBhKwfcLUej0m/hytoDz4Q3x9T3
ZTprlNQUt+486QeksqzKevWXWrq+6NscD5kVopJF9Fq471FcnmzXObWGu7p6FYXhgAsvAtgJ7ubt
FCq/oBNuM3U6cC9cogbj4RA2ftUs9p5xJ+OssPruSqXZ2HKkNVfyzzF2J3+Yi5880owh3MHZA1xJ
tzxeN+avHTPi8tKhP96YS3iPKe5mUZ2z0tIewgrKS5+hXVSnxmJ8PLQezxtbgfJnn+igW6Pu2PEJ
dm2/RRYgd3DXFzqFugyWwjzkw3ydautFa7uL28mnhH2JJ9X2Rx7FD6tHxq/UnkJ2ha3YbICGuHmY
nfBJHdXbUve8Iho0ZiQLCGOlnIGdh/dMG/ZzFioHeqzPplZiXzWrdDdbIaWz5mbIF5CGRFa7A3Jv
+liClmNZOdcEV9e2FBZdRl8YXj5kjEnM8Wyl2i/kFUfZCwqBVt7ZSdXgGHJOCBK0nQr/hUu/5tYy
QZpqyTu0xXE7u93VbcyfAyBfD5kV7fac217cG9/5jCgRodVDv1Rex3h8WQUTzlo3Y7lZvI5SWl9r
amWtrsOIiUFLwZ3N+rLrHeentZbiGp/wsFbnWaMf2JcbviHEOV4reHut5dW1qh/r5Cop823K/Zyy
P4p5tsfYgZhHSyBz915fewR77RZG4KJ+vXYQNa3EuPYUKs1FSJOBeO0T4cChHhlayLUPCRX9y6Qx
adcOJc/zH/nas+g0L/PaxUjamZK2xlLK2YKigivJBHQ/2chWReWgwFdnDMz1hzGiX9Et7tEVSLe2
hbYydYjmy501LB+Nob/WwjX2rlpMm8p17pd+KJijxcI3G5u+1gRLi/DmE6ZVe1Cd7jEuuszDkp6B
fi1nyAcso/PYeKts87HL2YyOGFW2mK5HHzNa4idVhYRPqpeBqiFILeNrWCAMF5Z9lyT64A9h6ezT
tMBhoJjgSDCTbnJ1NOizRsibvMkaPoS9Go7WRU4WpLS2nnyh6LFv6PXDWNjUGcLpAg27VCqLic9J
QnEzZl9ayezPSVzd5c54mPPwLS+myc8V1Mm4M5goGTytSAI+badwNpBmlsAqwi1r6HlvI4c7lJW5
TWNd+rFjZ1shlnzDecgcJKnfGmHh91N20RjuCHmJb7GCIRUyrQs5bFQ3bpejRVCKcmNDZLzZgIK2
Tq0dcDueE0dG2y5PxK6tB0iDgDSYts3zMe77XymAvW2MSeqoVxCrrWrpg3SKin1cFMvzwhzPpwpU
tpaI0EMVfK4RpsKN1Q0HXHLrRFEsXmZh1MrcY+guJ0UuObLFqmGqttxwN/k4Vx8FCvHz0gIPjvuF
gdEw31d9/FToCBdTVijbymDU1cdKA2Cg+7RrpPM5UrbdJDq8VlrUwUlC6qRl8X0n9XvGaqqfQtve
VdVyMrrwDJrQh/h6PzRtGhhJrfp6SB0rnebiWsmnKPIPOn0ATI4LEx6MByQd61gaYg5COxpYOdbY
ClRmUH36XqbKfdbIxxQOIZt61Q6SRrM3jVl9ZYvzHeUqwmfDbBGBmvyRUi/8MUOTgLt3M/TyErp9
icBCHfyxbkKvDNMTC3d1n0xJ9KNmeCzH8NXWke/rvLqYh7+bvHu1DIVmortUA4+y2eWfoaW7Ab7V
FLdp9gMMDnxjCe9aV5Tbolaqr2TyTqugGpUIoLOGSmTd6FswZD2YY18gi/dOH54FiRIoKOZjFq6J
AamySaziJZ+by7ROpO2Z0WfDzpEP9Fi32gmi0i+lEt/jpDAIgpCIF34ftsmXUIZt25fdrsVn21b8
6lgqP9RExYR/ylmvNL1zqNr03e2TD8x5HlxhdZM0zqGX4frUCEbidnNcWiZYuHxJxoBcklTtaVp4
niXC7q2um18G/eBGt5xHmUR8MQf4kGtn2WTaxqRU90BIyB2V2xsV2EFOSP2odPC42MfFKnM23PJq
12ITuuOLZvCHVxO7vDA5pfB6d0befZoRjEnmiV6VA9J08vu1iNEMLjwXAY0VM1achXGZUvncjOh3
Gf5JT6nq+0q6ZxR/ro9q56FXmnHDzFMjR4HJeTkt/qCj/MHHgz+CjXhLw7eVIa9OsRgcFg3L8YFg
DUyzQxBTdyJOkYFSwP4tzIapWHwc5+Q71iy5jUZxnbVkVy67ljGVjohjLtBsnIWSPsXZwN7WhHiA
5GqXJAMAUGaEqAc/DDGCXY4+hC3Ppt43lBxqzIdVv8OoXG24I4bRSh2aE6/PUzSDssRK8UOrnM2E
s0q0TSD2RpTt9RKiWpf6oTCqW2E3OaTIQtpjINniKC/xUJaqN5GY0BzTv1uX5G8fU/nb0zTz6RSq
JRXfXC1P0W/3k3DTY4kJZDOt1igVj9TiRpgscE0pTlL5xWqkkmbpI+TofaZmP0MBTbkQA3S5OdJw
tCbQPYpHfBXTtjXMb3g3L8w4rU1O4aWEstsCdD7EjvmOTPN+kvj1Ywdadyy7nE0Gb0iaouCxRrZ/
2J/IpIiZFKYqF1vLlcbnt3521Oa9O28iN0afRDOeVaY/dc5l6OTV7Z2zBuJmU7TJu+bOPgypMypT
qpuy+uBumQE/Zl5aiOdWSvPY9erXAhoArDqz23kQe3Po72t7QXO64jdoJTbUNaNvh8WvZsxJCYmB
7anlssVqdDZr+BhIUorOGTwcDOOec/fsjsbOmS0uO6ttGSzzRic6fyGsVS81sxZXxEB5s9ibpUp2
lU6162rpW1pLz4yvKaqKxGK6OBkHq6Gjd8VwUdqixu/TXXMr+UWyBYoBbfbGWV7KSL1YtO5ZMVxM
HfZ2DsGj9ptGiY7A9l9gLhy6WL52TvdcIWJhKa4GOF8n23mcIgQnbX6Za/1NEg3gtgonYx4dltlZ
DkmfvfENPscSpKdDLRjESOVOnApvZl4OL/kyRGA/k9OEK9xvB0gWc77cjcOse7Wt/awGwkOS9DaO
xXtaCeClbceTgOTHKvG/xi854JX/NvT/aOj/7XoXdErf/g+VuaWq/7LgRWWO1lPV4GbhVjJX6emf
hl7HvGFh3qR5N3/rxf809LhENHBgAi+DRW371zSpdczIcADXH9pNxp3/weCSTfP/29Djgv2dTkX6
JLxTsf76vwgbpjGMwBKE5jVdKoeYCbvMjY8hpny4Ynk3oPMpIFb2YgX2KX38OK8Iv9Qm9KhYsX5a
aMsNBKI06N3O9FuLG10duavFigTsYQNqKySwhxa4rNjA3ABR1bT2iYUqxAHYgsnKGFxhg9WKHRwE
XnOxogilS/gRM8sQoyKgwnFFFuLHyvzYBsy44gw1R74M8A0lnEN7BR6Wk18Myw5XBqlFKxIxhY24
gKktYSUC2yPUYMUn6itI0V2RihK2ops0N3uFLfa5bnNM6feQH8E3rkhGABMFNVNWUtDX3wbcRgiC
HXtRJ+jmr3EFO8K3CYYV9YhT5o5VzUtVRKACVxyk2UL0aYyx8lKChTZGyTxyEbS12jCdjEUmgQ5b
shfhtsdYqsGc1NimIEnetQbaMhA0eoLrtGP+5zWD8dW5AIcYVkC6RuRjnIt5obMCTNNHVJ0xxPsh
l0+iZ42VZdU+hw02lclT5io+K7Vb1agnTDwejna4CFZ+G/hIe/R+sANlU+w6Ahm2wq6OmpV/FG0M
1doJz+rgnqGUFJ5JoWQjUdObmzYh7nlLGkSEQWuUUXFTlm6ucBND1YzUVP2JTh59kj2kn7plbNHD
sijX+0+3jbf4tREbCn4Zk+VXbWqtl6BmQkw47bs5vphFKAJlnPA3dvH3qNicnWJ+xcf91C3TTRu0
N6OpjtwFr6SEuJ6NxDlwIvOX1KfjqEbzWxbXKfd3hdaVOBExNAMBJCCSreYGwmHvNEI5w1R6miX/
LMwNiFcjcWWghWsiXr5Nht19jC3WSm2Xld6s7qlvtaQ0AZJ0P4YOGkVemTpxFvoljVxjZykS2BH3
VqVZTNIH6osy/owovb2sn5etQErnJXO005X2VQJ+LXlt4J/S8tE5biqnXSBRr8s9yAvTaIbwuJX7
OVR+Np16tCtDYxucPJM4FsGW0R1GHHCggVXBUthTMxLe1pVHrj3QjpBv+hpzM4Lf7zburlVuvg9t
eLYzGNTpnFyErp4qgw2pXbqnAkzPhki7AcWZw9peAs3shnFXTyAYutjQmJZk70UqXhdybpD/speL
Xo3UqB4XhZwHNrcAqnTr2VHixwmsPBKxn3VsykMVu4dlqk9hJKoTrNaf9hTuGG8+KrZ9iA1xVdz2
Fqv2V2Uulzxv9mnJs7nYMwkMWtFTdEQPw1DuUsAgUS93TRK7dGFuseHtsd/aoT3ECBcfQjEQJldk
23waT3ZHo/N7RPvfnZzxb3dy9+xK3tv/uZNbf9c/d3Lr4s1lwUauuE2U1Mqf/HO14a0Cmbfy835v
6zAN/JNaqf6Niwa4nUm4oqmtgQt/dnLs+Fw2eS5GhX84sv6Dq81w+Nb+ql1C5KavSz6MFAQymeuv
/8vVZoLPQ8Y+a1eLhXO6l8MAJk/U6V0SZp65tDfe9peQa0Cvu2w30v4oMgbfErP8LqOdi84XNO70
3HTw/oySa4Ln0TXVUx9Gnp1PzN9aQEx7BoevZRSRv0OgTHTVEje6KyXEIeYOLrGH9OhpC7WEZ/tX
ZsJ6Q1GVAkEQrw60kkAYSrc1x+51KUGw6lwlhjXcy7EzgrpQuA0N9bQMjK14T+9WSij9evajUKAK
5I36Jav2e1z0X0KpkGz0aew1+vSYi4k0mcl8ZVDx0iymjfMdFz92OGD27qWw5/mkmCm2S6xgU5Ev
mwnhMPoWvjBsv62wN/nC9hMoka/pFP+JLjFFhhx7sLuIliuNTzX9ac33MewmZsDE84wNeUluzPC7
a7BjjrPpWak65eAQDIOEPGMeD1TWnfuuSTMcAjk1OTOVgaJ/KtI9zXhNoAUNdGdOVaCGXBp4a6ag
1UW2VQFDHwx9aDTPlpzoczR2N/oUjX9Y1twGeKTotOiJiHjhR9WGGF4aU93EdRKRgoFMJ6/tn+XS
gIPq0xGVuCkYEXBedGvaEXJagABuaO1sZ5xvcEDMDWQN1YdD4eHELo9YOBFDoYu5Cy018YFFtMc4
Gpzd1EQzrSqlol8T8MCZiBwavPa37pZix1CdqMmUcADNVj4GcPh0ui41A9KLjVYT2AGhs9yz9Ply
lRKXbA2Vrqh4VBsYUpnatx5E3+xeGFEaaO0aY6DMMnC1wtyZmQHOa2itHYK8r3zS3B26pnhTA1e7
d5YyOvKTI8knpBUQGGixgEt1DwCDn43KEKLQ6ZgNrQNmAwuTzW2jFLCRC/qLFjdIa7UY44TSnEan
HE/R2Dc7oKmEF6gChhOStIAPz4SUbH2j7MFIOMffqF6M3SrxY2K+5PC+3YoRiBDmh5qvG+AQ2t0I
AGMT5Q2w4cocAnKrNJo1ygvU5H32wTsHPDDR1f24pEUXxImgeZoMAQF8sJrkO0Mrtxeapt/gN9Xc
gk576ph+NSeDcKdGnZ7IP6AiUzPsIIabbsus/jEr1B3qQqJjiYw5aEl6ZJj/qkT1S1YWJFUJF19g
voAIy2FrJqqDfGVOfmhFSY3ayrfZXbgr4yg+z71gs1yxYl76GzGuAls+rLmycOqD29s4a4a3XoWB
FwmIBa7yPSbdqiaTr4aSHDMTjKE9wqEAzepRt66HiHvHj+LQp+53yXsKnhxHTi6emGTc11p8pLBY
ty3lhYH+p267L0OmQK9upvtuAYYgmmZfLu0jSZvP+A3DQO2Ilqr7JhgScLIylPPOIITCSwrEjiIv
TiM9aCPih0hFTuhEIbNpuGsnS11oHlG44SjcE0dxTJ3wKozxTpkItJhRX/OmsIQveNhWlGHBQN+V
H0SZFG922iX7yBiIIDXxj0xkYx0JVSauzC5b1Gr5h9vSYOdqXwS2Ud8T+/FoE8eB9iiVx6joeZXJ
uAzSeRR8S4RvzQSgbsn5wrJSjtEt11zU9Lwut359eRY1JAFv/Uu7yoqDJJTuTkW3+ZBFTeULHVQH
J0wPUd9G32wRgluZ2hwsSYxEvSdlUA2deTf1cwJDUMLVc3IzcJeEoXtjfYMmRDlvLgdEVlcVjkRu
JGerx/BljKq+M/CwBwZl8DY1W7mF98LmPiSYlFlcudftCWcEJEkZQ5ULpdR3ujFx1BPOsY9z3lp9
REqfFQbUmHhdr1ScUmodajv28NHNaiCB4eJBypFo9k5JUuoyCpxNDTwdtj96Mo6pfyBb/1vqqDS1
//+1PDao7n9TH/Gb/lQ6REJj68bpqBprSYEU+0+lA4XbIevJ5T/acvya/1LpkDeFh8r9e7KUza78
n+oj928rChq1Eit05zcG4j+pdFaY1V8rnZWJbLOkQEpOJOj6/f1rpTNUUwtjMzau7WSq3jINBy7f
2tcSg0g7u2YGqjNR7OYXh77RbyPzszHEuSP917dWjF4y4UbumvjUjeTHFWpB04+NSSzAnKZ2uEzN
GkTsNqVXlv3H7BavsYwC2I4PqZnsirk76ob+UFfEUiU1TivwTC0+bf3Mlt7aRIrz3KZu6WVu3gG4
C5/xIr1Y7EC4gJfJs6f8akXGVRvtwK3Lo0N4YWotMKtY7Hp9qlOzxNMO0negi+obu/pDP0bWEcfo
jqHch5CMF9uF2MMc/6Se6xtsbimrsxxBKZkQ6oR+iqXtj1Hr39JpML04jfcEJRbMsMkXZXvWbDpg
OCRhGJc0r49ZarL/aprveog5lZSSkJ9MXGXeEKYV1VfWwNVxylkhM8PHw5fjGErjhqmCGoVE6Zaq
DwWVSWNtLt+EWaSXwXQ+F8kPt+ICvOmozzdx23zFWMLvEobKlqvAnNOreRcXrbi2JCIHzvqKNz03
bLO+9ul6AJDEFBMqwqEg1+PBXg8Kc3KimxoRR8jcMOKMkBkVD0eLsR4ycj1u1DlL9sZ6BCnrYZSs
x5KxQGJeDyrmquU+Xw8vwvY4xtYDzVyPNnM95NjC6LuOhNKg4ATE1n5aOBHTQjt06xEpc/GNZ9bG
JcbxqawH6bweqdp6uKa/j9n1wKXPnwOgie6uW4/jZD2Y3fWIztfDWoX0+YBISVDCcZSzJUr26nq8
/66SWsNQbuhOzE2+8C+t1wtB2qq9FeslkazXxbxeHAr8UICAXCYMgMddpMdPs97e971aBLEi5k3Z
VR9l1kLDjG2kpusFVbmMehnqwlxf1h8Ra6u3sbWS5wJY6qYFprSfewDz+sTCggkIzYSIAYJWC9Mj
fu4bo1H6vRiRUsUsTEG69vJXutY3asLodohyZa92ULusLAjZNFH7IFjI3QKTIGbbjTCTfqMko/Ab
4GyeDWzktmjTLZn6B3vMU4rfBCJbpmcXcMvdHiLnd1csH502xNuuAlyUuRksI+iKHmZrP2tq+2DP
oJ9sxRl2IizMB13pf0i37BRf7Xq68FifiIaQffWJ6yJwFoVomZi81ZYqcqfI+UlTRo2hTWR7TH+O
BXOxYBxJynWHHnpDS3IKgG7mUlEgi0I54hnYS8N4Hkik8uBGPOV1cnSS4p6wCU9RnLvWegsd/dSX
9vCTJLev0e7Ok4m0o0C95ouxH889aN2967L9kw1lYpSqZ52/LQblMgysNCDRetqS3aGL0DYD3tdF
ABKXySIQ++W/Wge6OPDhA+amG9ELZwaOkK/jwfCLXDBFkBptzhBb/sSCYwMcjWkHX160iCid1rC2
88xHiO/x2ivRY4azVi3718rkeBAqpj4nbU5y1N6nFDxamxqAq1scKBr6CA2JT52aa62Fd9JZtHyT
kT3OCPClt0macxTznoBbuo3cKQ7CsvjKToVSlqJpqbryRJuxB1pZEB8e4tbAui3dboZ1lqh4yl2/
mxCWhfYauCp9uNH2K7iI3ArKYiL9pvssTYz3vfUTVqV1kDmpH83yAa8OjnRJ9ndsZdtYh32NVdTP
bOcSJ5wybokIqKFHpOvYDKW2V2o4ONhWafSgkcvxBnfgnOkt4XMy++iEu3cK46JF1U4xa5bua59H
Rmmm8f/WeyykxEHZf7fSuQdI3wW4Xg/dOl2kW/VoNW8wfxXuAuRZBlb0LrvlDCZJTX/KGFTGdsFa
lsllzwgzk50HcJUyM2xhdjHmZOV1lsgeVOKNW8agKIS/wjXDh3uMOJ+Wak/cyzzNvMguHlQMLv8d
A/19w2H+W8niY/deyDZ77/+XUdD6O/8USOrfDAoQ27Twnf1eSvzfAolR0Cq9NsU/4r7+FEiGoHRy
2NcTmElRZa2i6X8WSA6BKFjOfhsimQlR0fwnBdJvWeJfbWwqnqiVosVkSWVI8tcCCeetkTZTVl77
GRz7XaJXVnKB75PoQdflNMuyHpjrZ9bFYqHdx4JtOOq/Rs+fBi3Daavl51pvXrO5PGZt8SBz6XeK
DncgIY3csu7Ypqde4XDrGOhJ0FucY3V8wbHx5Uqe2XLQ2fxj6EZZtmy1nBjoeCEcFwu2r5v9xsi6
5K7rEdvZwvQbYyi0Dx0PPITDKKOPHAThRg56kCMG/i7aYUJBZcbpzPYlR6RCh6SoBjliQ3VwaGR2
tUMYcCYW88kIO062MB+T3nddLDnnJpHtazKGvGyDkevb1UXFcd5jJmG+AI3UZZLMZU1MgNuKJsFD
RT5oUDeRWge5tTJ4snH66O21lc+KF6ey4PzF404MIEUrab8TfRn6zlhzj4ls3Bp9eSdDtfZ0zOHE
bsmgXtCqxa4RlCFSMDX8oTTLoXOUh8HJvWIYQekV/qBwTYzW1R3seSMqcq8y/QFP0HullCdSERQu
9P6udwqg7Eq1Fyy1GZpoD0OvHEimCIqwvoiVQEB5lyvjHqrhEbr0HtDIGTDRJdenS182H+rcPkA6
2+uJ/Zy6A9o+Zx9q0dUGsLmps+oxq5aNU0g/q9TdaLUPTSd88BUo9kwcf9A2XIIyRXvMkrH3RG7o
QeJ+FzAezcy+GGMfjAyCzGrxtLK9C2V775KSwyaaYkH4laJB/4wvTP+upHNsSM0m0cTct5P+sozl
HeqJDZXshc/Sq5JxywTmkoRQQg0iNLm46G6OicVC21bfdAtCsuzuKqP7iEqRBOtHHznuE/5JUuS1
nbAnEspZCPeueumRcM11cmlssKUzcaeL8mzFxiFjgEnqROkDTTm0GiBwhOxuWH+5ZusNRfbiJPFz
qcZgFpVtWFlnwxRbJJ8XNSGbzp6182gCoOCbQDmiYT/XziSiH5F2eE3cnSNH2ypyOiFnP8CkAn49
N1+Noz8M7vTQzCl01miwbpg7kdmN8YXl5N1s6fm1ydTkwBmPllDqpYEjFMXWxprqq2pbpJTzSPXr
zGxoFTbhY+VXrftrjqYLM0jUE8YZ0ddtqjvbnxiVDoBSfKOu37pk5vEzbEItwt1UDzNmxBDfUXY3
ulO8FXn/xNYtMJTV/GV2baCX5IVqKfsaIzcdT4mbaRX1IIKNtbvQNB9M/FVceVhek4lPnC3VfVIp
uxb5ZMW+fl/FKXm8rZNs60m765J+x3xwzWIhywPnLE8Hn9Ya88mM8R7/GmHzZnvSDdAH8dyyOgUU
GaZno1Z2mjEGuY3VTdfZw9b5J6AaPoxF8XXsS34Ssl+SHXTWTBxI8zZ8uDcGeZ4ke4bLRD5o0nul
qrueHls0b7I65xI0R9pBL9HLn51DIzTr+eAp+XLpNeMO+c8vpjeUCELfhxXAlQkN9KZIhgcUdj/g
+RwJQtsLpc+2gNUrD2vgneVq82YwOQGgrVSeW7Hg0esQqZSs6m3Sz+ey1hiQG/JKxMHzYPcISePp
KbItnndCSAoK/QGmQkiKhRfXOWPLJnl2B+iEroxdpkvKeGYmnZ3AdaTef1dA6GUt/AD/bi5y91X8
Kj/l/+ZYWH/jn6tf/5sgJABsNoMHRtf80p/ZiPk3VQdgB88AaB668z9Xv8nqCI0glTigA1zvqyzi
n1c/5naLQQuiB8DY/8m1D4LqL3MRtBU4v5iIYNfEtOBgj/jrte+AfhG5HilXTWHV3UnNI1L7Kxzp
4FILo0FvqFtLS7bNHOUZasCqeXBxCtx0Z13pE/hSOA9R5OYcf4RV+H2rNS+hkM78SWJYx+gOsoeu
z+YuqcH5sKdYiMKg525N19wxrmmgQ44INjvJVLlS3G2j6T/BR6mfUZ3lXq1P1baMnQybIpFBMDrs
TVfytYZTm/QHevPGSIUdbJQJsLODdRwL55gkDcMJozlYMaOOtld2vY6vYCJxeSCvioaw0NnJwrBR
5rs5IhEtd6wgds3hIgoYPHkDKshdR/jNzOnAO8qQKJ2Yiwva2dlNAxHpy0YPmypYjNHHqd3eJwgO
Nwx6stdBWPOjpuHlxZjQKulF1lHsMwW7JUuHlV/XAAAkiObA2fJ6f7YS7Z2YI/gl6M3FYFFaiGnZ
daC/j4WjWOSRyumAPVYNWqsGzYKDHWr1pBLbW4kVNVQpgHEZ8liRy3q6JCIcDVm96jnSoZxui0ic
HVdmepsG9VpWcbx3UyQelET8JtJ35BaIRhES+VNkqLzA8OybkFjGRXcKF/ixKfxWODgGkhg0KMjw
KnzEflLtiKqu1IAHuziQLDLs8raUx9BWxJ00R8q6zg3vUpvfXNxpAF1uWh+/ksTE9r2w3yM8dZux
BTZG8tRrqhGSHnbVt+qSkYMC5ZytPnBCYq6ZmpYc7Pl3vFhQoqLuCoVp9nKHy8VsRMotivteGexD
M9TOUbcqzWOu/0gfx8eU5zsTGtrObYSnTVbPZmIedXft70e+gU7vIYQ1w6ibd0RoKUfgH9QhRmbc
W1bLmKzBD6eCTrIMyrM0AiifdWcGNeDSeNCuZL/b2wbi4ck2y9JXynJXNuSNsZPpd0acvWWD43fq
pDGtxxI0TuDasyHSMNyGAgNOvlVy9xfCh7Od5Ley759DxbhrK4eJpK5UFxwr84FeD5ZXuewVC+Nd
3lnZk5qEBLyIrw4klMwc0HXOeY5LN6D4QJ4wBzZiQP7N1EzF2crzNzLuT5Ymzzk7WE/2VnhXCJzK
jFsImYmjRxJYogM640OTDPu05kOiYDxW49rtMqrZ6Kl4j3rk0Z0tr9NAyN5UuICkuiEnNRDxsJ0d
3M5CxNe8541A5ZtqXim+CYHgaMm3RF1sK/JSVAYD20hXHyru37hKQDWbJ6xJODlo6gFiUDRP2bPI
1CuV/7M9qEymmI7a15C0gmMolu+q1h6spT+s5SEKrADWkuGpMWwshTS3YXiPbWPH6C9oI7RGiSXu
27R4EKX+y8XZj4dn1QrND6bCQCivqzuAoFslpXzkMyZIDr2j1rF/G9jwQq5mbPC5zPMTsY5Qz9Lk
wMjxfimnay5SlLzRGpGxZ8TpcZCm6NrVGyp+xIuzh1L9UIRrGjzyo0XZLX26d2zcIFWyt9tpS4Tx
qg6Rn7ZYTVnVXuldL42dYK7KK6xuIrvVcqd1VLgsZO51xF1yiPYTDIG8VM4DpRgZTu91r+MLn/Db
59+6Ce0eVgIwFS/sMrz+X2XYP0ydwxNJ4jhyUjli9Kkdv2XUTTeISrQBeodG0xSPLQslEyq3FU0Y
692nLFl0H2kqTJNR3eVm47lIhDbrpMJy1C3ApO+5lhdOuO2My5YMEN8WiJWiNj4Y2ryfluanqnVI
rMWjbVc/4YE+rIT8Pv9FTOVXraqxR4bBxjHkVtrVFuGOn0bmyh/1IiO+EWN1Vw7Ggx7mbE7xJjUQ
/VB0Vaq6V9xhL1plq8aExKDd7CztueE7dUKM57ZVgVAZTq3ab3kVL60rtsi6j+gd+AvrAHsXOfVF
68M/YEln6p+Y5X7yR5lYqBjRtiZzL1h6vkMkzVyM723RokhSTrjgDgv6tnJmXzw06TZWuCTAntVI
c2f8VLaz0ztkqH3x1tUwUSoHTLsTVDGypf/D3pntxo1tW/ZXDu47DXKzB+rWQ/QRUihCffNCyJLM
vu/59TW2nE5LcleJui8FJA5wkIYtMcggN9dea84x86baZA4ioYFO/GS6ay3q7vpKvc2r6CJXtLVn
DGi/W64d6BfamXZjcnfa687szrM8OSkmumAKhIDQ3jiDd/D0aZsZ6a7zNIDmbEOyNlwR2HMsPBVR
PTFWvQP+wD3VteG+gJEyVmo7F65z7VXWeV3Vh6w2L9rBV2eOVl+2SLu6gr5/NWFPNpPTxPR3iVOq
7GP9fSUXqimnRdmciMrERhHwZPe4L/p53cuiB1x+kV1XxbhDE3GiCHTDKMm9zz6j0MsasbRMmdtV
Kj4skBwIxXnxRM80Uq+jJrW3om8g2tnNPWLxmYANHeXM70Pt2UrphTblHZbeLVXbgfU2JLA7Xmt9
fUJ2Fs8lMq/5pGr3gVkXK1ePr1K0kLNyiNexrh2jmM1e7BazLO/1FQPxjUdeWC+UlOCenF4lqdV+
j0lgFIs4iZZmkB0H31pH3rAbsHEXCu1ztNsN02AJ0OYJIJo46uxl2/pg7pRsjm2JbQHRbbTrFuiw
Np3iPHeduYKbtkYHsQqhdWZ5wfpTRwNWw2k1MGgeG/+kasyr3KSti5JmnhF31IQx26Ze2WWCfoBK
DADdjErLt4nS7Celv6+r4ql1qqUfAe71ErhwBqr9VOX196ak/TPX67VCJIDFYh+DlBah7vsKsWHI
U7VhphzUdBNG8FLiCwUs3u8PIola37tPX8tQHfqopuoGpa34MJ7DAcMG1dCUw+B8rvp1394P+Rdf
h2z5Jxzrzwret0eSn+SN5Cn38lGbPI4knLPAkI16AlqmbW7dRO1DiPb19ydm/uzEeJpAHhi4mj6e
mHBy1KtJ7h875aFpT0r/KUuefn+In50R1TLFMofRfxhtepY9qO5YBEfGdlG/hm+9TJCgpP46RNAo
mrPfH+4nZwRFgk0LXUxDaB9Rch1uNjGqTXgMUcGEOsk2kh37h3NCDv7xfnh3EPn3b76lGqY0OQ4c
JKoYPFanUjT1/3Ya8jTfHKFrpqarMo5QFXs6ITCUrjw7/MNBpNf7w2397jQ+3NZFTFZAl9bhcVD0
GTgjNzwaEr9o35vh3KoPAkXUPz8tnGUwQOgymkzb359WHDppmDEPO9rlObxBxLtb+x/CBOWKYGDB
h9UAUhAv/YdL5+E4s9AMR0ck0LRWoBfn8z65/v2J/OzSIVh0OZSmo3j+cJAci6odhhAEq+I+s+gV
s/dgMXC9y6g9MVCx9d75748o76mPX9bbI374shhkkpiijdFRHRQsnLfYC/6wGGjyQ38/BKA6x9Rs
A8w0VgJo0HK7//amq3MoYcGgpcfotNo2W16e+3xuLs3z4MKcZ8tw5cyV1e/P6v0hX1dWFu7v1/HD
IQNU/kNDT+3YWTXbZLghyCtFvvn9UX5+7WAzomblzjM/fFvWhP61SdXo6JU0yrQTx2n+cO3k1f9+
6b6eh0FYMlQH18Un8uHGLkjV0MaazCrorLPREVSbDyEyPeivfziXn12xt0fS339J7IjzisSB6KhB
XHLOTe+ynP6wvP38EIxzAL/wJNkfbrVQizvHmPz4mGUHFFM0CMUMktUfXqo/e4S42f4+yoevPq46
oL7AsY9h/JRgxdSVJdE7JjC7uDkqMVCTP3xHP5yWAMeBvu6VzK4ZxodSQbgw71I7T45NtwYNg1il
nC7+4Y324RD00t4+QVnnc0GDMjlijp9pio952vzDZfvhXn49hO7w1FDw0Gd7f4hoGGjBstM61smT
Mm2t/i8v2C9hrD/cyhzAMRA2UdJAK3klJb159bB02r2WTemROi9tzTkM8xCScOa+vF6rf9Vqkm31
a7Xa/DF57F6qn2nz5Q/+3ZWlwUo965JFoqv839uurPqJQtfUvvJBX6eu3zgyzicTRb8ExsiOLkPb
711Z+5VTatCVJdBdJp/8k86sLvu7bxY8E34Nqym0UOu1MYwf4P1tmPkO0p7OyQ+qmvgb/F/rwMce
Ven9SWt3eCxbUZ8OrcjXujrpa3doj1lkIFrCs14ZAuMjAWTJGJhLFwfx3O8tfRYZQTlHLoXiWenF
IkC6PLMxlS5wE6VHsupuA5MRSlfp+hwY+Qm5waeVaWyc3KUjoNBWGgvau34+n0ry76oR0lIed/Ca
m50vsY+xYe4mCXLxDXtvCePaNwvU6qFz7vZ2vMiq8LxRq0dhGtiOTP+mS00iG8MAyeaAUzXupr2V
2VAdAd5run7nJjnUl+7EjRmZ2cmVYqb7BufYnCjb66xinqVoRJJ7/Yk9GRewMFear9yLcJj7JfgC
dkNAxYrTws7vhMOkMYBCEJjDuiMlbcZN8dgQXjDLBiThCoAGeJ3BjFiYZKFXA7ZbrxzpsGUtWvRu
JJWeCRuWNiLS9U0Oc2E29O1ZnwAz9adeW5txs4oweA9xBxMh1tgRiumoe9aTaIqruAVcCnlypvvs
LA1rNQbpNhSMwOCyH63Wvg5Kj0BCY7yzJNEm7M0Ca4RBQykLcb+GI1BBYa+bCkDCkNkrLUh2g5a8
BJOcEDbi2goq5oeJ8OYYlw5sTcVZ4tmbwfEvyzMj2FotdKveObHGKJoLR12FdgeuqyS6tpmYhOos
21Xr3AUW+rO2lD3yPFwDZ8tmcZo/xbaVL6JmpHwotVXiEEyrInFsRqL9gIymafS5qvQX5AwvaCT9
jV8aZzLUF6KOPxvVLl1GY2Lc6DgeALXStrY9qQgvdwzMt4mp7c02WFWOD5qDEHXyJAdQmr41rp1X
mFdmts2y75TzsOifyYzrK+zOZOzAglxPtLpJjih3hgJ/szSKjWvl5GcJ8AEZs48FlOCNUPyMzuzw
CFr+KlTzRVenyMDJ8+HW5T5yb3O905mdQRFHjFcuQxdM6ms25UiELeKqVltiNYQTaSYXLiIGC8TQ
TA+DbeZaDHBrbZbGVbRI/Ijnwk5a1MyFttLLHCALT/pKSfSEad/UnowiO/eU4En3e+O88dILRzox
BkLb6dlwLkFDd0SBqlEb5FaC9DzkOU8KCudhRggQ4AHzNEhVFUt+hNI54gJm1kPTaLs6Pw8NgzF/
5RwJGiAYwsrPBkK7Zl3T71yRPxs1rp1yjB5TIy2WdlzHC2VQ4gVS/WjWmyW41pLYBdmu1Mc5+V7C
15879mDRltiQZZjT1yw9boMu9R5HGdItxnLvTbGGlUC5HApjk2mBgnowuFH8+CVueWRERiOnKOiF
uJD8lBRWsQ7ClRHzVZl5X1ya6HPiOxivJPbayDPCvrDjzJRiklOfMjtVxGDutSy9UkLgC0MHid9p
7GgJi9JbDLS2YVQyv/ArNUdn2O1pzEFSsHEJJG54GVTczabha9sqiYIloF2UIx7DoXiczkEbw3Od
sPLVaTfNi1G50MuqRXPJgxVMtPCYLPRzYodIFkTsTsewMUjwRHtioP8f+V2tXp6nhn5Cjtql6qlX
nkl0iyY6mtWmWOrTNDAJyqsqOoAvre7iV/2I9aolqVGVtF/1Ja9aEyAfGalVCFCcVy3KvzXB66RW
9qV+XRNcvQSP6SMvf3b0zbh9/u//+qrtkj/1d0GgfcKCzqvHki/215iev8e0+idKBORRNFmErcsM
o78KAsa0KLpQTaGcQoxlygyyb2NaF187EygcWN+M7f9AocVG8WNBQGvH1OSxXN5Vr6XHu9I3oVRN
+BiHzg3ieoFynbcrdBgpMG1RmmoNb38oLryo0IUOUo6aS2GqhkK1wak7L3RdW/nReOUoebluozQh
SRkldG6xNKN19V9Vr9OrApa45FZZ6Ohia2Q1F9zjPfMUyzulZ2Zto8FeWKXQ54XdVXtT6rNMxMSE
zGqfG8xxqtc2m6LPzqpXbS7uFlBT6HVHdLu2FPCWUsrrx4h61SRDwu1YSEKl5NdvadGOLt71lE/l
DDEJya2y0aRUOJKiYUjpz1omhhawA2O7BlkFkxS8bL4UHDc6c0CYdtrBE0xYBylMbqRE2dagwBQc
fpKWnArHP0fBpjNJww4SyXLh4uFJ8PJEeHoA3ACD5OlvMkGJgO3HkgagvOlMUGo06k2IIFZ+AqcG
6bkFAomlYlxPUohR4Sly2hKT4avNyFGuC3xHLv6jIlCdrVlOx6onjZEi8lYv7accz1IpzUsVLia2
v0ez8a78joWr70mDx+9U4XtS8T+hOasXQlqisLbZ6yLJ76I+2Vm4pgZpnxrxUQ3SUNU27orcugeT
LUUhLVfg8AgmkTYs1GuIWROEcLr0aYUho5RYerdYoI8OZq5YurpAa0rvjTksFen5SqX7a6rrWws7
GAKpeU59uYx9WOGjHwY0mcqbXLrIUuknGxzLX9RYzHIpy2bMrsNHhsmZTVj1gROySBvtsahJj1Vh
wi6ZNDxhFbvrgvg59TNj5enac+HFEKaGoNllgEQ9xdFXRJF0K2vQPYpPAKAxt+u6VWEgqp6RQmPT
SBspDH3LCM1do2qI5jrd1+3ABHKMrIUR15/1AiqP6/X2Uot47bUWxtCsYDytgnrn2S9gKMfJKmTE
jXLBndmV687LkGeECV+CCDiYFh6MWMSICAwIqESP4EJJHg56522EmR2DITtYsbNVlHDVii2UOa/f
u/zO2mguC1S/c2u0j3Fq3dpuikcAfFSvwwDzogHJIuqLMgSR2dzZSaAu8qEBnxcV7rK2gSLkbuPO
mihb5XGxFwLflpJe1367jUv/tEmLdKOJGlnUeBRJtzFa2H52jx28GphUJgJ9mZrcB3V4ZlqEHlpM
0bZRaZ8KNz2DBUA6p476oAaSkscxgD6rIe8n0GhJ+Vq4baPwVLThqZYW94k2UHEixJpZmneNjfm2
ZY4k0thYQ1xxFwPui7kZGFj9MznR9XFOKm2z9lHpwarA0KKM6UVvebeTx+cri7aWadWzqeHn0Jkw
G2HQWUTx1puqlzLTjaWYZNHiwlxlCI4UAK23y2VlgvQKejxveunmCNtRasyNRdxVFiNs9Qu6mxMj
DE/DAC8NWcaM3glOxWh5P1n6lQfial6Bd5vjb1aAYTBVdtx7jUp/RpzDuVAwlGgTI2y3XSP+k2A8
x1viyjivgnbtZeKqC+q92ilIYQpnF1Ygczw7PU/KbDHYobILaIyGZpNhLBh21ujgd8B8SyI5pMQS
4I+V9fEyMYYcyn2wJxGKsaoHpUOpki/+5F2VBazgURPIuULyw4Ygeq4K8+DnGgFATj8tpMN7nll4
rntfmTaNA8Ktx3UxldP5SKj3UukYKcWufzno4bIVxGIBC3bdtFsZRbUDvBLwFmADVpYpFsjeYg5t
5ebKS8c7zNNg6tTHkkzX9SACpJt9B4kzvRZmdwrvgB8V5JB1xkoqZrrcOUEgtIlqDxMTN9G8n1Df
mmTQjbb2NGnF3vRZswdUrRZVWKlVL00U7puhfJwGf2mHPJ31CFtZ1+5zcs1IDovZY5EnFasMQjFt
QkA2JHgXkQ4rdzGzQ3Q/ZkyC/TDaV0Ub7ic46XHDQhnqFvKYRIaJjehQiPxBCYjcqHYPlTv5a2H0
Nwn3LTAttMZ2DwOpA8/Ag3ZemR3wB+zBa5Qfj7w7q2UeBrhQgjFfqrpuHRxHccgvN8W6qqu7MNYu
TXy58xx3qcb0EjeiBysC8kONjgWec6GxgmirSTifdVDq68qtVny+z1VEoF3m5M+1h9jZBWaywAqO
vDUGt+UhtOadR6wbf9fj82hcHB2MLeY6+t6lm7bPeB7IzrDLZz3I4Ju6NZIeL543nQfhzWpnhj8G
KzdHsusPCIs90EnyKSuBPRNhTCgZks4ww8yQr/LW34xQKJc266QCGK1XsssxB6IfKtFDbBdPgFTm
7KDTtecRrSWlNRCqLjUptiml7Iah+BZ+LK/iTO5apTgnBHE1txStPriTsfCRJ8RSyuOk/YFgBgw1
qHxUHSOKi+7HUSj7VZRA4OG0pVKizfFRCcVSLlT4yp0qBUQVSiJW8xpdkdEF6wCsmAJDJHDAO8du
eZYnSR4A3QtVHxMVonXw3ZpbBqf/1tGvdbROt/LXdbRM/lxVj9lTWD/9JLdH/vDf5bT4hLDRdgz1
NXZbQufflNMabTKIGH9X2t/6a/YnUrxsQ3W//9S3ctr+BJmcthhQp3+e2/O+yUt3jcMzg6EFK3+p
bNa96yMTIag6kVdNREjdlo43a9lnvrkwx6+jibfJoj90efmtWCpwfAhwVKrcM7wt16fCs4oBMA2O
UwUJ2cokq6820QP8YVzx/kzkYOT9cWRT/k03mUelKKvQxHZXdHOtok32/PsTQVL6thP54xE+zBF8
GAyihXRzEIONRvnaxoKvjHNXgWrXLTEazevuvmg3bXhsoNNr4UtEXDJqpfy8yS79npA8CmgTMg9C
G984b6PLPg1QSKR/uBQa3dc3PdMfP6nsqb65FnpIqHFfyWtB5uaUUlncth1NJs049Lx4WLdm4fjF
xkha8p+wDv8wAJHUsR8+AGN+01L5WtisfZgdZI6vNZ1qjwc6YmhpNbdKTmNSG3DqFwZZx+5rADIB
yrtqqGdm219oCYK6nu7IvJNxyRUr8EwUrdrJN++ud5u2WifpnUj1Xe+pWDExvWjXg56S3xq7EbhK
ZLZZRBlt0TuCeCK6coWObtE1eNimQ2eFyxQgWV4SXWiR20GQTyqOGFJJfLqrWYP9+qr2nb2OWKZC
qtlhnxXQO3XTnNu8eEYIizHqlAKOhEWRNZXU2mATW60lJCRdgvEay7uaimlkyF322Qkb0fMo2kdD
uu4ykV+nJklCJFQvcwBVBpU4I5tIenPN0DcWRliyC3SwxuZxct8oKGvSqcLk4QE3842v6/YvZy+v
05vvc8QfHnzjw+PShy4ezKGeDupa33jb6bS51dfOtjrUM+202ZRzdm8Ldz6u9Pmu2qWrfDHcK9t4
1azVtbUPV9HX/PlffqD3u/ofb1kmFG9vWSPBppPKW5aUUDzSZAxQkpDZov5hOfrZnfl2Ofqw4NGT
n5Ig4DhKNkuuhudSSkDnwGos7w8PgSZv8u+X+OspvX0IPkwuXP5xpROWewj0eXQkE7Ud5pWP0BfT
z9w/9H86tZ+tgIS9QR5wiFoGjvT+EtIoGOi26uLQR/Typ8+dcvz9CvizBfDtAT5cO/ilNoNHIQ51
t5Bgol6Z18OfJFB/OsiHVdYd2BjRFReYuU6mctdYV8J6+P15/OyV9PY8PiyPI+/qCsm1ODCbxJcK
PMi6cKMzNxi+3mz/05PHffhU5XX+pflf8jc/5aAIQj9o/vf7P9Zf/0zQ5eKxeXz3B5SptPPO25dq
vHipmTJ9a7DJf/l/+5d/NQWvUJv+9389PqOPgVXYVOFTw+vlY8NQ5Wv7dXnEuKKpHv8zz+vmJ81G
+bN/V0faJwn30illiBOlUHpTHQn4XzR8KILo8kHH+LvZiB0UgZxADCOErZqUUN+bjTaBh9goXUGP
8Ku/9Nu1OH59NrmMv1yUCL549wzLZRI4GeoEyaTlf3I6+nZZclN7cjM0p4ekC0XgzasyV3fodI1d
BpoCTI6VXo+RzxBnUE6dTKaxmdC3e0rzIAOcpDXR1eA3J7EzXHbqcDp6WoSv0XJnbe+wcQinnRs2
N306ntkpPNnQovPvES0sA2YGtsoFBqeB1J9w4j5NIRKA4cT3ZrtsnnT9i+4A9+7rkl1wGI/zIsRS
WMUK2C3HWLVR5MwNyFBAL4L7kTg56PnGuMQzni7Uqrgi4Zq9UasIxnQ+u6lJnY99w24J4n2VebeJ
qy0aYY3zqq4XZth/tsiKjrwyXdC2fSpho895r95ZJS9xPL9gzoi4LulOKrm4s3xj7dh4GT2EpgGc
wplepwBvEFWzQ8a1SFNoNPCew6f4TP7Y57QZDmpO54AB4n2ouuE8NRCtxsMWkEK20gb6gFWHCR2r
5rNP3bEYtOyuAHpFEw//Ps3WF8sTSJzj8TEE7H2Ct9+mlBCk6PkWpGhHuxBwPBZGTpRfaBpgRQBK
rvs+PtHMsmPSwMgXL3zVrPKog0tts6snqBJ/mq4iaB+mpRMw8PDdiWgf4M0YWBwyF9OuWpEyXSy8
hIKw4W6eYewNQGjkDPDU0EO+XkPmVfNkTSOxuaRvMN30UxcscjXxgL4l6n60UuKe+ji+z6tOEFts
W3eM5tKLutLKY2CJcOvAcSJaE1k2Mb/5TliMZyTIOjoF3EXetJIPpPVOCdFlKWLjwQkVZ9GbSrnN
hHpOS4pk+qAvrkGkGd3aQ6b5oGDh/GI4DOlSRG4Ea44g7B0HUrAoCY9mat1NMiqjCk+0WuwbqIvg
qpdksZyCPL5Xa2S3StmeVUHWbzyvGVa22kF113OX1M2gm0FoOzMa0azKVJ1HdtXQ73BPPLDxszhB
75NRES2szs0WkyFDCTUnXNjpqLIRZ8K3FOGlrWcF7AQr3ueu45yACulucFo5Wwvq7ixQVG9N+jux
WUr1ZRAEnuMqWAzOGP4bTft1+iPdbr9ezE9equzHF4D8mW+LuMaWFNEyOkt2k6+Mou9bXPUTuBUI
xSyt0u/P+vpti2syFsJkTxYjo5yvJIBvW1wD3DEJRqqNNgiVoG78EwmJLUvH73UYazjESRRmLrcz
SibcGO/XcFsrfFULpubMBv6BESykCHMCkSzwzrlru3MemZv0q1ICZWAQR4ayS2unlUTGUET3oSAi
4xB4eVtuUa0WhKG2Ua8uC8Vs7WNhVFV/zPrirCC78gqmPY4qWlf2KqonwJFJED3opKifjxlY10L1
hLb0wcrBZcXGEOLpn8CzlHXtL0oT1s3W8JQ00pli2Ul9TxR2BGJ+SCYBHl+nUR/WK5ENobZL037K
L/1pjJV1CB4ZPkHug93TfRVAGRz+ocO/XOV9tFZieIm9ZIZ1saUt+6Gc1mpsVTcsQC3Bp+5oTUu9
bkdkZMKFa5e0ulXuC9tTwMcbhUKeSDFZ+3asA7zeIrcuQ0sasUi0ANifjfVaw6ncXMZ6UrlLyyiS
wyCsQKxLJgfL0a/zu6mXPMui9OOI5mOQ21vCg3R1+Xpn/k8XXP//pUfLxsyvH9HFS/KfM95KLz8+
p/IHvz2nQv/EexnRFkNdahmHDcTfrSgDzhgiZgy2f4UcfntODbBlNHBM1bLtb8HTfz2nBpNiHlLS
DC3rNU9M/JPnlCrw3WNqEIjIGOJVEMxoWf1QajVeG9XJlBFPAotGjcNT24/nejd+vUV+XdM572s6
zkTKTakq6Z8h3DY/KsoUuNOgmeIeWyMUZdoLjrHERLdLYXWglfEZ0vQ2wJkmP7hje1rGxbUtqlbm
vOLNSxG1xJUWn3SVSZBFjjpaH3HrKCaGFpJQ7/qauN/UCXC6SaZYUCeXBQeciyI55ipdZg1CxMwp
RbkgEYSyCxwWvCrnpEwH2Rip5pkG8YHVFg5XnK08q1sJInwXLRGJRImR/mMbt4pj712jdfEb63eB
kWDdGcxLdocXSjqcKYp51oRqh84pjGaW424rtzvrvdTnNa9dg1omQMLvyI2VIOe2I8dKmVa90d66
TvVC/PaDn473lVRUxWAzFskYHk2yYy07DVeQWjaW61XrOqj4hqrqOrf8TegY/pyt9YnqGp+zPohX
XaoWvNmJVEzyoQBVKcFYaFpoy0wPWoqrcDKig+FQO43MS5WC0CViylob91oNGHdI21mujRd22a4p
+DeIqBTa/nXKB9WhVTQZfDZhXipjQWR1Q9KT7T64DWIm0kKYPFO/tAbtLchKDph8vr9ojYzpiwMZ
hC2fuSezCAdaBvytxPCi2eOZAMsxYHkjGUoLV7GWHEsW8BXzozXZsHvfZ8DeaMba7bi2QQ9sUbHM
blGU7gO7hA2YvAtmxAy1p/omtLRp7tc4Q2kpXdZ9u9XMmFwJXX1SE1zOfj/eJGForgd9oqUIr7UO
IpLIp+pZS8Sz6BMg7uRS54m7BTKrQXTv11DyztPYYaiWW6e2jgnOSrKnKSruApuEutTKr2CpE4BT
2vGmb8m5sPu50L0VECy3WnKLBaRz97zohqB8zLCVVavJUYjzJTGdQCIVagPIXFH59cbomd6pdr/S
cGjPtLIadkliop6n66V6SIgM/blX3S1N11U3oSjDe1l0NwRHSS5XrzGcMkOJSB+0cBFHYqsjidJA
3DVSL+eUjyQCXGix8uK4fE0llO+cuxESW8eWqW7gofaLvI+1rZKaMOX67tQhBnyhsAnCIob9r+5C
KGN+f29Fdr0c/GLvh6o3r4uBFAIkS0Z9yvCUDmC96fvmbvIQEwwkcHeRiqEmx5DNI6tn8REuOZno
ypbWkMFWIQiW0zACO+wgWPRjOot6UBhDq10EjbUe8uaFGMJ+PkDhybBykn6cXtnbwKhOoGFsRsuG
jKo+TOYYz0EM17MR77Nx2fU1hLh2VxDokkgLeVbNxQrtGob7Bn2Vvux1Y9MJfYUCAhrfVHRr3Y6a
laphvvY74yEzNEameb/wFOxARl+sWy07jHl/D6sDVt1o3DSN6uwLJTLKK7mD8R2j8ja5IND9T8vo
D90t8JaaAUwfXTCpFXKu8XZnXNcEyHijNR57oqBnxtrbDZf5fhs1M+UxuwXOuoUHNvNO4Nm3C5q0
2zcvuL+26r8dK8jDuzbvHaELxhcfirrKa81Osdrp2NlAhLauCgNleFDydPbPjyMQ8ts0sZkeqx/b
UQ3vrHDopiOG8YBtbpK8uP62Z1L/++O8f/vJl9Lr9eQdqKl4Y1476m9a9iViTbPVAvVomSeVRbgs
8j3j9vfHeDUefK+E/zrIm5P50PhqA1WtBbGzR4Kobsi6WXYb9ZkYdiQ9e0gp/uyiWkJAWonN9Zmz
SGZnHZ3em3rpLc+jXT/bsP8+bRb8wwXG9UW+vPn95xM/NIG5BobAD6QjIEN5/uHzJe00EQyhakcm
nmfeubpU99otbGo0oPN2Mc5299p6mJ+Vq35D5y49ISrjnD75qp8lX5u3/xaS8gb+dSG5TP6zyKvH
55/MNOUPfiskNfeTVPmpSAB5c77v2mmfNL5CwrKFpX1VD37b8LmIB0GsuJYw1B9ILjwABo07Nn3I
zSlaP3Tpfte1w0LyoZQ0HX4PK5OKQoLxpvbhPip9bzAVrasPqpHf9NnI+wkotULpC6agro7KBGU9
42V5Z6K4mrtmgsTNVlDVQfWmj9Blu8mHThtPrNHIqm4RB9uLinSReYE3azXJTNA0BO5EUVTNG6PN
l6XndnP2cT0C4emybXif0w4L6ODZ126dbXmrZCsLWNTMNvMdz6q/qXR7C/Dllqg9iWotLqs8GGeW
ErobTcUha/AiBOkPrfQMiBZNFd/TZmoVaavRhGlVkP6a9OEatP0kJRcn6MrvvUbQMycTLujbSxWV
zcovLaRwvaXOrMH8bNEd3DQNm8pqMEc0EcOLlVsv7MejBRBT5IRlt3cH/Y6JVbYrWpB2uu08ii44
D3LGYXzMJzdDsmXCu9Q7CbWy8vxmILRkyTqKeIvkapOYapiUKz+H3egFCg7/9MVKtOUgI63zpFgb
hFzjYEP8FPsbWn3OLO2YjMb9NC0i8qyWrTIcIA7ohGyKm5AA7U4maWPEzYGwOohFCuaFEYHbCQw4
3WoeUpnEXerEd7b0TieZ0u2o440Das05DjX9qqIZmIUmvBLd00ApvkwS5+8xoVzWESEGOUIlYl2T
YZ2GODfKMHK3RTmCXojFNfRJaPYj4T/CCWZY1vT7SYW+kCK/aq9aK/HPSM4pdpOasuMNlHhTmPmy
j9QLDcU6RYbDbhnrAmFp4Y20NABSBcBCoEO00H0ACgVT8oWZA/dRlPzowzSZWTXqHEu9shV6xn1U
PbctG6PE2hltxiWmh4ta7rYww2dbT0892N8omEocoRUZY7bSPpJCjHDd0O8VkTxQXhPj7tvr0TVy
WtDRRqgYIuy8Xgwt1A9BfGg5OasxixGu2QsAOKeWZ++1lpBBcHOX6ZR9UZMc6VbrQD43R5iksY8Q
VImeSCy4MwVs1GC4SCC3jZ1yhU/moeF1ySbBnZWtclIO1Zmqe9dDFp2MParb0hM3fkryTlB5V95g
nwBYq2eF8I2VXlC3xg75E8K49+z+2lK1aZb4STQfFEpqO1Q/w0666KvozCcuk1BBmjp2d+g140If
OZfUC8+rWttajjVHLbyT2bGt1Z/QtoHC0NzI7YqfmfCWzUMQThu9SgEMhGx46vEOOI6zjnwlncUh
EFH200R3lgROuBIK6w0M02kj3VV1utPdbh/rYhuo0w3Zog7Xw9Pnpd5viwp3MzcsKGcluYB3/LnQ
U3djxwl6W8sBjkGfB4KpA+0nBxYHI2qVuyQ1GVhqoiKNtvRX5kOtrRyB/k6uuKxSwAJjozvmjMZn
omzUVQtFxFdHMoGILlK5BKxJ5/po7aPWfaK/JmODrGthGXvdKBGDtgiiO3zyi1wucRVSzs5XL4Wb
ESoJn00UdTqrgWu7mplsUlSrWtLg7Ekba04z6rad/EtNNT7bKQxWXzj7uAu8te8rCh2v5EKzYSjS
5YHyI+zPIrTJosgSUENWsRx1BahUCMmBlXQVw4Ctmgkjc0neQFhpV1nYZbOWsK6nIlDOrLzrlnnN
GhGGt33QIVcLNqnpfJkogZcNZidgIyqw6xLhVVibCjlf9ZTeplDE/f0kyNpoyGEhPts8MZ3qysW9
AsrXpjk+5Q+Q+VxMRp0+a+LpzoMoOLO7+rPVKOV8aiv86clZ4GsH3fQehrr9orUtyKqs2tGKQ3Nr
JMu2Mc9bEKGtS4i4pVY5518unWQ4VYEEon/O1JmJVoFKvr3SB8jHHqOjPLqJOhBgMWk0fJrpzo2H
fV2ON6nZnxd9dOR+4CIM7XUaa2eTybSh8RHedmpG4jEWq8FtLjN9PNOseqcO0YmhDtcZPUfPMI+W
Xy8Klyxwh/8YjMBe2InFtsw0eMlZNNvDqInmmSqaGWvsAujWJiuzTRU1YCvTmmXHIqrC0gFoaR5+
Gs1L1hZgomly1K0S99sssgJiW6XgcWzEFgBzCBQnapcEdmbLWCWGtoc5DtODNgExEl+L5H+rMmmX
+HVVdhHi46zD55cf23vyB/+uyoxPhi4BG3BruXsoir5192SD3rYESUou4jYagN+78ID3ZB6BQwMf
hK5uso371oXXP1FZ0ZunX/gXee8fFGWv6oPvew+GtCA5BNFPdOMtgTZUdunfbHACIceorf5/2Duv
5bqNtdu+ynkBuNCIjcuzcmQWg25QJEUi59h4+n+AsmRJ26F87yrXtmurqBW4VvcX5hzTONdFVZXu
SWNVBlnNs/Qm01eeFSfIqAwzIbXPFx22Py4loZRwF0zX7EsoWOllN6t3hmzU9radm+eOgJvVYDT5
MfO97JZTf7jsRqs85VFbvLYBRi8jG5JbSwz10SpiL1+2o/vmG5G1KyzS9ERcI/t1QfJ9pjXSPQxO
hMXWKLUsL90mhhhWE/L/l753xLtmRhPrQwe5iBeSFU1ZyRBNeoSEOtVqNGKcVXqcLaPQTa6yrPPv
DHAdNx2Hf3irx2xYm23qimraT2XIeAK3hWRQxTQwMHhAznPoVb2wRA1sdZCFemaVgcC6ZvyiL4ra
sFb+5PT6hcNXErpuVMWftJjKalH1iesumbgjSRpqk4GF3YMFSLrO3Ft9Rog4fdfKRdo3A4lkWxL4
kNuEwfe1Zx/Br9bPfhw5BB+FXCNoEkGkaxUs3aWKctPcKtHEexWy1lwVmGAm0fTuzuhttnVu/NrG
aXgoHQBMZxu64V5WMupvplhSptY20b3LkA/mcM48KJ/a9uOL8N+JoPNF/OsTYZu+5X+ylJt/6Ntp
YIjf0N+xenM9EkOpUP44DgzjN8+UFv8wcZ99XH8cBzR2KPa8700af/TtOPAY9gPsYI3Gym7GKfyb
Hk04P6uV2MpZaE91lK84uSzrw1z+43nA0sjFvSQ9/BI1CHtbTOW2/oiINLU8NABPZY3/maKnvkYR
QaBkNmdLToRMEh12qnMvIX46eUmoVACuLXqjDTbKsriaSjMd5zhNgGBkEa273rtO5PAOvS5aEulI
vLaBZt1gNouxw662OqR6CbF+LLWdFqUvdg1Ez42LUxAP18kMuXeIKQtwUrg6mntIjzBlhyVBCRoX
qtqy1LgwSFSPDJQWwwzR73S1UzNWP9fESwxnH1iwva+l+1ha7n6qh1fylc8EfKb2nPXgPHnYZdsZ
3E/XgMhHzugtor8RatAwgPmfqK6YKeZLoxc7jqtjP0cCDC3hAImp1SSiAp5EF8arRXWyaorpIWv6
s5wjBlCDERE2xw4YeEtCi1APsws29RxNIOrAXcekFUhSC2hy+1VluYyBSTTISDZAQHLLUXeJqYAF
R+bbm2yOQSD2ZT/MwQgfxHLBeHalD1aPzY4AhXKWYnQa6EpIn8xf1XVmJ/sGH/qCGMYvKuslpyYC
/rrw6c4YaZqBekZZO+D8Eu+toR0Evj2ECKd4Dnjw56iH/iP0YSD+ASZJjGyESIiRbIiJjIhMy4dH
fp/H1v48Zc6ZHe0SPy3ZAvFBd/zbYQ6bwGoWNyummCjgNSPv2GtGCcr48qtMnmQzNPNjYLv7tJEW
CdJo6iMpmWmTPuudDVIrD25S9FsDZw8moBjapzWDP0PSwG59Yha8ZYqtjx6qmJxdb4N6pf630lUK
U24rVMFd5+a1cXJROj7IwpE7bSL/9L/jkIqF+TJLvL8+Dve5+pOJ1fwz305DYf/mzCkBTIOkiwqd
Ydb34giMMGWRwSrz94Slb6tP0/3Ncjg8Xcc1UahxTP1xGqJeQLRgwy8xmFr969Pw52k6y1VoGub8
HOANUIWZPL8fT0PwqKUAjddeZIkTbopZGTAWmSXRDRj9REB95IXc/msLkFFIpd0TTGjDwxRU3gZU
xqWlIpjWXL2VumTiYRPqLrvBrun5R6ci0sNOQ3NLsZFhALWsNCJTVfPj3lhpvlfkUMydzrpyu86r
85VLkIl1HG0bdO1SaFXcPFM91NNERwWlgeD6se49lMJ9WG/jpvTOYaWH+4D0J5TPg/WpKvBaSdqW
qivIdbKSOFuJauiPQIUU1MEov3DTpLshxnZ40XPbLhkshcFLb9XjJm307ITcp8AQVvgXsWZbG4YM
4Y7bjim1HEx1LVzD3zddMZyJHBguoEe2q9ov34tBEkU4Gkb9TM5Is0xby+iWoW/ToNtxe2cMVQYg
Nbdf5ZR62z5MhxORScTGTRHOP8u8IUEwJUIwqADb66O1ggY5Luy21Zgy6eqiZv62SVhVYxsThM83
DYOnBeyuF35N6KZ9na5HlGxqPS80PptTOV2FE/EO5E11xgsZcPaxw7e5VxxIjyaRxPjjDZbepRes
JhDyl12XvPKW5vvKc8StAJqYLmM29GcL0fbCxm12oUhsxkVkY2GMmmbrEeyzjidPXkxVZO+yKo+X
niLmOuRofbWcMT3RiDb3XVZ0gAfinBFnZJyxQZP56IRNslGY4figVM61IF13E1V2c2VGZrlqO704
shmBH9okB2yCE5s7TW4qW43vg0UWgiyz4DAWkcVzi12N+AZHZ5XesJEuFIF1bds5p0rJfFsGZOBY
TPgWo123I1Blzz+ktebc00I/MOE0ToYmy0uevg+Fln1rUxjWpq1r/VJNIdtH4pH3QZQzFmBudraa
Ut2EtRwgWAzVWkXduA76yd80H3Ka/07WrycrR9Ffn6y7LiPo6kv7v53nLHf/droiLGFmr9PUffX+
c/B+O10NmlJ2WiS6gLREfMLB9vs+APUIxiMG3fj1kfDOCPdvteYH9F2AGZj/VqxOdKX/ovX8dRtg
Sc5V5F9ozZC4oOb9+WxtO8KK3MIerjr9ECDZVTdF87UN+UtRyVd1yh/t7bxaQytM5cydQJfL6/35
QQQjnzhOmvLKHNBwzCmWMzI7NI3cvALaV1FZFc6YXE9F5EDcxIb7SO1lJNdSt9UyhE5noOcsEdQX
+yocTxF5v6QcrKeIQISOJkqp9MonaCUttL1qPFKYittWZ4GtQsidlXszRs3OVxVa12zc0AGLlW1V
B60cLjWZvKQqedbISevKck9e1CNjb7GcovAyIKdCGuARQzBcYqzf62721EfDKqUWRFpmdUQ60Oq2
9rCrehLmOzf+5MpdZTZLXt5j4Oh73WO1Ts7GoRrzt7TxQmak8FpV9uaXgEhkVgKN10fS3Zp6Q5D6
iaiZYSXzeU42YOotXf1lbPKDaWlcFFZOlg4pyYbxqR6pm4yofUgy1eB3Hl4bxzooq843VVye83Ac
Vl7lmqiTfXvpF/VtHYFPcK2iXQfKPGOkZz/TmNfpQKjr1HePWmyisnXHNZ0RVHWjfY9dgM2SoBAm
AQXqI+uIC9ZiOFhFizSpIFTrmHTKlnp5jIkkjUr6dUHIxIKklgeR4RGaXdWAIm5szKKLzEjvhgxX
rieTJ62qLXxE5d5DCn6RtgOpFFpy4ACm0xbA+4UMuIFezbjYkAgLQGEwltZYNUuPwBx/AmbqV3iA
i0AcatnVq5Yg4cm1X8uImfCgaihY1qtsMJLJOHqXGfiogLphVbXeHaufdysaPtz0nOnDkkZ+FxoM
GARK7SLIrkgbehFxrC9rq0WgneT7NErIQOnbTSTnvZGJisBqWmKQNd0jmba74rD+1AekDWsp6EYz
rKHWh7f4aivGAUG3zH2m2qgisXi762muez0Z3xrmjLVCDzx6/UOiT9C3lfOOVfezzZWDlgbdgzkm
MGZIOjpTpdTLgJCRJefKp0BVt7lll4cwMS+D1HVXYRFiSB/Hz30Mp78cKhhDA++H605PieOjgaEz
6slUYvTjbPpa/5QE6acmgn4zagiM+6A9Z6723mryibw/Rp2kYbumaBjk+MzgybpzChSVJlHS5Yd6
YrDqyt+VvBseMqzqzg4GkoCdhE+5lyafEsZue3uC0+mYw11VGVT35VvG3i9KyhSAVPlFtFXVsrgI
mBxLxEVDe+zqKH6wrJawNYLGG+d+DhnYqlDFp6yg5tO0m7qLvbmHSysS3bIaWhPkKs3FKF9jMFo2
Kabgic9vYOKKL4j9bmwQDrVGh9ssS76bMyfpoincx1Dab5CXqwXHWsWiS4DHLsnLVEcGBc/a2B2B
TgOh6p6CDic4Z85NnYs16KabQph7kpdviL5bOVpwbyTOUyNtxNo6wPrgCjnDlcrw7TftBrT70vfU
l67X0kXoxqukaZM1nPRlAlLJbWqybqS9qcv+wnWLdV0l6cJk6xdG9kDgMovJWGqQLrRL1db3WUTK
hG80ILXDjVGND1rzZnd8EnvH3ZgWUZJLPx9AaECzYDwQd0rT1nqv3Hs36MdtVdXGMg4gaNmybMuL
BJZaVljQmaZq7fZ5gKo/nvOBksIqFUUyBLkW7uVSpnS80szugYJs6nZ4HIb0vqm0J/Z75rXe2dMV
F161qdPquTLEPqzNL6MvL6tJXXgppRxhgmyHk0ms8F7DjohTcORTRsBSJtU5yMLbKAheYqPWlkPS
pcd6UqDRsxbRTA7y3WrDp9zgtziEd1FUxGBZoNv0zWMniumWkLJs489CKHIEGkIKuXuWXsIZ0Gkp
pvCunC41oHZ3TmyqlVKwS4K6sHO+5c0DUPhuZbVutuPbLFdV2q4sBztuL9ph6xtEt5qkZhMvDJG+
TyHQBG0S8WWnshwwhOyYElzh0LhpLIKjHbGN+7n11/zXiGR1FlvijiHGYy3G28CunT0ixcc5RxtX
yeT/A4N57op+uXTRhoGOQuDNwHsef/3YNTlpVxrSqLqrQg5rR1zG8s7hWdvMYeJ/Es/8XEXMFzwz
NEeYYo6b85AV/PxYTQOFxBia4QrwhZ/cVwre/T/oX/7pIeY//2FEPqSQMIYuHa5KvpgKOULYf7bK
2x/qtz8RTv3pg3iM8FxqK1qLXx6kCTHUxPkwXJn1XVWcRu1C6/d//xD/+2vhrfrhIVg3/Pg62o58
GGGNwxU5Clm1mZhAU4Xk7nOs/uGRZiHHzx+Anx9pfiY/vGNp2NuZAyPuqoLCIHKyoIxDl52Hnmj2
w5RNX/dPf1nmzU/814cD7WtDymQewG7k54drg5gYh1YMzJYeBR2M69wF4VFl/01xfjea8GH7617j
9Jy8/Umfwc987zMM0GQ6s2QhmR7r8/Lre58BmsxD/mEj6p4lRPzRH7oj9ECG7sICn3dfP/QZGAmx
FrKbQqnkmIjc/1Wf8SesUveDo8AkideLjO2XzwfDaiwNVW5fJn0aHLUgq/zbcYRutMO9lWwHywJi
4yI8qLg82eqme6umKrM7zd4RgFPsMxLUzgOiWmx2KWTKOXN+AViI4joTJ2nPNKwYXFcS5AfNi+2z
O7FJGlN942RIMTipN94k3+y451ZQQ7DyfWtiEhsGx3wcjnGebjQJPhxfS3eDlHpv9KPzOSWkAa9X
6K0HEW9TvdhNVBODEdxUgvw13cH0Rbpwv8yzetdO4sJrvDfX764jU15OldxzON9GktuqaB61QJZH
IpSOVYjqPLSivfCGR/K1llILbzPD/hREAGHo2ELmQmbJhCN4YsKwN2W5jnX/yfRIGQWzsFA9yMGk
7QeE5qjUyfVZmCZlZF2XLolb3rHC9rdIaoPJdXpRpYTDEEJzrjLruQ7byxa9CqJwe+G1cFqLAVy2
Xx4yN3GXWUE+sofdnlPDEwaD7AnkSmLQ10CqWJmuOky+9ijr8FoNpJWEbbzvAsIuKreZ1p4CqSlz
dPjCd4gaKHZMlZ4S7D3MTuCYm/W0CRS52UEZvoJSrIEeCHuVC7VF23VIA8/cZtK4yEts50Obhquo
ru9LP7TWZv3eOUrfOYnjrf2gQmppOytMV+9EJpHG43mXVdrh7owodnq3upO11E6al+7QY12niLZx
MOK564tl3Jbu0g5yyEF6oD6rHO5VYH1xmTit4x4HOoXEk1WXBzuwPgO5va6oF/paPA2lXy/qNnzH
l6A2CLDRSTTxReaqXYJbclFboqHQGt5GSQ6hJuxgGZbBJja6VxUCJWe6uXH75FWh3y1IGJ7VOZHT
vPScrCdmijQE2TwTb+miyTObJ+W8fmeXfYzPIUYySu/ZCbmL9iNqK+M0WIEjpDYm4TCFTsU7PjG+
X0Q+YlSs0RvvI7/Ln6O88jnUS5HuNfFluFZz4FeiSaQVFMYwlIyDacbm0sJDa85BYdMcGRYHgYmB
lxgxk0/bAvYE2WKJUIz458AxGgWixyoCvaQkjsydg8mKKGrpvIeAaNV+M7TZq9SDy6rH4sAhdTbB
xoJQ8q7ZcgGBS+OLyilhzosHRrPqthZa8pQLROVGheyCSJqVmEPUJPbKmaOXrCFogBhBDTbOoWsm
g1bSpQliywyikN05nE0MXX+RWRa6d4LbXBLcEpLcEo8Wp5vD3bqU2t+Impea3DdhluyWoarmTmcy
m5AHSHL2QcxxccVHcBy9+GcDQ9zCzqmlsFg6C4gUIDXm0Lk5zn6jlQTRTe2kv1bCeIyzzN8Q+jqs
h3qQ23zCPZAkqb0tsjngTot1zGZAncQcesdMMFtMln+svHCbDsNFxDcKKlZ3iMFMhQOvWtdsmMXF
kfS8bZT5LZAMEoziqWZM6cnlGLps3WTHb2hKcXIAoohDtcny7Dq0I4JwY9cjY8s+yqADsUD8amQn
Tyy4t53W3E4JIKs0ReEVItbPRXJuupp1YZdhA3brrV+WO6drSFrxw5XNQnTF0p4vLK2JcZZjdkdQ
TXrywv4KzhcJUBbaoaxAARkgCGSs/KCcHFNKeex8+TYWhqDhyw5tMjCQFOMWNs7XIu6/tbf4WyHM
Pivf6ug5/ZMq4RcdzOxJQKD2sd2mUv9WJQgHcgC6ZNoFuJJoKf6oEhhhmqDuGQ/yg19xA9823wb2
VmkDSvK4lT58c/9iGinMucL+o4qclTDsvg2DtRaWWOrkXzoJN6zqfNQqdR7NEi6ySHS8XKWLWexd
n6bcZhjT6i39vxnp7rQrnCQZcgZqMT2OYyU3vhHOszN/2NWid9XCdIxXgvkawIj+M860WzJbsyuV
4E6qJsfYmLYAy4fO5lw4zntYSnryDE+8yJtoEyISAXUGaLp1BrBGmbBPU9dkey1PWwaCSZKr5ejg
LYrjoL4ooVLRb3onlGLJEU1ZvmrKQW3wws14owR9La6vJSazeoHg17uwenVI7Ogki9Y/khibbBKN
6oY70CAu2HC4DBJ0yKPnhiuzpVGvmAItBZy1VTXSM1eyw4RkaU8p/V3pjPnBDbs74YCF9DOrWOUR
Q9PAU9pFHTuvQ84ooCpcsYUK8D7F8WeyI9EzWr3I9oPv+qfSitWnOmv9FYfkOWhMtrlh/NYGk/HE
YEy/nsg12/ROSuAZiYzRgs1txdPNPSinvlg7g64drHLUT3aUt9sIA9oiqFlx1K6L2zeIb5mV7odQ
3WklbPXCyq2tLotr1wGPjGkO3jvqLQZYzHmnxGUXpw/oA3DxnkTYodtVdWg/9WWwJ7jMTI6trwTE
yOxDLDVxT9aXIb+73kiS6KwEU70FXEpKBYS++uAtpae1lyUxhNoCeIZmQ6JTxp1mdGlEsZdMh7rP
vcsIASiDoEniRfJ4E/xLzwe9FEZgVnvhJScDfKUIsukWQAO300dZ/9/pJWgY/66/aZq3P1HtzD/1
rcPBWUEUA7IYXE0UCj+pdnDbzv+3/J0Xx5Llj00KDRHrRwwPgrGTx7H27ewCvgx7jb+RNgeZsyH/
zSaFvfYvZxduJ54Y/0t2Byw375cOp++8USsLZ7hUg9m46xAKMKNC11OsI6NwDXT/2E5JYK4V6ZPJ
vegEchQIAFG7L6doRoU7U3JqmEhN63g02gnJf5kXiNZz8n9fR84gjpCy9qd1G9QUaOyUd6MjAu/d
0zPR3qqmYYXQRq7lr3yo6x5Z6wSPYrbVZrd65QTGhLchGVCtTwDPaNK7YBRrwn3raW25AjWOLz82
m4mAmwvrYlv3gWV/SgVWhg3yZdIIBOUSMFHgzXCkd6Opuvh9MOUINpr98DoIYmYa2En0XZiMwUHz
ZfoSIeRZefgeQb6Xql9rKdvwfmY1w6kOF3qmMZJmIf/S26yopylj1KgrLaS0hJRiq/DdGTScwLl8
p08DcJkF2dot+TP8fMhvegho2D6HYxhg75BzSRhEoNs5pjEU1lr+glU7ocZsk3qV8V2HtqcRdD6f
/kJF+g62Pl0UpJBnIefF71QEh7LW0itLkfsA1MbbyjJ/S9zJ3pL6Cqc+7K1tU7QkDIJop+mEM2/Z
XXqV6Iz/KxLUs7JHNVhVAxHC2BwCab6FjVbs7DrhYwFfGfmMVa3rInBx3GovJfHlO2dKO5BwJN2H
df3uDr6/LQ0aPDejbV0NNcLttCXhoSiy5oDJJ14ZWhifec7QaAunOCRDD7Qr1ld0/BSs7qCuPc+3
t4NXZOtmdnUUQ5bQTFmEr3Z+D3K55mlK8zHNE4OiLQ7IBSBoAAJysCjwaC6IhiLBjQHmVqROdc3G
gUM5GNprN6KfmpSo2JYptgGspNPNpHvjuumLYdGAN1mPwu1g5qP+9sc82YkUhipEht+xfv8dmxxK
f3NsXsLZDP5kMDT/1PdjE6UOBxMLbUCbX7fM30s+YFGcisY8JLaB2jMj/jYYMn8jLnBeQaO0FfQ7
/NG3Y9NE7AjUQDJI+vdkAybEvxybs36Ivx+ZkWfgSZsxVz/OKRmTKwjjun+uPRGSg5Am9N+d5x+1
sdKPudvwbdV01X224vAQ+eqJASoJDKhrzVlmqw324O6cMM36dWXqMTiOio9dHMXBEs5GcR/Us1qX
0hblbj6LeDkx0PMOs7TXSv3oDR2HTx8+q35tPrjEzFA6UVJS/0VxRZxHYyBgq61+U9Ux4cLKxU7h
JWrRoGzzcMGUiBNjACXklNfvmgzQxCTZjC70McIb3hdfsqd25oNEM2NvQ7BzAMOYr3JYE5zaUbtN
xbGx9fM0DdfCnE5h781RXCeCPfYiCPdj5IPtd/DHTUKzQYv1HZB3K6Ric7Z6qV3FfRXflL48tpiX
lk4gc+q+RpxyAiWWhgY/WjlcRjWnJWSX7nJsm0stYec8BHzVlcWWvMA4AoUb+laK0aNcRqaq3xOz
vY1S/Za+IbPZeLT5lVbh6zAtPH5VuQlKJ3wson7ptnLpN35GxGiKb7xgQtKgJzBKF+tbIRcd7jlP
mdktTIBhU8p521eRGlzX2TaveLklQfLceRiIJtdZGSIPL/tg8HdRGXeMTZpNO2rFjTMwsiJnA14z
6AAP20lpYHCJtDPZHFSmsPVVV1qfGjRGbphA2lep3BCOxLYaOA1mLuxFpVs+2X7HvFBoHvdubgTN
slF1/A/Ch597GUlH5BL4YEOQcCgJpPOLDTvWw0FPQEleGHpYbsx0MJ5Dxfs0qAR+5n9l44cEx/hb
Cc75uY7Konn+36Z3/rnvJyDy7HnEPR9ZroWc8I+m19B/Y1lhovmbK8rZF/LtAIQyTMUovssYqfa+
HYDub5yIsJxolC3Y6c6/cuSas/Typ54XoSTScc5A+DJkSM/ioR8PwLjWEsOdjPAy05kDnUMDse4o
dHDVdp3nwVXBEXeYusr57ITWUO88LWf4OYwk/NaT29x7oVXcel5kT4QsdwM5ULnbPjRmJ/xu2aXu
2gkJdLAi7X402EKOwWQtU8NIlsbokP+DdwovV9ezr0nV8xBMz7jtrEU03jiNzNZI1rZGmkWXhmLM
JBJnPfZIZbT6AH+JRhY8N4k6fbPEZ/ecVDVGX6Zei44v1aIRaJnVJFMcVnKT5sDPtNyVQG29vRXA
aej5hpeZc2P19k0GFGSVmO4X5Y8Xk6yDldeL5yqvbkvT+BxKJoKFXw8bEryw3BnTtJWRly2LviAn
1bJvYsc99bIBg0sf7eTpCUXAsQuTbvZSEu/UzA1lHeDhH0q5LKfkpq/KT5U1lWezJuRqmhESoMNH
rGdYLRFtM+5MmSy35hguxzxITzk11OSWjxCg+mUjQLh0ev02NbViuDima9l0uxSSig62WCTtqnTd
eKM0b4mOYaSjNzZdwbA/jHkPQE4RZ9RLexfl/JfVj4Rpe8V9TsSF66F9slCtlOmrSMI7pwAz17ax
dfJtf89YloCrWddvu+GS1YhPJIpzCkzXXBapdUM2151V01Ij2f7iFPlxUuZNqaSOXl4yustdzLl9
ES+KYDzmIIhbfWAuXuTbNNJGIrW7admKnlFpfh87TbpyyDfciDFaOyX+OpvzVxvQRIa63MBS6S86
0t5ozhsow7W1bxMnu5eZPa7qpLueeqalthle5IgfFpWmQ4FU3adaxS9+PwDLCWuCYSx9g/vgAZvW
o+tzb9fiOc04tMf5aej9jaaQVfrTZZpE6yYyNp5/xYe1YILSnVIvuZqU8zlyvGyToyrY1CNWVctL
WmoBdWwdPnbCjk8FgXeSaS3tkHzQXKzXyLaipYhHf6nVs+okubDL7NL0cER5zlXfSKzv884gcK2N
ZlafkdavQtv4lLVcck7hHsreuaR6MWmIuqPm+Zugr4oVsd93DNdfHG081073Ri79XdO6exJDT3EP
tEUPXWfZpqD47YLfA+Xwl1QMfMUmegE5psxYc+eSF4+pdQgfq5oll9CzS8MXVxWK38pLXjTNX0oI
SwvuOQZFZnY175ZPuRke3azNH+Bo1otUwTvU9Dw9augByNtA3eKzIly6WfZMc5GsW5Vei8Z/JHNF
LemxaRY9a+fJ6ZTm7bkTQPo762lwsufWFIfJ5kEH4zouo1Xqe/uwbC/hM24t6CxmyQALad65w3qz
yC2Zb7joVpYxi5wFKys7PHhdax4jUefXDXqm5jD2AgvmlPcIw0y4Tl7VkuMjH7osBzpdZBh08Zo3
myrV2y2ObaZNeQFmbbSMq1FZB3Yb4iLki7Xkd26zRmetbfcw7JzWHR+mKg9uME6kxxie9LblLVgP
qZbuBCuBBfNF14Rs7Qf6onfacNdqJm2oEfLQilneRosBgP93TX9VyqIu+JvpTtH8v/9Po5K+Nf97
U88hVt9vasyYbK/Z9RqcVr9aEbgdCUknvHXGavwx4jGt31Cxzv5JDxvPx6b6+1VtfIAUmf7YRAZg
RvhXV/XPBd28CscANu/WZ6ybhK77y0UtXXY6uRdfdFwDpDH54daqHn54Y66+jrp/ZPegwfmlHJgf
hfE3lBf8qnRevD0/lgOVz+7bnuz4oi3iKF0VUqda9DA+LX3TSNax2RDzwwIRBhxlfjcX/OnkH3t2
vDd6GV6nEfZ5O4xOg66zoJ4bBiHJ9EhFpC91uonByPZdH56juezuxEmn62iUca7oQsbavIQBedBj
+ptsblRivfI27ty8gBVSbMe9L/CxBlSBtDhxC3IN0857NLc/DELohMAP0RX5/Pw4N0pqZBN8GLSJ
TJCBTLBWa7C0eQZOhG5iuJW0OUN9w7r3Tc/duqltfjYyXOMaOpNtpCehsw67qkzXhaqShwLo2UrJ
BBNZ4JV+vBdm3jKaN+WFoxrFPqljujI6oGgXrVma8n4yKge5rpFua21y7K0oBgRusEqYDRJ0amet
8hc6TJRLsHPamb+/XDURJvRZ9Vdo+Vay0lo5HYtfTAvpqnZltDNTKzl0eALkFY/XmJ9tFbjN0VBU
I0z7zJvCre3xKhT44apAeUevdtwDytDgiVbKeuhdIlBkqpght3ln7SVOEBo1wx6mnWRw6Cz1ofE+
FYU0Fw6UybXW6dbKKClE0i4ZllUQqH1v2P2F13XuuuU9P+X+1Dw3qBlG1aN8HqWx8KporyHRXLuC
DKwAHMgNMt9DrKt07RXCu8EnATYrDqOVVB7emhIO7ZhYQIjpn6rogWu8P/Gr64lyi6Z1TdYZageW
p2M6RgcHSsjaZS+7bdtULHPPty6asDeApFXN1jH73WDlCFJHo7kO2KQyCMvOUZ4SvNjkm4ygV6uw
ARh38cp30l0RgdcITP2q8YbbVrj9J2SK8h1tNAKMZOUMo/NeRN3KzqD++5W407VuEzgtfI4iWXta
tkkka1GyTBeNU35pmvYtj+o3Fav7KtaAy/UHb8w2HCBsfKatNcIVlv3K9LhzbOM0If2lkH3R7Q6d
hLZJB8GYDC9yp14xxXEdvfp6J1aDk5oMG6EIJHb/ZDvRSzo51tppkubQ9my9tWE6GZmxNwPj7JTd
auiSp5JfX9OaVF/SXfu9s4EOsev06Wn0m3WQgW+p9Gph+gEldpPrezyf8UooJhKue8VrvLFhLKzG
aAoQRPgN5aIenUPLSfDvGNdtCm55qNpjYIx8mFuxTauRcs9nhCczdfT4EumFS657DfxXnmRpnqyx
eNCmdpnY7i3F+nVelSeMTAQceaes669DDzmGAWQY+zNDXepClYhFDCJ52dXFR4rmRaIln4tEfC6T
7BA1ybFI5SHuxPU0iFVqIMxO07NtxcsqrdRxcl1GxswyZaheq8TddQQGezWr/3Cci4DhIItJ7asp
zw8tcUeZ8oFlcxuvVABOwx7NZFt55dZvUNtOSqs2f3/y/snyUUhQvB+2C1Z1/PvnkzdUghLDSaOL
okoMcqE8hQ5WJStwjCnhaeawcntKvIJQ3qyc3kRZNddVleh3khZnUYzjTVfHJ330V4nnPuhju61C
552cpoAIJUTfkGsADc345onPNKOnZeGTEjgwNydPFbuZK9tdXxD55E7dkrrn3mAhukZ8CmiETCRy
yZZDtWzGvSgTJCB+vsWlT0pVD6Wv2DYZvVOa3eJBOHR+cpya9FB1uCrL4iSZYW3/j73zWI7c2Lbo
r7wfgALeTAsob+jtBEGy2UAi4T3w9W+hZW53X0k3NNdEIQVFUyQq85i9126HicjnSez0MbYIZKFv
CpViE5vJNuL2Cxq1uTWnTvPL2D6oscf7GmIufgQNXXI9PiSiNxm/oLHRJ/3KFBAWK5vZ2ijkuS/n
S4wVXg7W1kIsHYi02oc5eJvOhXyRudEGX9LaispTGkGBd3L9SqTDMe0yRl2UnfyUkJqmBrp4fSWT
9BalKTqPvKf/yBXhGyUz6bq+FgYJCxnkecbUyYM5mdSEo3gDyHUUPQ/TyAPqojKSsvoiK3WrlWRE
mdpLkk1BZsBpobwdOIeMpvhSeM5JrVQKfE/5Emr2zDipWtkdrjaZZsAVy+Usa0/CsZ91NQVIOPUr
F30KBHDNT5pJYjqMroyZOSS+bBBJZeLu9CzpHgu4mEchqvqcMnD/H9LO/xqZasskg+GS7rJ2Nxfj
0PclQoJLGpNhJi5hJwIjOdR692uh+pdqTkYi380kvs2u2GaxgadWB3OxEK2//w6Gza7d9aLoktrk
HttXohOM4m7rIeFJSH1hVxsvWf+PN+Ayo/nb7/rT9r8rZVuahqKc1Sm/QyaAIpB/4VZ8ZgnFuBQn
jd+61hNAhX3f5RKuKwboNB8KX9UFk9t6fi4U5yRak8ChLN6k3qC9u7HpBJmaPNhkigWRnI5Oar7Y
oRwPWmrYHU9TXqy72cnXbqnAfygRpTv5NO270THeixzOJEpBYy2E+CBDBFSoCuqFE3gKWsZ+Ppu/
u85MZ9RU8gF5EJmOEc6mqf2C8mbHpXTf1PXGbgb4oFayM9RYQc1HhZIOeb6d5k71q8xGqDMsxA0G
L/QgLO8Zq1ZGRPfsYUNo+q9VM+irphTARSFpDub9OOOQUOXBagtUaYtlW4SkRyctIF0bfKuckyPy
uyCfQj0wiLPigpGcsupTT2gd/vzs7MbjNq+HdR/OPMHqWrZRhjWyDIokc1clpIqgTsNzCUCWacJO
K+zZZ8B9x+yHAq5U7ruWdDnDICJ7dtqtUkIH07rizY6qc61mN4S4otgYW0ZBBxgnCjMLY+eg4ApK
TXvIp3g3huMY9HV3KW3uyKSEBVCbn26ldn4I+ox2dxuV5skZfsMY/uUj/s3b9h+tyX8/40sh/p1A
emBZ0uvQA87JKb+OLsqmOlaPwGz3TCVOLleP/6EPK5Rg5/x1OP79s74sZP7kUWf3odloDSCw//jN
YYK7ucRNfy4Da5WfdL/cdIwpjsqTs4Ht+HCl+Kenfg26tH/jH+llOqmrg9iEFwOq4//4aX5sbH79
TRhQNi3XsBcMzU8TyEkdEBJqSXyBsQkhYiXUp/ofZpAt03Dr++/x05pnrrNOieM05nL9jBhiTjd/
/xv909fgICxmy2XgRfjpr5mN9sw0oOLyVq4rRh+1Rc356wn175ZxoUD+dft+fvvyWf/JjH35rD86
dwiWHMiwlnUL9Owijvh9y8iMHVEXvTsdG3ZtxuXfDdkdemkgJ1w1bEu+F2fYvwCwJf6AT2ApuCwg
/4GwzLSXx+s/b3aQKi5wA/ynAHFxd7C//PH9pqja1OitFl1BQ6KdzbJV26BBSqf6AoL6qZTKqhxb
L5jFdHDwcm/zLOLq7naqpn2aSl/5g2dxMg5IyZz0OKInW81egsuyR8ShKDfLeb1qC5xNbpY+gm0E
zyE8b22K8kPrSN1o3e7SdmS4af2LnWZftUTis+T+Iu/o1fbSQKF5eOQqV3c51VuUDaHvhBC0+bGL
TdfxZAuge5GmvzDUh8stEHAAGkYWoNjmZmzDr2CUPwlUsLGPq/baJRbYp8u6K2R8M0b526wOj8oC
hPHsqPcLi45OKtbBshVA1Dbz0NKDsdk4xbtrJR+xU18ySyUnc+AldoS2rJtSu1ZSJrgpCPJyPias
/rZwoqCqCP3aSpJrNTfGFWHIBO+4EOFTqoutbZY9lJLhI2wSqANaJ1YydlEKxNYUpGpy3/fTtehm
iLUqsrrGSJ0THtG7JgspvbWbJh/qTZKaWaB48zFOvUPcjseyiFXfGWLsxG2/j7SSeXfBhsJehtFF
ZykbRTTEtMEefGhkke+8wuqwFzoJ2vPWOKCvSzYA5r6gYpkOUR8D7s5VBMlZ4pJx6yprYnVPdqXt
K5PA3KkLw5tJgW0V4x7dTBG3qZdmOMAUYfs5dMObwla2xeIuFA5FbPU6EQyxbSJjEe3ENKeRI+gD
zA2oE9IyQsQzdh4S4VdhqXRyB4Jj9tF6ceZrDn0bwIVsneZcjmMWvqbOsLejujxjmZwCvugUQIrY
JCIfA3Xu1yLU2nWfw73T9eqWxi8OHL0fg2S0eCA7x7qojWnsap0w46ibP7paNVZl01GeK2a6SmTu
+R0hxzuR6H1AyNgZhbsXuKP9WbMrWLObv+RDm/tGy6NMTzcGUS/STRkxl9IU+45I2tfekUvKOfOd
xnXSXduMGDejAQh92OxDuj7HBD45ZOGil8kRrnc9j7HnXIcqW5fKTM0dvJwXL9Hf6Xa2jjK2a31s
zkpG4l+kMI03B6Jw4uodTidk7cGpYHE2nn2DWaE1D+yANYsC3aJjHespWxnDZzrFT2PEe16XbsHw
pGPd7YybyWiNa2fIXsgGaoLQFSifGlCOlTU9jvTbdEaooUehgNQAe1YUUOClLIDTdMN2SA22EAW6
01oABIoj+4iJvSKYCkbkZOX3cxFe1XZ56kavCboi/yra6k434n2uu8feRUjZJseZ2FydxjlW4rOa
YKAoCMtamYzb91lt3qqF3QcaX3dTjdrRNZj60AzusRHra2ZvL4MX7ZrBPKJj+sq0e0Ow03I0EZFI
LPOB8M03fSnyKq21VtXYDniKe/sg5nbjjtHIZjBx2vYpJ86q2IxxaZKYrdTFnQG++5FWdmAyoZdy
ZatNX+8M4VqvkSysQ9uUaXQNbDRy922lmK9hZOvhOYE6v81YuQQoN540JhNra9R5NMIoXYc8Lzuz
kD3QVxTqA8/d2iLBa8VT+NKZ3W5Gc7tiTLiL7Tlkk4RyfBAROeBFeOPO89WYd62PZW0mZzy7Tu2I
Mhst8zoryQSrZaojyk++RrVzU9s4dNiXbibSaHYY+1PfKZ1bZjzME/rHyipmFnIM9UISXryO9YI6
X3umOHZysvyyVN/Yc2HZhJaXDNmtNmip37Zhs6tSRfCshVeTVHV/agEYKFjeVjmiNrnPCxrFxsjf
nKJHw6J3te/YJIrL5F13B06D8X109E1eIT+ZXWsbmibvwxRli6PIe7LPcuaGmdy5uD7yeUu3tVV6
9yrSLLHpp+SrbcRY9loaagOfcCrWGgXbSnPBfaR9hUEjG2DQQsyLQ06/OsuiTW6ULu0TuNuE/O22
ICNnMrOt0auanw3Is3S7uhUJOR1p7ZxCcqSLRhUsbwnY9rC7VLF+MWONOLNI2Vh1jeneyR+lXVwX
WXVR7DD3C9V+Stz+IxnseDuM6XEox2JFT3YMMf9blYt0TFxNVpH5emsfyhDIaJeUG+Gp+7JxX5nm
i62hIq61lUJbddi4csgqPvhcCIJpQF7RHatQA6OE+UkMVr0ZZg5bw22PSYaGEb+Szf84blD+HszW
jfxOxFhfamcPi4LzGaOU7GdGueIOwtlb1Tl7HfGahJ/VF8qjNPhTq4DBatayHDf9JtOiz8TzdhY0
50Lho2Hpfm375EvZaMdMj7ffyqh/68ml1/q7ehLQxJ8sgvik38tJMHxYiVkF0Y0s0gw+9Ec5iZtR
BwZloxnTUEvwod81G+4v6NzwOEL59H7zQP5Hs7EwTkw2REw0TJYr/6ScxJr4czkJ4QoxMkDR5afg
C/5YTrrsmmxbUecrI4sfK4N6J2VUAXmbBFxtzjZuZW81HiJrUhhSeI+4xrFDdSjLMs++T1yAw0W7
z8jkxQFPiq3jZHi4BNPVh3SJoit09SZS8nrfchB6AKcT5V3HOIP0VjN6VrxhTyKOlaugsFMn2TUt
d17WJd2NiikqKDr7bpBLr95PVyDcEWzmRlDGMyv4sbifJuURy/uDQUm0UnXOZLWmvlAmaM/ugbVo
MMXNRz0bCNnyYRUl6m2Z6NccC4963+RBzC54FbbL1I+Umy7Mv041aKcY/HtoYurSa6Yllj5etSzy
q5RiweoNQgqK+Es1ZHPQqoywvdFdR2o7+FRy2kYCGkNToJjTfhgLxcc+dtQ658qAik72w3HuHJ+k
Mgf7W8yMXO+PdV8+xar3opgOFJXUIMOvWbcWWAIBRqlO5ocWtUjfaeVFCwfuiuKrrmqMGsSt1y0V
KWDwMsr2WjY9yob1fdF/VWtKUlWZHF83jA4HHN4oRZEtwZNyVzXI4ozY9pWp0INQZ0Jh0cYjjCkn
BLAV46gWzjooeL9doIVFwtIlQ8a8dqWckRXCYrZV5yOeokNu4HhsQ0CGzcjmxNU5sYxd19VXYYoP
wmC2BDesrkqUBXaXbVuiweXKSrO90dZ+01jndsRQYhSsvuO835hEGkrEPTIdlZXZUfjl41tkkxbM
10QVQoRgsTBRYiQFsaG8qTXqvLpvOVslw2U8q3hi3DNr137tqk23Ic3bhqBvgPXI67u4YbWjtxke
ND1iu+RAxJ/rbhf3I9mCdmpyDTmIKzJty6y23aQ8/5eORaSjmHulah5Z0O7UTn8c+lbzo7hRg7bR
NWYZenIqc/w8ESK6dWyxvw/7hOyYMTF9iDchgFVNvZSjod9AoaE+lf3WM8mTHqJDJpsQfKT+xljD
wu04iSvHIBDDQyIxudmma5uBJYpIfWvI36em2Oi9eC5IShIe3I0I0L2fIJG4Mk2QK0RRf3eoXf/3
KvenicS31HUSsJlF2EuTu1gZvp8vlcYIiVLxtKs0e5DmF9J+/ucg+E++hbcEveA34CRkefHjt5jK
aGxQs5pXsnnv5PVU3ufer2nY/95ROr+sv7mjPuuPzy//fUktn/XHJaX+ohLeaFnsipaYRj70xyWl
/QJrGkAiwxAN+C8T+t8vKSQOaAAZdnhgpaHPcn/9fkkx8zBRF6AFNBAY4dn/R5eUvjxgP808HAJF
0DUu+Y7mz2M9Q9EHwDpSXmmq2dYHrxUw4UWfmQp9jHQ4E22kbn5XJRXQQBl0CAOY0+3G/V4Nk22+
NLuMnJPWfYwn4DOl6O/Rd9dHdUyL+Dlc6l+7xUU9oWTwQdJSHJOvZWEA2ZW6xZqAErqQ09WopP3K
c/S30NEtHwPEsaTszm0CtxwK8ZGCHC7KvOnc8ZEhxRebkp2UH74AjMBdNFoc426xMxvvBs7E1x7g
8zpLMtRRSxdQDq0kti27BlGIck2dWGqO2pVL80AiHaPwpZ+Ils5irN1db+NfySSBrLb+glltXA0F
ua790pkURdWvOT2SHWkErMjZ9aPQCmk0qvi5k1Ub5FYptxEmQmTESISMRSzUfdMNDYuEiHMSNVH1
TVmEwwwJxCI3IhaXzKdFgtQsYiQoCNGtswiU7EWqVCyipWaRL4lFyBRpSJrIoAUXhsgJwixi9EX4
ZFfM12EiNZv4my6qXyRSOlqpcBFNka5MfR/XrKsWSRWXA+qqZBFakfxrHN2yNokX8CZiMxBlVuJg
Ooqt7T3ZKHKjDxIigiO1d60yzKAju8upkuQcg9THtcvoiqsmxpO9cGo2qpXdmHiTCflaAh+MWn4y
J3uqGnkqVAYomTNsU/ojnwRTNP3KuWE/D3hNBFaZ3o4xySl6/aIr8pQM6CwqPbs3opjUgtj9MGlD
9Mi55NlIxxe30MKtZBL6GraBgc/eipP5jM2LSGcgn7JM6AbMPtzLKd53WYjyI6QtH9ERrrM5+pjH
QaB3K8j08JYAiUX8Z3l57IOW+LBUmneUhxI6eNsERjyuO61d8nUfAHaNwdTmVkABkICXw2cOLeLS
2kMWAKWjxYzIQ1TdiBEB/ydG/lWseWuH6Ahfqstc0YLB7M4kCU+x6AN1VC+ORTCqJPcCdRlSAVVt
jzbpWT5Xu74WaaNgg9Jf7VFjcDgVd2DYBJEa2BbDvHFWFTYpomCQvwPaY0bnfGZh9IXIkZTQD3rU
ZGJHqyTXnUXBNvX6WlOpmLpmytaFtsSRFoO3cXn0Vc2EwKTWLQAMi/gE2thiZjqQOIU85E1b3P/b
4/yqTOdM/+v74/LZv335k5m5zmd9f3+o3AVc3vo3UduP9wdiMzKhTBa8mBT/c394v2DXIcOAvRGT
7G9y8t/vD2bwKjFRy0R9UchZ/+T6wOD98/XhkLVGWhWpBEhC+Sl+LC7YLZckfIjpSuTXxuS0vh5O
w4oh+cM4sxhTJ3blnp6foMXewol7J2pS8R1l1igzcbcxgUGc2nqHRnpXrAYKHlT7Hb/fOe28x3mu
Howh/9qB264Ue4H4Oi94NMqV29ikygzE8OrZqRiMwe/DHpvNbFwGtUIAxZ5wRRjmo82ZvjEK8Ala
WCGeCtFg6NazTJ3HaJrfMR7mfii93VB1D1K017VnXoRL0q/qwV6SI/KqkSi1vj0UAxThSWmOmpsQ
ckk9nY0Fr5m8JQRY2Kz3nRtvPII98fnkmzxWnrpS+B6jNXSHlxRxw2wiokJZDQArb7DTDAT7iQqL
NhQJvNsrfFjIDcRVIzUbb2I13c3gHEVPHo5WNv5cjSx6EwOYGONyVK5KgqLJeslmlCg27mwOGjU9
OIXwgmrQmkAZw8XxmATu0AcpdQj2GnMZVs4rQ+vu7Kks1nNtPS6DSelHojbvPKeLWga+VkErMdpN
Mz9ow0C+DCL0CqVR1aq4VJO2ry/jRNwJUuAoJVihwFtY9djUbRgazbRV03E3Dz05VA0rZwAh21E1
sQAtuJ3Q0h5Mp+z9zDE/SyA8qdp4q55QUxLMY9wCPDhx2D20ef4q0s86tA7MfQvO4WZPACT6Q+bz
dpLvaICVdSxLGM1Of/ZUZkhyMo5cpU+TCfC+BLaZWdNbpVnVA2FOt1Fm3mrIxYdy2Hf6uB2TBPeQ
FRorRYS7nHRmP6qM49ShYvKU0tlPygRnN3Mflb52uV6VzeDpW1X07mrR/7nhsJ89S67UooT3EeXY
ERTkUVW5FcRYrMAPQLwIN0ZnbRZkMHKU7nFO06fU0r8WBr+zMKmesbcjzJMPkxO/RFl9PWJK8sfW
3cl8fm7qPOPLxzvMZo7PgmOdj+0h69Al6sn83EO4J7TqrZ3Ems3W0UtEoInyxRZDG4QGC3Gp5qCY
6/S+M+uHuGH2XXZmw48mj5LZeTlD72udl4oKARmbfa6pq+YY073BjHZSxi1h937Wda+WG90yXtg4
ZGYahD6NJYEflT3rJ+Z7TMXtHJx8f9GNaCPzL5JyoOtR8zRDuC3EsGxCTAIvLNY4NGKuiszJQ/XG
926eASaMPrXWWwbNH/ycbH1WESgvIqgr/XRvzzBRxiIFYFQ79/hdjuz+X2Y3PqfeeGPoAFpUySi4
wkeXqbvMI2PMdir0HxkPYHifJoRyE/EN2MkseUNp9zzGz06L0Iy4NZJ+7ZvGM7548wQHWhmui5Bq
J2s02KGRjjgxzC0cb7G3chlWMO8YU/AQ3q3ExbDCLYiIqUcXAYAH54ntvY9h+ybT6jrUSD0OHSsM
moFc1WyqvHWdWMfSbczr2XC3DAliqi+MeXdlrn2EE5PbSM4PGO1Oxhy9a7l26NJu2pHPoqxbqV9i
alv0HXGzwbSWs5tqP4vSmdcdCn+8FKAyCfL1ViU7ohU0d+57CxJoaNanWSMfTNcOooO2GLe3NfHF
xBsbe3s2L0SxHouMVylkFZRtTPLSrJiI6qIgibPOh+0R/Hvl/3rlMwb86yv/jGDs4086Rj7p9xv/
G8KAkBA6Q7j9GM9+uPEZdyJ715EvsKdG+/RbxwgMmiYflRehn2RHLia13y58PsJqHCGcQfAM2sV/
NtVcCC8/9otLHCQOTw30Iav6b8r07wQxVVExRI+T+LrqEguI8TdQgOVcaTjQqXCjbxQB+StSAIym
6rH2XVgDEwIfgqq/MQiGbzyCwW12uO6N8A1paKKuB+AjypEX3YQHLU4mbR0hvImuTZmLjCWMGXNl
aBzbaGBma06JxW68cPG95w5o4X6yWcnRyHjuhKWzc2ZUaKKKdw7bKk7AxILPOyK53lVRTYhxDlyW
E31I6yvSyNArdsY0OOvIZam2kq7NyrTtlE+LMdD230f/26O/kHr++tG/e8v/LxCf0Z8kTSyf+Mfj
b/8CRAiBNUOTb1jz/zz+xHBRaS5yRuByi8Hjj8ffMH5BvgHEzEHd8+tU5Pfn39B/sQy0I5jHkUMu
URP/pOJlVPHTG4C4H4PVAqWwaQI6UpePf/cGEEkSN3HaGmf0l+CvLDr+iOfOtiTUfmyD1KX97NBk
m2qps2zLEfB3RRhEcR6djC5x3mS8rMgrzJDVa+KkmnZNsQaIPPkGlWkWvgyAvfkQGQt0plr4M8Y3
FI3WqLVCYCaEmiw0woOcbJXtN/MU7U443K/HOZrThnzRyB7OtVGibyqzdNvjdPzklhFBkYsu9TvT
7TAgLglTHokX/W1bTe3eTHX6SzbOcl6Hi5d+NjFK0OXH6lFfvPZ1VYG9y8mmX8ejV/l1VbfrTp3E
0WonbIfhXMKN9ULvrWtyLkuzCqnQMdvOPmbm7jrWrTcWIK+OjD4Sm0qG8yzzS9v6LFviTTEbtPA+
KvML0mAoP4T1VBGRebNqbVqpdK8DxTzgHlWIBfmrgepBadqS9/ekQQMPPDmEH6Ow+x1LVuIqAGGf
cM1mO6nVzsWpupHgsLLamhb+/bonzSuTOfsRt0SlWCPe93p21HFTBjYGbISYYeC22dHtPJiEYe2c
J8ua99LE5YLBJcU8GG8dAS++jiCwG6DyMN3jNndwKAAQ+sScqWzdft6BcboymMBup3AgnrRZkqJD
qOawL57NmLOR1FbEzvhOsFuw8EYT0wICBLY8UgfF8QjKfHFKWo5FdVLqV2ok5R0LbOOWwX/+mahm
fcgqkT8l5H/gdK++5ODpf9X//TvjpQX+m1PrXOTtJwaQP7mzvzu0kK+x/yMH0OOY4YriUPhuyour
DDKabdu/sYV+n/Lav3gaS2ZnOVK+u7ENi2wc1+MkW4zjROP8ox4dBeVPJxb1AOsFjypggb9SCvx4
YmUlMTATp9UlM+Z+U5LHHBSq8+IwmSqc7om1+4Ocbwjy3bL4XuuVe9O10UOYztKfFr9wacqgyqcz
xtRI+TAG+ZAR0RpoBjSEqc7f7RbOIruWPZGrOzUiTKfsio2l1YA/e6ZvbNRelbwv37U2F8iL02Gd
mCJE25Ug4YBcGUb1gVOF0FYjfsosuqHJe5mVFk2UW/uDqN6mRN54sfFW29rz2E+6b7fjmZ174U/k
SQVllRy7ju2plRX906S6rwJVwTEHMLrWBgigapk8QAl/VSdn3ptZtA+h7Gxsl7DYSn/tm+zikXMw
2c6dV28lhKLKQy5tJcNDF4sXVyi7QS2emlqJDo7OUdOYfpb3xObg00gnWmFxWRzR1VQvir74S4Hn
NWppvCp7uHiL+bcQ+t4k4pQuK54KJhF3i/rZ2ZStfKl0EGn8iFva7WVevTTrwBtbCw6OTHT3ITTD
VWE1DYNpMhjDwdgmoXKys2LYFS2BBaHo1kMB3aOxT4hb5o2JUm8J8dpVhJPUCry7Vm+YP9bqtrZn
bq2+u55cjzA21V6pYZ9v49z4bIUwD2nO90sRZVkRR6JTv6vzJLB92KeYVISiSd5GO6QT6hDgteIK
wPklK83ATkAJoU46DVGMU4XkVIv2tjVHjHUqTSdUFUwYczH69tDDd5R4MlIH6B4gUDIfHVr1SXgW
1Ca0Nq3zZpXKHtlcu+ka3Q9Zt4Jjm24Gx258R8OUUhkAUpPKJ5L3NteyJIj5yyml8WAhW6mIP1iD
9XJPlaLtU7c4lwlZB9n4GDfNO0J1Vn7DFAazbaMDTDrGtzUqFpm0+35qyQjARdgJytmZORqBlNlN
iDKO/IVxB0Or2NQRGjX85APc+72hC0JRHPcrf49jUZZXZh0DF1C3lpaqfhYTi9zjs5tS4y6Z81cs
lsdWG87FrANGavMDmrKTCrtYz7iDUrXcu737npBw5MURukg9Ra7Y3A+NuCs75UEU9l7Ni0OHAB4c
4V6CTcW8/Zo36YMtK36p83AyjfpodMW561lLl3K8AXyzHUNxMjsb7dCwK71ir9XmBngs5XB8gPAC
9IvZSYndZmjUazU2ieGb6yCM2ufBgRPcmPNG1LDxOhCB0+wcak+/tUR5lKLfmZIoZHxF3T7pcf2o
9Tkqnau87D8aAYjWjfS7pmieorw6Msc4d7EZxNF0m6spDjTe9DKNNwAEniLpbK2o2GW2cPeo5LZ2
PyyI0fZs5B5FgWOwVoj2pq3fZEoP00Ct/Lir97Bxn9WRaYerpmng6d0tOYKnDjDZCksZabtz9kxr
sHM6QrenNtDHWfE7Nz8bqf06u952UFgueMMmFf1LztIa0s7XuYnIUWWxMON9F0Q6IqualTy7JU9l
8glTSvWNW1icfaNhHJBiYn6006MXdSfAAvux7bjtNY95VHxl9ukxjBiNJkV0HkKKH+Hl7z3Fy0qp
0wvZINuq8C41RjDM8yPgHFVbC0t7FFp3GnGDGlJBopDczcufkAL5vQQrWDQRQrLhqEXK06j2V4am
XVRJ0WkvyRDT8KYrFF+ijEAfVwAhW/4WtWZt8i4S28rNXkvDOE9e1lJG1TtZJFtJLnzQ2NqjQwpV
1cAmilnWNcpND3nD1817EkrwuMzvSerczewGTrlVlXs1Cm/LLD8ri9gkrNK1OVuvWmlviRlbmQYM
h6TF/zjUo76TJNvoevQpJ3TNTl6ox8mZTlBW9I2mldZGFcbWqSxwuGlcwh9xAYhE6q7JuudmEHdV
Pp+mLroP62aXK3OEmct9zAex5TXfg41+aqu434/mtZQySNSeMZkNnywbt5ZZXA1tdC/UuQkYVO4U
7Djt7O7rxgZbqe3qyONXo10pAEZXMbHgJMreySWyXWUfFriEIK56DRayYZ+blPt+zUZGJ8l6qMSj
lYmWw992jnoeLma2tN/ElQ3dbXZWwu15d86nSsAbtWteEvuiXT1OWyfKvWsstC6Dmz5fz4rAOUep
vmI8M64YYL33qCNNO0823DDWKoY6E5T6stGJ2Du2uzBGdDjSkKyK3usPCdmdIDSmr3nd7C3exStJ
Ir1vJAyuWCW5a4vxY19EOvBuuwaAxBRJixtHWWWJjQ8ni04shMurvNLa50RzgIpYc62wdh2sm2aA
gp26M6uuITWRsbMn1titzmkAdOo0GPUBe9217sqNOSZrEqwfQbjfRhUpO5WOJISsej2FQszI8jkc
rMR3omFdawRx9HLcdiawCaNt33sm7Jp0X8zQOPfDxCUjAvymmzZkQmU09yUmO6je8Rsn66Nq1Ltw
iK9Ua/wME+OIBJQNWAx0T7BPaBTjuZytoyOyM655w7edDG26BMecHfCH4d2dSPGw6/AqUa0glcVt
2wCFYuG6J/7lZI1ip9U4e2W5zzysPoUqA1LZ0SMmxo03ZHctgq2+mHAO5vl9jl3LzxR5VMWwV1Xl
7JmaTym01cdq34beVpHk/DnVEX35k20ax5QRH1Gr6BBdrMnlR5gAdpTRzRhSKUxWuZ7DeE24tc/o
/TOLvZOSEz/HQzdiPe+89AODBF5m4u4KVdzWerIGle8TBw3XNkMsO6p3jVRglOSK4uOzR9kcMfQf
NmEPPGcRF3Ue4KxE22Wd/ty7YH8SbdxYgNgNltOUFtUKO3bF6S6fU6Nj92wBiGa57kkGMV2U4oBM
HuEHbg13vlZ7TPuy1e6ngc13Uj4Vmq0GRobvUenFl7AuekKgho5NLqsaS72EkQE9vbXXIinXZuhs
E0/sIW55mygCWCDnz3KyLm2p8YqHtD3ZOg9LVAwW5gGHPQFo+HU42e5VoRWH3CRJPWV2E7fqTWoq
p7RFe6RExqZplJrFQwy9p1GzXTzZL9aQTOw7KlRB6XgaR7eDE1c8jdZ8Uyr2i66TolcKxvN40oAv
dhvZ9KmfN7xqFkQ7bzl6qgUzXnjxLqrTBKWXPJfskGWkzFeKXh9LLaoC3W7GoKozwLAj1MepgnfC
f01yCrS+uovEWG5BM+4HBwD/1HaYzJdb2zKfR403WsIGOahHGs5qMi+aFBcYNL6ZmDGRY3Nzgja/
CJOMJx299WGowxuvSV+IVjV3y9sdhz1L4ZzbXNa98eLG0HlK80YbRnHyjJx4xnIfleq9jpR6Lix1
CQ7fRmoRqJk8VZG67RwTTreVfUVdQdNr6OvIcO9lWxwEAnXZ29SZcLoxzjxDebz1RsjteelcEi2C
eZ9sUsecCE9IHqvUezFH4xZ8R3G0jCT/f/bOozluK9rWf+XVnUOFHAZvgtCJHZjTBEWKFHLO+PXv
g2TZJC1T5fumntpFoRsNnHP23mt9C0G2jtyqVR/I9dmCohPIaYzydc7Y4EyopFUhRfCRcrXfxCmM
miYv2R0DNROVq1GKZcqIuhZUD0aCKsdOouiCJ0tg8GLnTcX3e5EWqQCM7XQceOzxFpjYDwWUHIni
KMt5dIoJrMzzQzOP5K5ffX6R90Ic/HXfLwLYAS2YIlFKvq/SEh+sBolE0UmctkJ+EAGbCup1O1x/
fpn37as/LmPQWlZJkF5MTu8v44uiRRUgcnCXvw3FjaDs/vW/T3canRlyM27Xx3vVWJNeMG5NT/nA
g7Yxfebff/YMf/Fb/OLzY96TuUPcKLyIH2yIgQHCQtGq7GRSd2jn2h9Stn90fP7Nc7n8DG/uz4ff
GlqCFAospSd08ALzREhRhqtiGX9NY/fzr/KLS8FxYRJtqhpYOevDT8FEGKrKXCQnMd4gwGxFu8S6
pTpsw3hZPr/W8rH/knl9/9nf/Sz0Lt52LUUpynpDT9NTqTj4TSAK8Gqxpk796vML/epLvf39P3yp
3IitojN/XEhh2k1vLVyxjyxbcfmbZ2350B+/FIMILADsjooso5J7+6UULZcLNt781CgrP33qR0/z
v37+dX71uL25xMfHbWZeWsA9yE+5+RT7D6rwv3icF204rU506qgE33+FuEq1ViVQ+xSzAir4u6b/
xeKFzEPUF70gCpJFm/j2JuVCzvlel4rTbDwNxrHDRCS2v1m7fvWj8xAzfFIXd+di0Xx7DfxoZT6Z
c3aqOfhNDiYsSbvoa7soXfThn/8iv7gWsfd4RCWD3Bb6T++vRV44AG8UFmDcOZN4OPpDEByVXXDG
uvx+qf9anioPwZ+LrvvUPv2fV2Je2un4lL3+3/9hUMN/cWh5/73pufzlz0mNLH0hGEqCjLnsjt+N
uX82PbFmQKrjp/hT9fqz6Wl8kU2EQkwrf4wq+X1/SpP0L9jKNahZy1iFzfZfTWpk7f3ysNh5eeoX
jwXPpLF8lPdPigW3BMotgcj5GBUraSl3ajmV3XTM76JaMT15KYoaGXtCmhhwc7V2W2kS0lExs4ss
G3YcOCFwh+hVW7HbBEXgadwPV6kLqq28i1ccf73YiJ8Hn6R7TnNURHlGD2Yp5YylqBPKyToPq+xG
W4q+alAm5AMUsAkCwoBcJTG6o2a5zrIoPxkSIY/FKAHGjDiki6NEnGQa3vlqkMCOtC7MBJHQ2Mmv
pOVCNYLZe51X1oaIrrO4HKeVOOae0IyXlTScxqJMt6lQHXviXAO1Wmtig4pHG/eZsWj1qa/rqTg0
GnPSoFXWCecC1A7N1ymSZqiPQe8ZyCEcJfLXSJGuVIvAvlGlsuI4CKoi2vap8SgtbguCQ4/9ctA1
ZxqrnImdbuSIXUSSOyZdiHcscS1tvvQDadpogsSt6aL+LI1wmmRacLTKaEfUa0VZlnpzK7zEcWrZ
UVUZHPSj9TADYKx8o6aCIC6U7TlawjVXXWqeKwECVwW7AP4WZCytchkjXymaF9ksvhn8cx1zZ/4p
uouh1DyFXa46jW8AYTFaNy6QWyhLeg/LJqmePX2tVKW3ODUbqImXzFCK8yqTDtUYj55YSSUdmaJx
GVzK61mWr9WZ3mvSY4EVtBtWQGtX9fEmQVcCCsvHTcvA2vSTFXXnGRj488Ev3BYSIjXiqhitDvNa
dGepjbrOR/DRPjQS10oJ/IsYNlXTvVxkKzUnw3CYKD6V/rJvBIKL5uGVK4/eqKSvvVFJJ5CjKNCk
6TwekaL5SXiwOsHfk1f0TBMeCFAtyVu8kvpjKGSGVxmdpXlTDm9dnFdaovk4YfryGPQCtMqgaC5G
KO1LlMYiBVNKojAAGL+YpTnA51CofoxVXY6bVvFXkwbxSPHrB0ulUadOOa3AkktA6C+7ZFMPGE47
jVtsBj7nqXC+UUpsfKo8DdB6jCs8IHRDp9c0rBJXSrTL1IdOpuNWBih2XIJaJPLWvURHmow+6yWe
S2vbFsbLuPifqTg5y/QcaAqpuWhJH+ZFPPggTF2jHsodhDWHAAEBZazqIWFd9DxmZ0vjxF+M8Fzz
IZhWseR/S0v/PKUT4KpZK576sCscvSNezJ/Ts0rORW8W9WqDK9oVaM8bfr4bYrlxI19+iMu5s9Ee
tPuQjN+DMtTaqyj6yXUh4kFJe3MSbCkNh+LHRvjf7rR4FP55dzo+lZyxfuxX25f/+z8/khGXv/lz
X5K/LIA8Fn1Dxs23nHje7Es6zWEO3eR3/rAM/tyXzC8IbhjsM8NjSPbdqPFzX4KArxHVAYjlD1HC
v1EQKOJyBP7r2Mq+tEz8OCPj7LDg4H3cl+qqyZhBy/OpLBt0qRTAdm0hfCy16UaKq7W/iNwHqXL9
snsWO/8x0keMgaMK/91P3SoRbqy+csk9P2gzugGtxbnup60tBtFJx3A/+ea5mAZAz5HLeNUgrpPR
OgyKti+yYm0G1qaLZdpdgJdN4kScOoBzjm79SteKboVv71XQcxIyrJLVTQ0Ohg6/RyB7wjYrFg4Z
SSuQ3nWmRFtRGwynlM1bgv/OaUudNBwkeLbz3torfYoXeFr7I/bcSbMu0ji4CmheENFkupMGcDpI
CxFpkPo6FEEM2r4rOZtwnUnr17NQB44CDAMTwoaWmrgih4SBRIr+oKVDhNY4KHcdw3BPLgl46mTD
cpOwcqJUQ9eQPgeAr9qJj172zbqr6ihxCjBmI2vnyhAhGQ4sUHlOAFxrOaxYbq2m0hY+45kiptFO
Anvhs6hDCiORyU+YdyUw7axBv6qkSMc9VrcOc02+hVWrJzPVt/nQiaQCWch0Gy3dMjw66ljnlDxv
nab1H5vAvI4FU9tGgrJRJ/+VGpq8c3VEy6BnbsPA0ZYLOAeCqm6K0G9YuDLxmkldQ76etqXDOLpq
UCJiTTcjMBMn1BK8cnNTOUXU+Ftma6KNFjK2S0IEIppV3hxGE8F/BKJoQfK1lmgf9pWEpUCY5Uur
kkzOPQmuOmzWAFBCV8Avs+qHJUIzXdI0iQPPt/qSsIk0anAGwSTSm/jN0SCHs0eabtM5iddtoaXV
pm6Cwr8yIWPsiJh6CYSCUD701bu5DKEop/W2roJrhok1RYi8UYWydahOvCbsNK8npt3s8+IsN+tD
02TfipGzizoPeIn6+7JheKHP0W0nV/BQiDFF813e940pkr8177uco00mqk5txrATTOAlBSGJg3bI
Z5NXQrglO150VOiZsUxfTQ/UE/kD6w4VjBZhAWpU6HmYXdaxIe/JNyhs0Wof59I/9WJyY43MaDPI
2oFcaWumhJkTS1WEnrNoVlGYA5dLDmEgOGMahB4ipUOeWpt20ZoMhvAS+dENvAVEP0IQ4rYXX5So
vO0T0xUC4lNqU5ae+lrzBEl46AmvtofWPCgjCHHOrckFOemPRKycNZLxYszNGY3h4yypZ0E0oyMp
EOMWhXzICUpIRaYvpaGfKWPt1DX9XUEOL/tA7AihmIgovE4ET53MszIi97EHG+WHUe3kYLqiHvp5
m6QXJlumIxf1Qym0INM732HQch5qPpui0rrKAHMlij1B0Ddzw76GR7VyxLqxnBqiaxpaB6Ibt0af
nBDuoTbiVyf5+aw3SK1MsvnR0vt21Wa1oyMg1DCepAJBHG1f7bth3nIcfJa1EpKfJGEXHVCzRvFV
m2rPVh1Wbjdytsgr9PsCqBEp83mJixCPUdhiwWItJIw0HddNDsbkR1z2fzvuInL75x13Ee7Zr3X+
VL9E+a/Ue/z1z71XUr8Q8U1HyyIV5rvY7s+9F/WeKbL1quy8cHNFCvefe6/G/6G7gR8fn6puvLU7
Kl+AKEMxJCMD5QpqmH+z99JS+bD30lxlwyXMC+cLQh3xY6cChm9pSaDmhcSUOToSQ2WCvt/q/VQ9
9rUCEKat2pqRI/nhhoMYW0OkP1RNfIMGBb/FrPfiMa9l1QWGGgBQBSLRXzCDLKanDgPHAogdq7mT
sfX1LDR2RXgO0A1oiVgfCKyrZuZCVh0065aQzPDKbOGu1BrvkJ0LqIhsNHzxdUY5cqMi9papTcXp
KpRMzGQy4sNVCed4Lkic2WAbK3GRdcZtLvUCA3h8Gbcl6nfeBq2cJ0fNZ9gkQlPldMdLyqWkLx+U
rIofBK3UNvSkWrKt+tQ/GaIUmHZqxtGBzcTsnMyfMyKHI913rELe5oGYOZkSdzSmjexo6Hl/mRGd
AxYjkVUm9Hm/oebQyJKozEcZb96M9cUqZhtsnz7ahhlpBitmalwKEgxXglCzaANVZP6ayYKCGkCd
mtyZRNYDEhAsLS6XwXGHvsLslXat1fwgnLdHoX9gVi1JXoLjx1NjqQtzL7ZCf9Y9FBXzYtIZFHLN
NlZA88KbyjpYG2I7XzR1Hz8qVt5cWEZjAIvSJXJsSMi5RrV5tBRyGInR4G6e50LQE1LWLIaSwC+6
ahvKUuefTGKfHxKifq4p3lJyUvUFJD3kYpRuxO+MacFceNMVZrqRpORIHV71wQxeLaRja/QHPvqC
EJ51tKCtGwEIUibQXk7MqLkPFamsT5VAEgR2h/9qhR/nfoVG9+cr166A2fIrlMjypz+XLfR7aHkx
AlMbqO/zr753uXRIIRQGfwTD/Fy2QImge5YNlhERFvtbMh15Wpj5f/xj+pIZ8y/AdD96mu8qBgLR
mXegH1QpJ/B/v+9k0dzKxlGd6tMkkF9U2nInVWyCuRlzMgvzU6TqB/xG4VHXCOOFYH5R4U9hJREv
FV+9TOrutSDyyh7HEIFOfxYa0grYxj7BSyz0jPRzwtFzyZ1lHHy9OmLTU/Yi1ANb6bIjJvaVHxj7
JhRWxSRcgPW8Mab8TkOeavoVQlcTVQmrx5Rvk65wQ1T7th4qW80Mb1GhOIIqXkBZOnYIyVDqHEej
b+HLjXsEeLzZEhK/4EajeSbwjby0Hp6tqD34FiHFtfKoBCiY23aX+zq1CTGianX0w/BoFSNh7Sqk
iPLYMTpVCgR1o3wHMWYTIoSxpskWkuIUSzG8R8mDwOpWzeyGYv9gRc15GHaHYJicniA9lYk0UqBj
DcyaCM8GbRPm8aFDXNTtZst8IunOhqFwF8f9VmgslwzCyzCY10Icu3Cebb2siVYkEsYfo1MABRXr
vCvF+o3WZJt5ai4zs33O5fEomPkx9Kt9r2cbjQBngro3XcXxPii/0cM6snEx8rcAg6uXRmhgdRTK
TWvkOdSv4ZB0NDOkCQipnzwphXpplTqpoz6nLjgondDuAzlz56Df1oCXUXVcxhYkaNG/VRfLsqV4
OmEudoU6ArStis1OrMj5qA6RmQ4osCqkYlDs3CLSnwxgSuuyGgk11Bj7j+WdLCOVzobxmXwXa4kA
RH7l/cii9Buzjjcxvmm6Mxw7T+o8402OEa4o677OOWsSXuL2I6IUxmvroiJtgNXyMinacpfrRAI1
FbILKZWUAyP43u0nvOQQ5DmT56hVfGWOL2VJXiey2FDyBps4x+JIkWp6fCXQKaT9OFLeGTYtQBLZ
TDF2OmNQN6gbNSRN01WkTpWLMYr8MEVPVnPXlk5RVsS8Bc0NxRzOa70jdyAFI2JC+J/JrNTAUVnC
EgDrfwW0DwJfPc2ytlLr5IibfUC73TskxL1yED+YcXsnDPzdoe5aGCmT2jkVbTD6i4EXZcUFDb3b
oaM9SEXaIkdAUoXVDplSqT7TDsaxXueEjjRV5zaqdSQ6Ec3MGL9YAqKDXu0yp+85Aiey+RqU1mM+
yTewRV75/CQZFGKDCx18vFKihA0zAL1aDoGXup22dCkRn1ajHIvobmU7ztW36jh96wyRDHFzpxZh
tBoFtF1BeBvNqDuytDoiWK9WgM1DVhxBPxSpz0yXVIKAMsmTw15xOxWgzCDl91DbuMtV9iIUJpXT
OCzaoiBfxcm49YV0HUO7dKy5f5iXPGB0GSfCmZ9hwzyPKpOiesx4bg19o+i9xl+mVJt4HeQKiV2Z
oqxV5LVfyPctCirIlQb1OlV00DV2p0f3U4Ap1hLUr5FfZa5ukRTctc9CVy9BBLDHfREBs3+nALJz
JmrpWQanrKLhUTpBduBegPGpy+twUDJXjKfJQ+LK4NL375WUwskvfYPnS1nResHObA28olEyUWDy
WpLejqpDUb5lIo7S3g8W92yNkS4CpZNVW8RyOp+t3+H6O40ZPAFgzvA/FUKORfx8/W0uirt2gO8O
CIa+tzAR/QnuLQnFqyFoz7Q8vJYmgwCaGPEmnVrbVAfF1UdhH1G8AjdLbuqQznyUlYabGmXaXYVh
kq/qoQlCRygI6urx7TpC3IdbtSWzOoXRnoumsEbbCw0iB4meNxmMv07GiT1hGsEbZUhjehEVEOC/
b8H/VVEK8+fPzyKHJ+yYf29eLn/450mE5iUUMsSDBoSy73Gbb5qXmozvTsPLx7D1bQFlfKFIghdD
fSQy9wKE++dQzSCx3WAArOFPQGv174Zq78fhS+vSJNXGJAzUwGyFcP/9QaTphg4K+TScxOK8DlRS
ig33zU35hb5jmdn/ddRh/idSAHLQgQZM91ZTl/HvG3sV+cWJ0hldd2rUeBcZt4IIm+yiUTeSfz70
R2zzn18Pc8Zvrrh8ojdXXASmEWVSh7oHqIn5fegBB4oBSLHMQoa6MHd9S8NFXyYljb7S46miozb6
mtdmreHFy2SFAY68BcG45Jogh5caRoSKGe61Ir0F3ZU4ZS2+9ELyjQDoe+TI5wXAQtugIYk7vp4c
WIaarcih6dUpBF+CzQJGKfq6mQhx1zRDIUczKtb+NOZONEYoZ+uOSLFZRNYmR7iBiKvrokuT052l
KUStRYSyVD6/EtnHmW9SiOIIVyc6sfpw4dNFtX2akGTlnPehYlO3b3Nxoe7GwRlwOdyQwk0tEH3c
54/9rJyPRrjpaT15UtusYeev1dLchUT62KFeDKgp64bG9XQoMF5eGS0VLkUtJd1VQb7FRq+gaKGh
3VQYE9qLuUSO7HRZPRanNFD3rSgtPJeZkrRpZ6SeSvXMEGevY2NDV70vjWg7JljaLB+pdHKcZv1O
SmmzLuUS0kllVcvRV+y0L0SUad6gqYexVHe+rLh9Uu5b0G7YQ7aTEp2Lc+XkfkUlOe2Hadx3Zs1Q
bibTJtCGs6YX7yp65qpKsHuWzzdaSusdWGpyjLr8PE9a+oU4s+ZkJ0JHgm5Pzk3S1lgORpMWYp+I
tooqoYmNG9TWNbgVMVjJWQkdohvadeoTc2NCdtiTTAcTwJTP0oztfTipoXnZdMyjJcyFqK7rlYRA
1U+j8y4XroY+X4VgwuxiSRCMLOSp7YsRYhiQ9PhCRkRrdVlHSIqE+F13UX9ekPRGjckEUh/U9VD3
KxGnWaujM5ZEWLXFFVmG55lfAa0e0Xm3adJfjlN4qfvStoZMwbjvHuutMxpajeBWUJw4qr/lCjFs
yFjBcmAVhKaBDAypbv8qwuLLkaZXqoQQ0rCwM2D9URQCAYUBl31wDuPmoBJtUGkZMAjNg0/NoNg/
a5piUyOxbOZ2UZofmZq48iBsWSguJjPgnBRx4lNUn0g75VYFMirzhjjVQh3MtXTaJAO99jrNUWsi
2FcmYZc08zXlfMg8t+UUVVzF0Kk5uvNY+1gYO1N+srr4CdPGoQA9aKNITZyBiEYAv0OG2683N9+X
mf82vaUW/XTTQ0piP9XPT7+Cwy9//HPjw/bOlqLihcPF/qM9+OfGJ35hHiciMtFk7OeLJ/1nCa59
kUjhwWCnL/O572FwP6d2yhcmfbpoLk5dWn148v5FDf5+k2A7shj9ydTzuO+ZxSgfVEdKKAlDO2Xq
Mcwe5+Y4jg9vbssvtj3kLe+2oeUKCPQgzwOyZ9/TjA9ba+c3KvL2sTui8veotL5NpXpM/fhSq9tv
TPDdGju7m6kK8FAh3zLs2tRV7HUGmlRd0Is1GJx1btQboRGv4y5cqU35IuA2sglr4kQ6MoFKBnsO
05PUS1rCeK6tlFOQNRimRjC2ATfR0dCqTABzppl0U1HbjtDKqIIYawMx1RnVRagh1Sh9ISzNh7eD
hFBtZOp/MRDuY95LbLjq1y4kQ6uVjIBDdlidSRZDgkAyT0ZpCF5q1vf0PxWP7i3ViaoO6BYGRBhy
0a6kmnoCU+EZCM5H2hN7El6IfMxYrIO+2qR5sWGYNru1X137WrpW5oh8kkBhMcofBZHoZ0kdv2WJ
cGpHq7AbzAAr7M4ucvsrI87IuSy3SmU9JqKwyctu15Yi7t5uuhgTYqnmMcejVrtSm+wqw3jypX4A
UBKTIye4XRI9tcRXA9ZSbRSdmzSIT8LMn+cDiBD5oUkCwiuNDVOIvZqjK6/l/pDCXNMhndZltQEy
Z9iFat3GILYBWqfntQ99s5nDszYSHyhFW2cS4p26CH9TGF/yrFA8zupVpOTo3Jox9Doz2k4pvRIt
1jTwMWR7V1FjF3ry2KmWN4hMfQjwQ7Pf4j8J8t0419gB+ju1UBxMUUe90R/YZE9JRAps5jM39TNM
2v0hHOptMQ3bYIzvML+w/1kD8oVhT6LdFQJCOuNxeifnza3kG8TrdKui1nfmrK2EsX7U1RYHWYvB
QWkeCr4845cRwMn8AmvJA23jwPFxlWTcl2RZ2V0VlOyUsG1as5GR4+Dl0o1H3gJ49fFD4C+cNoC1
K4GjoFFW36Yi3pjgZFSlfFyQ4IKAsQEKOAFmMW0FyxG19HlO/IskQ78EPnWfxHWylgL45KpgXIcz
M96yC8EcQVARs+zZkuioC2VIoT4b2sEcm3wXRToKjxKJh6ZfxZZ635UNoVRyTZ+9XN6eeLgSJdTp
HeBsuSI3R6tGhEmSdjmaGHK6qUvPGLYt7CSl8ay07G0Zr6s3NPoxaGVsDpp+K5I/4FqVbz7XFn2C
EIY1SOxSZ16d1T3Y22wSaOkQpRUdxzrS9xXHDJcmALtbUgYOYdD0DMArumqILCrtBNFrZ6A+eesn
l4Wpy3jbO/EMa/0SpCYz0qjPWkruUi2bbd7R+CESkbhYuWo2CPhiL4i6PVAONuGkJDBshj4+zpY3
jzJbppqWXoG4BiRilJ6MVEwRzAkNsb18Y98vv2rzdFv7ypORVBvWN0z0UuZYBF64UyrsfTo2S19H
sxNdw9oOofiq0BgoQ23y07suyS+HHlIgIR/khZHmg7mpjlVXMaTOLcr8DII/C6LEhzaGi7yD9VHS
F2ON2gWVv0mVyosB8JVzu4eAvA41UPmpeIfdgfJe3A2Wn6KvSh7VGPdQEy2pE75+JrXEq/lqZDyX
Az0AUGMNqjDIw9eJlIEExoSmQNJylBk9G87XhJI/qg+zmRwVudyQ2X4hVZhRU+woY4btfx40lyVv
K5OojUVCr7fphOlLKK8zOeOsa3ep29SEIU5Dm1msOd1uEPXiMVdbgfVXILopRAvR1dCBgQK6dQmy
tVAQJTlTYvSbPg77dU4bb83Sjyiw4gpyl17nyDBc6j9r1xFPv0NjccwtTUcRp5hbhjMhqc3GtVYV
tIJwjUB4lJsKzLvvI/2qrnV/ujZzbb6f/RyiSsc0WyPr2zYwIbYTLYJSxB1MribBCPyhXfdad19H
qbkazSmanTQaQnalsN2o9NnsZCDFngBld8qKB70vkUTQVzImMEwFzgZjl1TTjRjGXh8lYC3L8KZL
5Wuzq6yzcRp7gOpx7RZ+OlHNIIbA6PWg6JbiKqNa3Xd6ifetAIWZhDzoRtQhS/GVe3m02itf1saV
2TE+iWFS/KZKfC8lZZpJ8IwucdRAtYqbXv9YI2YZStMgzo/twi4diX+iiBrqZvX5KWBBD7ytfv+4
zqKkRmzEa//xENAac5ZACjlmpCLCuLthVcIdmD2yXNb2MFmLXS3d9GMJPjnZNHK4J0vTNuX8jJVq
r6EYickFh552qVeip4SEu1stAQT+K7hvalNeAXUmB1UMnj7/6L/85CCJDMTsGh4ZRFdvq2gt64qo
tZL8OBD5GkzXYkxGWPGDM/yP5gzr7+Jvw1IVShhGKuDMjA+/Q9ORbJIlXX8s4UOTOadulYKFQfQr
9o2+1zxf6O+FMi0ucmIsJzIEBnNYfOkIeHyFTI04o46au4suVKyrnF2pK3pKSolCpiAhToOphsUv
OEZCtKPA557LvDd6BrN7WjSseLqfkjZFyoKDdh6A2TUS4bOAt4lFU74KDC9Jue0cViXdnhiwOkWF
Wz+EC8BWxNEm1EmvlF8j1XiisqJVCP97NNIDjmoYIMYkECY0xAcxxAsyj4RPBBL94tCi0SJFwa3f
Sdl1NWjsH1Kw1zL8sg2J6xtdIp+tYItbLGN0ZRKvFOUT9hwCQWdKWElJ97741KmrTjO2rIsPpoCP
2xikzRSrD6lSh15e5oQbIs1RBNGdVY4eI6+Zi+O3cEch29QtKYmZNKK56p+SSA6/0rNYo4vMXCMN
D3IxMy9qqhUOTXqg8niZ6XpK+Cw1rT6PZ5XRHD5/5ujlf3xfLEQDmD94HJYR2fcEtTe9G18RCsJS
tfZIB+xJsRp6yGWfHnVw4jbr6WPQAOdDN+pI+uiaUYolQUkP3BUQ4iHxonLQHBBC2cMsH7TCvFfU
PFw1mVatuk4kY0WTO0CMoOx6TPnEo6rZBvRL6Q5StPiBATBiWb3EvU9TRsPLl0Wjg5u2YDegNd0y
coP2v9Kz+Wtd6E8WGnainQoDm618o8sTZ+cpAP0ouXqBhKvWBKKRB/0+phsz+PKLboyJXQ4sA1ZK
ENB47Vvx3uhrpyoUxHoTT0hpd5N8pfX9IYnDqyrSLjPDWutTew9QXrU5N4qeXuGdDcEW079Dkawx
LVAIuxVpHLmSLjwJPBNOaSkPkiLcSyHawqqdFS80EILNAmq0sfAktV6LYry1iBOBsU7Ia++qCV1l
0xzODEj2g9Q3bPO0ddL2Wlkm6ua4bVBFKIP4tVLqp9wg72XicxJSm6ANQrSzN3J9NRTAAAwYClEO
Ut+KLpJSSLbYSbyimTw9RWxUcqBBy09dwsvYC9YFObbfECktOTA08hHit22XODoaPhkYkySBwWhI
hlZIWjClIPNgEjvDckJFj74XoIIk0kBOdLskM53jkraDECdiIpxl7OLECmxMKX3oS0LlAzu3tioN
PYldM/UHPMjYl+usdDuhivELC+t4MM/mGFKShRxjkILBaVCOMWSQkBabtjaY574pbYKc7N2h2ucm
khLCkAVszQOQ+tTYqcFwVi40C60AVqCUESNRTGFhSfuroUpIdSdWgPR2tEz84VzXPIOon8E8ZuNK
n1YFQy6jv6NJw1xBPDAEJpbIV/cE8WKs9n3/rJN7A6KHJDlGTCLs0M9uyblhU0xQjcGebOqeU4hR
IJYnNYKkx1r6zdb2mzf1o5FKDq0ptsqko4tKT7E5ZKCXRhT3/nBK6oNExfL52vB3w9u7lQHq3bv9
SA4Bb+UZK0NRvCKa68dLFKl5cM9A8PMLLb3193s2a9Dip8QfikxJ/W5DebMGDQ3CNTgDI4K8KfDK
CJMvsvBrDSnkNixw8iVjf1aWEcpQPC8HswLQrMcFqK0Y0MzAv+tgff2miuYFARymzWD+VoiKE4ye
q5TjG1WP0zby1RjgI87bYJW10WMeq3dCmJaXQUdkkgbQcZ1p3ZmG3o+DhTdJSDU54q3zVjHuLNm6
KvHo00nZdUq7jRQZUti01UrrNCTBWc22TcbQWSLnvEwCqZamQxDFXVbWQKf97VAS6pyORPVoGQFx
hCClQ/BQjVaN6diHQNYowW/u6vt+CweuDzd10VC/uano/Ynl9s3xaI6P4fw8mb+xDv7u318e1zf/
viiknJGJeQX2e4VUFpXWzW8ei8+fCv3D85fpWSImcjAdNfk8IoeJ2ySG049R2j+eh94ryX/eJWIF
OJJKGtOf999iNJohRLY6HS3Zkduv7ZBxJrmJRuM3v8Z3J+VfU5nv7S8FCZ7EVotIj5Pp+wtNZMgN
wVzKR44xX9nU3Ot05buC19uRc2fn9t0WG/j++TJywtvRe8JX+swb3WyU7ed3VV76bH99kB/f+O2G
/+EAaPWRVVoBy0i7gpjuiN541a2zC8DLnuWkNM3X3OeV5KAvtkPPYtDuqcf86+efQvvVp3j7yi+L
z5unJ/Wb1MQ2Nh3vx63sYbBZWeeGzcjKDt31nebsdTdbW8dwNW7IKN5cQ/9bjxvWPXteF5DZXVpn
ruUK+26Tr5tTSOPeDtzbwu6OojOtta21Lc6GTX2Tra4+/+gfp11/e7E+3EBBbqKUhHWeSxvi/ap5
LVflteRWTuz6buhGXr7KdsX6/Ove67bkMIxOvGOcvouPgcPm4+mJ/eI7t59/qr+HOr9/3fUPAqeI
MXNNGNp0DLeWHTrzJlv71zmjFWbstm5jUHKQuKzNY7WRH2mkeZ9ff3l8Pz5VOhnWP9+jD6sNS40w
NeU0HsW58IxhOJuF5Nh34h+WnX98X5dV5bPrfFh1zMhU+n4GGMaZ2u6Hr+K4GfTnSfEqEVRQufr8
W/16jfvzW30sJoWMxV+r4u4YGsRvAOgJLv7/LvCh5lNGPA9Ar/pjop3JMX1A63fT4N/8MB/NvkJW
mrmBWfJYlEe4iatShhVt/uao8Lv79GFxa6S0iXsjbo/j8qsQ8WGN/96EvZwR/vopPjxgXTFDhmyy
6Tj0oxNB4ktGhxnw5z/Hb54u48OqpPuBMNGcYzcYdUe1cM2l7UkB2WJgwosHGZNm9Jtb98vfR/su
nQTFYH1EC4I9VPwyarujmn2r4xUoL5p868+/1i9/njfX+PDSpIHVCFWojkfg3fTvL7LsN12F313g
w5JIsOSoxKS6/D/2zmNJcmPZtr9y7c1BgxaDO0kgkbqytOgJrFoUtBYB4OvviqY4TR4+0jjnrK3a
sipFZISH+95r36hs2jSjc9Kt//olfD8f/+qLLw+UHw6MJGXoExWsY+4GG0wgx2mfX7gi+MfOT7bx
dfzbuG7jb1aDLV/1D38SpbWhDXrCGfVKYxielX+J+dsb8a6d18O0uV39hv/YWFvCZDfunbK5H7by
VL99a2+NI7d2fCrbZdjsKz/Z/V2a+J8e5D98I+w/LFY37YQKz2y40a7yIFc2/a4wD5Xmb/KdGbxU
myMhrKcP9TOXs+5pOSGm+pvdS5fb0199KH/43Celt5PWW6glAuJsg2Ul7nLjnYrgHtvW2diNwZse
RpuKjm2IEnLn+srf7NB/9xScP5x7Ctx1sxLNcAN+fTMHdDazr1aoBc5p/Dbvm215dnaEBX/Eb4Y/
7/IrOPZvf700v1+8/uJdcP6wTnIi7sy+Yml24RwCbtiksqo75P4jFLXDAengZr3BVfMC6jIow2bn
3I6bLhi3yQH80qfC/5vnIwvj/3o+//m6W394S1zFYzZUsaW0W3Nn7+wimMM1XM/pSdt8wV8ekplz
aPY09c6z7zxtXaqDajvs8vAhDWSR8Etx8O/oXs7R/2507xd/Prjnob8O7hHI60jWMOjITw16zu/s
tkzNTeAsFlN9Xfp6fh3cS4G8aRsyc/3X8LNfB/dgIJDs6Iz7kXhoEvP9Twb3/z1Yd1WMlir58RbE
Cegkv98IHS3WiqKz6qvuMlvRh1kmx0iN58z0UZ9jjVZbHhbGcqjKCsMOGua30nOO5ZSGLvD3uqhv
HDwgAOSvqxJtVWYwQNKc+lykDvLytHteVPPV9Ro1cHtE565CzPaSP/7MlBvoqeYxXcg6c0hYJ9Zh
Qw5mozIHB9UauDLxSSP6CZ/mFKBnn3ZJlBDbYaEnqtQB+iWhUatMj9JiiGFAe9eoJvVJJkyNMmtK
IXRqRrAPUhDyle31dLBkNtU0qU+TDKvKlq3Q6fMMnkmP7HuiFdFWkGQTv5FpV63MvRonElaQ7ZKF
VWVfvBRZ9SJzskbwFyj7kwNyoehQyDQtzAjbusIArNJMPVmWIs4wbz1CGUv6B132BBSb5OMCLAPq
s2tNIooM6KLJaoaDPT5C5Wc8lbdPthNfG2AVtCxgls5E4RhtJOW21RhUCq1EYaqt73W8p3k7XpqG
rPp8qUmFn5hLdaTSV/pzmU33XobEORKZRd9V2zsGBtElT79OaMnjar1Z9XLyR8c0SBbuXotB8aOx
ln7I5jwmLl5ZFfoCl0pfWbE01DK5ra8zss+HzAgK3T5kg32XRwutOUFapL7G29Ys3VAo9ZdWB22H
JJ3cE7E1W9Ld1RIfanpFUXgyDIbvbK+ndmLNRGN/26b2sIHjQZD8RKKcKTUKVez32bhrW+PiWAmm
B49sU0gSNeRyWqWNsusy5Taf6/6yQpvfWCSKo2Gy73Vbv3gMO0B9UlaapUn/FIAno9E13RTm0EMS
VGEKiWjbxz2mJVBMU1ZdYjP6tLTTEhaKu4t7ww6sQX02W3D0BmnpGqSrpR1sGubxXSy0szZLT8GM
4N372tmiCUpAFOAq7EPc4ibAb3Iexv6a0sNW7uraKdZvy0wYqoOm28ub5zyKWx9r1qmXKvmKIc4x
G7y3OlfvYRwDllj8Dmpcs8YhUsqg6QU5hErYqfqpLpKbtK6Pc9bfVHVxO1WMvunsj0jpRuJoI+tj
tZUREaUwTDKx6YNuQGasD7q9XuBO9juNCWUYS6GiMGz+rrlDB78TUsqIKmEv0DZ21lsvpY7l6D1V
iOyYoZ46vUM3OViotI1N3Ky346pjJUDUvVjjHZsdjXo4shhVyQ6iro7QWhqQfLFF1sRHDKcaNSag
Gz9a4oe1QSRgS8FmIqWbeodz1SydaufFGtpFKfE0qJuZKcV7QsTZlqQQtJaSUGVk5QCyxh0oBaMl
twYXBaljVh81itJSSktNNKYr6QIWOa0wCZGfWlKIqkr2B56Sz0xFozOEgQtAQLYJVb0tJTGEDCHt
KoCIGJImAovs2yj5IqU93xuSOGKAHkH2Ebam+rqAJHFBkzBiYdwraSWuCbdkHuOXSpJMcpAmjbug
f4cc2HS3HsgT1c7CVSoQLWAoJMmnQWrn+1pyUhyAKS4+E/4yU3rPfNQkUyWRdJWVEda2kcSVVtEv
M1+DWwcYC1rS/SzpLJXktDjgAHVJbkklw8UC5sJrTTEvA+b24IUnkvgySPYLzLMthsOP2PuSgobp
QcTkvCecA+BsJT1mACNTDnqoSq5MJAkzqP077oFQZ8SU7RLJoUklkWYBTZPy61zJqrGs+FgAr0ky
4P8oN6aTKck2fKAwbph9zRX91rLBDSo5OKCG95ARIeO4XXyYoWBHCrY/sqoIumBi4nxS+zUFoA6r
R0J2YnMOlaR90KHv2BLDEyf2uJ0lmseD0cNUnxAwJhydxPdMbUtpz6wS1djDCOHHlKgfxWh3I/55
K29uhIQBNVCB4mG+V5d6y9R8CbHJnmr4QXjOBfqYZQwFbKHcw2tCduBdmTjZdi1W4+cK7996yuRW
9xf1VPLeD+//Lf6Xj/qhlAJsaHMZxJ0MhZA2wW8aSBLNmXp7Jv9DI+GH7JPvAT+MHeguuAwJKJp+
E/+bxBKw4fyijfynPkTrD3cF2sCA6vgtkL0sbI9YAX5fSpEGpBpN0RbQRZyMPDZmnJopniELQlpo
lWuTIEdnIV/yQp9RKmDvX2IIECtOrWl20SCkF+a5j+iKIalqLRQQw2s2fQxxyjX2bjGG9hBty1nb
Cw6tEurHRqApZKTx1luDT6oZZzAquH7mO+5kF3Cp35ws2QqcbYOCsGvRGnBN5hdc6Lt48Ygb6Ovc
V9Jy3GdNt+8879Rn5B5g4Vph5SrMvWHVTWBl6ycHf4HQkUwsnZnuklV/Lzo11FX1FcugFTpRNPoN
8shdx/SfAGlCxky7P2KDnEI3ak6Druw9I9vmSfZAYmDjz9Q126mZ7yryNDe924TClvFkPLkTGU+o
jlyB3KzSqg1cpqtnFF9JUWp2i87UOo3ZzJUleuyKGjwRcd1qJQi97rNLboIcTkkd2ZKqUPhJ41i+
M9cL01B3myvLMbGGKohF8cTxqhANUrEB1XcJ+IRN5XpHDeHWhqn5xav0x5azlKL4DlOBsh1XQPtL
KTAGuR+aQho4bMI78ljLjel6b1mm3dMohacUMcQeC6MkM8F4XMv0LQeQLQpOldRFF2+ksOZBn2et
+iFDDfZIK81AT8dlm/Q2coTIIGQieUkynn8M4QKvKqZwG2jtaJP03VSGuS17bKtZjt+yCEQMCSRF
orUMGhVoyt9R556upldBYiNneCnv5w6QSu02aLEMGLYxXc+2Ih9vQLkRiIzHFcbgsSvn5q6sx2td
uy+WFvG59xSD2twiC2zetDE9D1l67lJAxAqqVd+yObpMHc2A1xM9USoGsWpDs4uM+oacG6DeSCoQ
xKEd7dMbNavfCEtOw7aQEXhpF8xmhQifJ8rYlflJMe1bTb3V9d5vLCHjaYjWicdDXzVPozLt6r66
JHUdmvZMzEKZ9n7cTx4IcEENUaARc9XpdW3Tb/2EezebdyJtFrLc24IceCmy4lUtzm2N38PPvenB
zYtwAObOLX66REoaLqqHyLO6alZ1q08o6CxoxaONqXUhAkQi70ZwpNgHVkpdrkw2XDYWaBr5tpJE
XBds3nJ+KePVxkdsWFKno/wv1ekjyec8mEsDwZ6U3xt5/3nGtSZqF3PrPCLvajPqYM/baZV1SDR0
oiswfI4uvBkbt/KQjCozmL3ZiHxm4SL0FJcKiUzaeE4I4YzyDEOi+XUEmxmOSf61NqZXcAtfVkdk
CAbQtMSGuF1GrgpE7mD3G+yBRqg+oW0eK5jMYJKHE3sPuDm34WSfWxygVTkcrArHQmiMqCafIL64
7i4xOw0oOVZQ5vaVhk5n7tatO8Ih2rqVYs6bdkIuvscKviB+Naw1vSEfYBkfPLXUhgfhdYpxGueR
YY5VFclrt5r6dM2HZl/H1B9NhlWkNnMzTFOg2q26vmtdfN9HBniefD6aZjWGndJhwVXsk+XMxCO7
pomS0P7S1nWP88QGSpOZr7lio1Ikhxj4z2ofjZrFnFdujlXQpI9m1Z+ayHxPsk4PBhcZNKrGD5yw
1F5JjWOlEmT+qhPikwGd+JLPl6Xpgzn1aOk2ysWsujslGk+lW3+iAv5YMYOIGZtiz8WV4pgU796Y
jwkTZVXAX3Ga9xSOup1GqKd1K9lyzWdINqCd1bObqAdini1vRaJ/rJrKb4mtj3wq8UGmgbIe9WXO
AtPqtsTC3Ofykq4mKtZ1IPenInEual4ghp3rdyaSh8QwOlD4NLzbdCXPTS9vbCdHcm15EBQV5Y7W
hR4Iwkhw/IwXhtfYo+bI511o9k7FraOv1WFHQDR7O9mQaDgc8Og436tIeRzyYLXiF70jGMtFP4q1
Hf2fm3uCP45p1CM51lgRea2zjHAVaYwoA09TOTdi69Ti3LgD6jwXG2+sOddUVBdqvZLhenT1yMLp
yx6m3PBue2LZ6lP+sEBshHwHVTLyOECsbHyKxrEPRlG90Ic4ZkrOcxzXVwSTKPxH22QNrESjqrri
d/Xwrfe8JzboUG2Kc14mw0aPjT3d7SfCWXdK6sw+6uQDHMrbCfO1Z9WfUw66jeaoN6Y6nJD2Rf7E
TR+KgNaRxNkRwjJxJAwi3uiWl22SPD941oJMIa78zNXbXW+lwk/NHkX5eItLI6z04Xkq8RvnJPGa
I+rfZTTnba6WE0EKbsudEM67EvO/DuV9YOcIWxVF29nceg4Db6hPwtpVbfps4zrDcawoY1ubW0M/
P+EAULeIwS8kgtmhkq7xThEaGH3P9snvo7nCN+0Ua/qtrYFRUno0WEOlElqvkzeMGAYCPl0GAlsM
ZD3pbTJmeAxrRN4VDRc2OTY4S+zXUucrYbm3OklhaIgwBtv1/KWq4xdmate+cr6gkPsy22rY9PZr
ncevddzYwQATLSqbV7V294bZPQgcXmitfENfcl8tkpPeifeYTLbR0b95OSFvY3pHNCe24kF9qEy5
iSsWTnyif75Xm/+W3Rh7/qrsTr91f2o94lG/ld0qmdhgi4jEtn7hePxWdms/8SmD+EDzYNKS/KGD
6f0Ercgl2gvYAWRAj1/4awfT+wmvLT5ZKePVv2MG/0EHE4vT71risux2cEbxuyyMTDpBnr8vu1cj
KRO9TtWr4aIWjcqVkAftUx1/JYB3JX1705G9S8QIaTXC08+i4eed7lxtknrHtgmxG9wXJPhSifmq
jPTt8+S16qxdy43YqNxL49FW6p03TeZKF6QCr6QDD5ZD0gIAbPaQ8amZq0eIgcRkemrht6SDBGQM
vEXkDZNUerKWbFuSQ7wS/qSRS6ybSuuX80ApyqVYRhfna7rvcQ9vMlKNtdjZCxlzjIRQWkvfsrJ6
WslB9rL2FVtXuclJSFbY9VoSk1HkYxEhQ7nzlHAlUzn1qDF5ZbvGIymE0opW1WATLcaJ55DJPECN
oA52N3Fl7hxSm7t+cqlr3edWcDFpyME5rGNOCHlknjK1qBmPKnsCiPAYIDvaj8qyq020HZrMirbv
RTPeQ3zrngrSpAsZK2237jFO1Be1tE4khhJjqM4XMkIsYBJ4nCzSqYdJyfyZvGqT3GrSDWuqZuu4
aF97cq1j8q0Xer9ohCE/cg/AkYRqtqAHSGDCN0PGY3uW9vSdGiVUorMVDJCDDNNeZKy2Oi/7rF92
qC+3DbnbY897FsdEcYufY7nJspq6G0JXtWQbOVm9Gyx6YKehTlGNmo06HGqXXvLgeDSV9SHLNm2t
dtRtqYkAsO+plN+LqRX0Pi19YI9WyZWZ6QuRfAYaDmeHSW+D5gjHpncpxxaYbG18qZKuRZMPOdUw
STDQ9Zp/CTUQa/8FyxDdmbz9kMxmSne6jHh+4QzAIIgt9Pxrs5wcw7lREt31B3LWDFOl1lSS12I2
3yp3JuZ9nh4gaiQQFciEMVvra9b0H5QM39YB++bkFM+xbbIUCDZCk0fjuNdPXaWk20wMxta0ptuZ
hOrA8PK9mXRvbm4NoaGYBeh4920ZaOY0pp1B9RJfcefiMCXcgpXDvaFKe9dXMy++FLFyE78VU1DF
8ZFoi6/mDIa2ZL3QygXvfLKrapfVzd1kcDelJn5qTKShNjzCggIaFjxtHtV+iWQ4p8VPXNSo8dre
pVHhL6bSn0X/VlkWNJlFqU+AyNY04FfNMrU7ULBQw5ulJFcS/CfdPG1GYWM1Ttr7canjQ54kp9Wu
bkBaHOeq+bA9UiELKBtqCBao+/LvuQKEgC4LYoe/aOekpAAt9fgnDR0e99vJov1kklOBsFLCZaEn
/K6hA+iOnNufTw85v/9lNmaCgFDRgqv0AfC1fve7/nKy0NCBGctB5VG3y2mb809mY9p3/cx/hq3y
ZIHbzhEm/bE2T+UPDR2sSlgqOru+nTuVwm0yxcZsTCa+ptgnDhXutCyE/KiCs4e37KQWJc0Km/wj
UvXU+jUto/4CBp6OoWG0DxkF6R4Pa38j8qj52gzSWliwPSWFs0Dz1pYUnbkigKrTXLjtu3K4thn+
A0W18X5i4XHxaWikSVVRdZPHjffVVZJ7hgnWNdY05ajHiditrl0+De5i8RWEZS50a7wMfeIAn6qA
qzmjkoeatdTP2Byw0hu9/g2/WfFqqUW1jy3oTVUT9e8TIOBtorrp1uk8sXMyQUpVMjV3AuB0MRI9
SDu+CSahmdM1UYih+ULeWmKeNCJIFtxRdT5ilRsIiTZjL0tuCNsiRrqN+qq7OgltCCfW5uQhyTxu
D0KGUK8Ut464cT3I9NB6TYDq5EcSZFRtigkfWmBxO01PtlLRhiGpd/mcTXpbbnXhQbSN5jdbFMY7
ZEKrRpRvVyFtYY6UEbjRIOr1XU5AmTQSWIPSnHMljTVvFzVT/JmVlPpqta7vUZ+s30gCe+2UNqzi
9Kg4dN1LjbuysLpmrzQC+5erjcsux/9FKT0s57yeoQnh74E/X9ZKQaERpxglBoPx4VTSsMnbF9NJ
Qc572pNB4b9vlHbZJKqYNhZspb2d9faDi6vlMCiD99SorX1DiLAacJp4Ku14q36MerWkq1F4nxVH
KEejGJxNM5fXzNWUoBsm8DoKfPutKNp2CMgzBJml1P1haaLqnq4qbCluv59i6ulg9ZzsaaZdcHYy
M7sgIcre8K1CY11Jm+vztX5bx1k5sXjBADmVuILhiF4JsRBPVdZBjq9nsBqEM90mUwEgFYtYEVSm
icuh70k9m4AODjQirT6IgZzBioSKtdcnynqMVmZhHJ1ZGHekDrjAm2tb+9bUzRq2EmbgcWfYgPyx
ftYZ/Vvjm3TC/2Ivrov3PwOTykf9sBNL554GXOZXVt9vNb7+E3UEWjX0CPj8JMbvV5WCS3a4p0lS
KPkR8AEp/3+t8d2fVINrMfcGFPrOP8QLaK5UIfxuJwYKLjGn8ATZhh2Vp/6jXMt0y6zjrrxc3SHu
bpnZl/ep1jivdWHqx0Xk+duiDU7oDpN6YTgXMaCaEgIEpvXZ8cTwkKh1sVtXwkUpNaOtowwdXLQ2
2bqtelNIJu9kaNHZsrzuzpgHHj+BHwpGSMkUbtD8FRrDs762m37AzImNLIempVLHVOB+1WUFUtr0
86cySeIjTBcyXpUhC/RKXehsuw1N8+XZ04njlDtUVDrHkW8km6QiTlVee9uuFjg+Bi+CkKxegfyg
dk7z3PfsNt8AkoH8JV0+njGg3c5W2TfJsm/NognzbqjKoF3XWBLy3pI5jtBATH4q58jQtgmUq/KD
vnrCH7hJ3cZa/KrmyzEdjS40m+rOqvFCAgxXdoMdr8c1Ho1jkqjOtkC/oOEVOwC08QKits1dXlTm
dtL1CEsddwb6cqAAygZaTj3drR2c6Kboiw325XWjWARy5+DO9Ni7yQy23mnh3VFGzqxUNAaUZE27
9vARgsURzaFN+uOoZ5+4ds2bsoD3BnYn22IMPCZxuw4+Ge3JlnZGFxSSdx4BPs9MZbNIEvoMEr38
zkaXlHRSibLLDDgdwiFwMzWugVNDVRcMVkD4PNgGAzwnNjCfzDsdELtO/euRSwqdnRCUKwjw2xps
uxr3Dm1xRo/oOWZ2YfLecVFK1rstqe+QwmJY3DR6nao89aDhLQtGfG+Lh4lcFNJTptzPJUke9vbV
AS1fgZifQM1nIOcboe4SDZ7OKmn0dmTfUvWHK5j6ck2HjQ243iONmUssKHvarA1oe+7bnP/A7rku
8D/g70u9+2wIePgeYPzZgXRhLU+tJObPUYMOTFL0h++45zZnguzrhj1+MV2kF9RlZPFG9Xz2BGc+
kSxpftZs7pS45minNR451o7WzeeY1MTDv4Xxz4UxWs2/2oyJG/mzOSeP+m0zJh6IyCvqYdf6JYbh
t83YYMs1iBQCzkxJ6lBM/2czpj3DmAnBmNRySbHxD5sxnRZ+F70B1yMe6p+UxbTnf7cZSwgZDBpG
ra5KbeyCfPn9ZoyGBtqDmqlX/fsCsuRaMuSq6rJxO5lUQarkjisROo5M856jgZDFSNLJLcv5PJTF
gyO55WjjgnEYIJmDNAfScOhBnOeSdd5J6nnaTkEkUei5oX0SEo7e62DSy7Y9tBNFyZpejUE5EPp5
Acq30SRgHX4RUpqFlq/Tu/sKCvtK2ehAZR+EXfs1nHYglpG05d/rxgDoFJS7lVfwVxWNr4ryqEjc
ezRlaIEhwMegEIrstQANLyQjPrOy+15S47u2B65unUoVnjy51btFEubVxrwmiHg2qmaeVphoUzWe
3D762njilOr2J13S6k3JrY+r6ILlEgOzrrwJ0PZcp7V3MoeWjQB7v/bdcwoGP2Z8S4/FaH2UGk8z
qPxRMvNr4Pl57l4WSdPXeA0ReP10bd57ydufojzdCsngTySNvwLLH0k+f+eWT5yNV3yun0pJ8M9B
+c9uuxu+s/3LstpM4P5dsP/0Yq65jmrOIhBgFCQDLCtgFtsLR2FdxJTsVJkh0BMmUMlUgYl4AZeY
AdGTNyAIHkgTiwQCHakZW9FzK9MJ8nx4tYgrEOwwm0EGGBBkoGtGfE5yYo4SOiYVYQeMG/GoEn/Q
RzQCegIRdIIRVJmQQLvbOwp7bLawtb9WsfMQR8tuzAnYRLJzXGr9O5nt22w28ooPim544Wf7qkb+
YU4uoiEdGkySDbcMiouzN5eP9rnW8oKpDC1svk9BYkQJM4T+g37dPnO6nc2p4w9jFxO4mV+0sd02
NbwKNZ8mzLb9gzZ1u8zK38xFQ7DEpkz8A1N0ktGHGu9uVZV3Y5YsITzU0BzwT3A4b5cERgdWfpfG
X0eDkTz7rJRewcXY6XF9yi0zLDwAZjkFiZmLY5bgc0w6dMge770ZnQbyuEDEps7yZYzr7iXBzgIn
3CtdOimVc683sJ/ijduVyp1KB/MeLzX9FG1OwQSrYa4kNi706COPyQW2PBUcAaIDtXWOTjU/93b3
eci5rzV1fce5tVOS/E5DJuMSxuwjqQiaGWC54UxBWqhd6GIlxURv8uKaLWwgBR1Ctscwa26TiGuz
Vzirn009ncC0DAbYxIa9vM+2HrTz/MmNqLK85YkPGkNnphyWVDlXbbJLcuVQIQIkdtKPM6LLlWif
QWDK3Yp4WReYubkejWZ40douSCzc4jqe36nkTmGk3G3SFp1Trm+82dkJBrNlU/KBPA9dtlvmMQRW
50+ksqdKFDMQdMBy9EGSeq9lhmG575LzBA4fzVXqhXNpg0HNESpRMdL++9IDjlNJOl9mByoyBRJg
2Qtm64PouPaVusowVQg+WzhEyrgf++7L2E1XQqiCPjMf1TRmFrh05zV3bIBJ1dbMSdhQkU20s+aF
Wq4+WGP0DYoKq3PiYgixHWbxtKc7PPtKCw3QKG8jFeFgAqE0Sy1346aTn5jjRTjVaSYKeVPmhW/G
LgSDcTOQJzFSinSLuvOc8Zb574uqN4cINRXYfmebZwX731wpYA7qewM0hp+uHXn1dFXjbC9Zr006
3UT2+sh8FRLNcBfp47Frp43d0gifaZauqx7adrc1FO3ADHYK+rpa2YWN0LOGE1fs0KVV4HukPrWN
+hmvIPwdffxkgFj26VUYB7hYt5rk/Mbxnba6Z89dJgA0TObtVRxVO/cZHSY+pB966koqWdDWuINb
fGsUSpgXy63uuR+GvjKBbyAbcwvtXIUZMph/oQzXZWhuB8d9mlNwR6UFvHkuLW87Z3rxmhvRAgxr
+sj68UQ49HMxVrR463Pi9fQRu/QenSNCje7DioG2jFpzk8z4ArL1Kdd02BhT/swOvO0r665TIrBe
qvem2N3L3M4nUSaIecbSIdqLBq7GtAvGbjLTvIEOaA5SeGsuh6gl0gsJCHnGe7vv8+epUATpXwhh
QmUdhO/O7rZQ0wMyGMS5olyDuU6+mpMxBstUz2B0tHdvXa9aB1iLciEOYrz2zOYzyM7thzNQk3oD
BpvUYbtc5iogjO6lzvTbutTvER8JQptN6Bb9F2Y/wQA7h6jra2/PTAnZvzrIQ6AFq6d5UZ6buX4s
UvrCojKCpkDv6sI/nXJ79SGpQFGkzi/GbLzrUI2Qrg4tzKxUymfk0LNfauQvn36op25/vhT+TzWC
AAXS1f/v/9PlXfD3d0UbNoyq25YmW3eyRvrxrkg+g2YuZApctYdy82qF023ro9v0vffH+/5CMPO2
9od9erZ2gMn2dZgcLXDZl2T3b4H7vcCVft//f4H7ONbFWFbf/rvzKx/3a4kLzlAq+egp6BqLSIry
fitxwRmCwbIdgH+2iqX6xxLXlMWvquk2lFZN8oF+LXGdn3CnStEdFN/vPeB/UuLa36kE/1lD30tc
VbURXhCRhkFDNj1+XEPaZHFuEnJ5Xa3kSN+E6qG2NnNe0XvN6nCykBZkUXExmyIPLcPcq6O2S5vh
moycWCjEoWCja1P80dCOom/e89F8wxft59VwmVftHHvmfk2YS+RKvfiJE7+Bsr1jAJ9v7bIkLsnG
pJgAcIuKsfFXTRSnckHWW+SQfdxyQPBgJKdxrN1zxTHgJrKGka3ClWqQvLTPNnNyI9JuEwQXTWex
U3jZKxQSqU6yr64FRF0fmROC+kivqMq+EkyNaBEZEdB1x/bTKdcOKBnOwwARJyofDaZIHLeX3vTk
tv0o2GzArMW72h5PtrWS+TnZVxAdx2Io4o2XWE8GjDOyWD6JxA77qZvIQYAQLjz3lhkPaFfsISK/
yUQWNlBHSEJEVJw5BQz/TnnxpPmiXptAtbJz0hEqLgdgTKaGA1xThD3gFcPE9spQybxPs1PeWtN4
NpHy3TTtHdO2sKQMXhztCrQqHI35fmFeOWcAfw12SEPDO1Ior5MZvTBpCO0Rfpw3CTotRfk5XZjp
Kio9CgahG23ObpaJt67Nxzt1jthjc7t8bs0DYZjuAKSPBgPegOkmVgmDoP6l3WALfxmnh4TRL/9O
w5SDPBja6nnkaUT0a/w8hR5jinpnpSrvjQsNCQFOO/E5ZJkCREZ1i6BeXBQii3GfuuikRPQVNjCX
I9t+NGv7XmE27yuDffbKOgKXBLIpaVBJpF1yr1D3Wyj6gSxzz5jb7NGNqi/MyIMqKtEv51+zqnuO
PY510KICHV1u75tIE0wPI3xj9Rz7yDBDw0QonjrcmuoUj3E60j2W6Qw5dShGTd0otkDzUOggSHQt
qwlMmwuO6jSvdV1uParGc2LxbrdFn/roGJkazhrI2p5QWAU5LZiehRKPPL0LWu6nds3vifZzfVPN
ABKlXMwQ5rtgj6txU3T1SYXye0amSPnWv6a2cwaWfU/QXOo7qUc4uLauu7LKOKOiDoXcUrEyDf1T
U7UP7sQHb4mYeL31huzAr9GkaIExWSRFuPejiPbCQE2jRdHByRXgNCz6DcLicF4pT0iHM2lm5T2n
bic2WQtDT1mXd1xLvQ+bN8b3xKMHpTsy3Q7U3N5CpseZVGB48Wx1l2K12S75vYIQjbIYkdD6ruTL
+zDZj/E8PeYFWvjZvYXsCXA3Jr1D6AA/jVR5ZtZQIcZ3tsk6hMky2cAYWwhwGj0proRweJTlnc91
OZq9ta0bOj9EOBmBrpjf9Lm/FKpymdWh2pLdUG1pWL7jgtkvzWD55NEvfFyMYOnTO+BFMf/orXgo
HZBfbT9ou4gOnuwb8XymogrEyArk5x96wQh5sSTqFFTgxi2U+3ZUv/UlS8K0y5SEUeep6dqbvsBw
AaPwW9PQBlNE2GezjXi2MLeVcKgYtSxM1LU7Rxp9tgoiKQlJ7qklnpu6nNU0DtWbWRZ1WCvswXHq
emQ9dCbWq3gfIQXd19ry3togwD22RjNHX0p4gU/L8rIOybVHi4sPQuYqpsaDyEqBh4D02l7d0Vd+
bKB0Qkp70OJW9+uVKGK1dt5jGo+NnRx1XlwgUmbtljo+Kfaq+eg62m2RISjsLBZ13kdvk72+dUN7
D3Ek3seFssd/McqUFACbw/jQuFoZdDmfL1CuwDUgOgpyUjdx2X1mnsJWQdpG4l3Z6HZIv/C4mP0j
ARPPuT68dC3ZGkU+vpjequ41XWiBquqMsXHmB6mbWP6SIO2sY2ZKJIQcuj57qGxjtzawyaJcexM5
SkSvyEKr8DLf9bgSGQ1u3k5/nuw70R/X6FWkJzMx7qqs3TAKfc6U8ik1Sj6aatjZVX2jNzQPm+L/
2DuP3jayNe9/lcbsS6gcFjPAMIvKyZK9KVCyXDnn+vTv7yi0JYv2vT3Ugi9w2YsGLKlYPKxznvQP
SrWSQ/NR4aCfK71z3gYmW1unMJMMcIEWHoTzGO3BSYAsVOZ0x1UeIy6kriwcv1ByHObjoFwxDDry
kdFlBtfcWjVgSbmo10V92pogkg2U1j3KAB3Y6yzOnGCpFiW62WVwqwzjEr5ieIznnrLABPPEGSxp
AVssWmh1H05GRdMQ9rb5ttxk3uXe2nBsaVqZtsDeZB4agUOjYa7YZ492kPgnXVoz1YXeZFi3YQa4
uyQxhixTjMOp4stotlR8zxai6ivPrucBQF9cqKu1W4+kmFoJpniUxpVb1fphi8kQNaxtIyU3DMux
71XOY7uYEzxCZpSoExnKiZobh5xGa9Pl0bF1uFKIrM2kUte+BFbOCdGiq6VX0sov9FPgMd4q9eVH
bZAfYUvdE3KEUF6/GmRpltjWTKUXrtXcI/3nbBb18UMfRDDXPX+pyiHllUsfIPXMO2SH2yVzknDe
0UgvEOEHgTJS+0mitWJilziL83vA0IruXgJCXEkSsghBaZ1pOaDQoEmUKejSG5afKK7Ej/CQ1q3q
WYscZ5yyMpehXQH1YF64SHs5Yugh5/QHqE6VortLazwX+/jK0IeZGRs3iVOcD0VIo3uMDjvdXKCb
Ce5SQUKY/oBS59dWpj9wuJ7X9Kensc8jEJjFJfbeCw44ZdnpdKodBeqbD8vQGmn0mAxGnDA5s6BF
on3r49jiRMO87Gueh86LZ745+gDCqnnS49uCiGgFSUrdjJXKkLljzh2A9VFs85Qk964s82PUB61p
lkhzBfE6xMq+ElowAFUvKXuP2LkrC5XtSdH5NzlsLlDV8UmnEGoj5Thw6yM3zm6NXLmDREuMSK3b
Su1Psh5eVxcw+A4l/Kocw/uSDDJ2jVJ8OAbrUi9Pes9bIG0XzZrAvvCNnBgtmTdN3p6MvT+R0+A+
1o11ESHNWGnDMfSRZsWMqZ6nvXmSKDaY+oSDUKJZZATozhv6KsoAv8njUVNqGnL+NG1NjALCLknO
NdoIM6+2EbfqAEG3vg5vqsHgFv0teoBJiuBoZelQVcpVpavZrJTDe6sjh7H75tzK4Vo5ZZstEaOo
jpMCUdZC6+icWjaHksvUyJWWTtKF5JxuzeYyYjRcr81aWgOWSJamnx06ZFtCRlgL8fhrHfNFi+M/
w1+D2uQP5VgZpEE9bKnG+LPXakxlxEuthTapLFCc9nscDrMGQzMU5q4/pw2wqjAicSxmDSolmWO/
g3fy77JsYy6F7CQzgn9SillPpik/SzEBwkFYi6mF6vA/bkXAP98odcAY6M0CU+jzVEEN/aRSGyCd
QxOALcTNoFMdwO9MaydY+zwAtvg2ZqO/pPl1RUyCY2HdDy2WyHnjrUqI3EUekEfZDNEa3TqVa6WA
JILZFjNenZTXQdraG/yFmtPt83PvVJLciFSDqih0s7NqqL9LYvBnON13PZeyuU9QbBzywswOjnpd
aHw64YmUF+elnBmzzNdGXIzMdlbjlU4UKXGAovNeNuV9C4YGPdthKav2vdRTzHS1MmHQsbKs+jSF
zEzLHPibUXRfsQy+ieshnoaRcqUZ9Z3HMGhJYLOXxDvzzAOMNYdSVJMMRiVpp7cBFpeBPqdLbdND
DgL1LBP4afDsaHSDqPaBVveqvE5k41GvkyUpyabSSQIEFruUsOoFnI0CN7/trBK5vGuYg2Y9VJZU
wLmBdTshg0cIrSC9AdY/lGp1Vo7BrQESPGJiP2OGBTjcMM/xdCbIgRtP/IAzryarG6XGW8BCv6oC
7bTJpdPxCXYuB+pkEFB0o7CTw1ABFWQIoDoYz3PJoAguKlq1huQDKOmVo9CHWhcKqHvhxSc+yefc
BgVvVmChOqYMDvh4OyM0yk5yliM4C3ujsA/LPFWXgPaXtgDYl6IRmA+xvYwsv5yFAohvtm4/NwQ4
H6I6QPxBXZVe98UFvx+D4zflBo+fFO8+ySmWJQymHneEiQf6X2UkPukFIQAv5WFiwhFIJAPZeVVy
l2w0d9pl7ZEMo8AX1IK+Jv+TykuzNc4ZMR16Ic1dUw2XOqyEpNZXjoLqfjSaNzVBV068LxU8BkAc
EpMDFWqDIDm0gu5gN+MdyRtsHDVfu1Z+KwlqRFx1N5IDWYI/xRhVECg0waSQkFfVVJPiRMl+JBWO
IUGWn9A3O4t0xO3roQdhAEWj6dtu3ts0ESyki9krpT0Ls0DF8dtZdTU1c6SV/aZ283AmVzmcZcEG
0aLwtkEbNw5utJoQZQveCHsNcwSYJHZt1cu0YsBvdECqekV1p1omHw0IeurkdbMkDLTZCD1lQNZ7
PqTFOLOgrgQpQRqANs2JJ14LBBcXokvUg5PiWbvStbU0/IhkUNQS5JjMqubUb+HM9625rWcIy1s/
ZEGpyS39RznKXx24NnIXn+bDACMeEg5FnD83Sa7AtJLKN9Um1sdkEgyHmLKu9cYRRaAg9fQwzm3Y
1KU9/FCr8psnNUddVl8gHndCKhZhLl7PRphCmoP2gCLIQ4agEYVNJIMRh1pU1vWPXEoSAOWdOot7
axMU5TdGuDLpD8ROVZCU+s4213UjuESGZFNe6necusXEHEqkS+E51YoNKJvpPAWBfVQJMpRXNc3C
H9s1eV87VWFMmX6/YTzAZEqQqeqiwgJbEKwqHa24hOSAmeW09vurmq6QgIvM497vZhgOqvM0NUo2
XcaWsM2TuGSkmvXuaRZrQgzTRWNG8q5cFy323LlyXH2l9YM9NaGqCQwBhXx+6nlKsSC5iO/KjmLJ
7dpjSbZUCJJiYxvhLa7HJIFtRyfN6XCsVP37PgUC2OgBmVa65kC/HPQMYiDaGjMCwAUgTBXwiTFr
4f0uSdLxWq80PNxNYHJ2uvZdatWoiDHlbC8CQwdKAq3LRXoZFddSmadezN+27ZVhhvZqTJt7FC3I
JfPSnaip6k/NsJAwjpd+ODqIztovgyWwxIt0yO5Njb1dxBYNioTCAgcksmt3TE/lwmG4khV3mBEL
ChXVUDJQ5moq/h4+Xc1Zxplt5KmMiYNcL+I6u28cOu85D1LnposBbNNE4SufEO7KaaehMV33OCTR
8GRNqbQOoczi3KsnFAColWiZAdZGb2/8IbroiInTOgRvExhUCAiE04+QBh43G1h0Ewq6kACb5tKI
LyOgv0FCiwHnTjo/cgeVNTJvjBr6bjp8NzLjPPTyxx5tAJzfwzsTkuekAxMJmT89VjSzOIU0dkL8
RxLXSleyohzWcV5O9UFt5pEAv+IcFB9WY3GjqWz8ONVuJdwh66D+3hXxwnHDG4K9fERbLJ0Q/w+r
wDtjYHftjNFKk6puYmF/iHsD3YgBvK1raBMrHfDyEDBcJubtTLWsh6DPqILKzEP0GfzgkNmXipsU
c0PIFqc4lszzHCOLNm7cQ7kcNiaKUnyfrbpgfn7dp7BgbVdaB563KRER95iL0iPMceBkBJJa+XkW
4YtEY9XDfN54yEMwqVhUftVlGh5hYZ7Ljfkl001wpHG/Gj3tRyh3FmcsMxJVRTbc7tHMNq1YzN+q
iMbCwOMXKjVUigFh1VH5albtKdozwRzfr2RSSpza/gAIP7QwhzWlcCOn6gl+iUyhAzdE+iQ/CgTm
Uq/L5TBiotloBmaecrQKETCYoqJIvBNQ/UJ102km0JpQ4L/7Ht3GwvbKBcIvMiVN287oNyLoAjNw
kMxbpqYKJAlcqpNCuvbL7gY+eDZJA2eadTEcCjwqvMauaRRmxUzV/avaxErUjevDxmuw5ZCdGyiZ
517cOVPEPrp5kktYfMJbm2rgOHpPiilW00OJzEmYdcu0t6r73EsgHRDPWS1CCA5YJuq8gsHbwfKQ
cvOHKYPL0GyCQELdFDnRD0vobKix+tAO5ZFDJJ8MlvFQtdYSc+4S4oGydlMtRTCo1ae9Gd16SYIN
ZV+qU7tBLVpKgHbcy7Z3TGKgQ16UsonShOvcKOGdNmF4qgYZkzg6TMhZfPXwA8fZNbxWSlhweSNd
WgnTZDXJDnWnu+3JuXD0HXMkzbN0XtR4cCCDQkshKvg4OnY0dlfqc+AAR3aRnds2/c7IKuIp++4H
cEfQBABc5lDaF3Lb3OUtW9cvlYvYSxHAG7QTzQyo7Az6oU2UX8EcRXrUUjTSy55zukxPer3E0dLU
14pdPzAhB50S1LdF73MGNfLNGKPXP8TX8I6SWVdxpFryPVqbPPzM7SDXYcfLWOc4r8pFKiNlLA8V
HsS4//DUho8OubHfmtTLffo4JuV6dPBH8crxUFXTOyrmGS5AN3kL86ciy7Mijj56F/gDO52FQlTA
TTbWUu7LH6ZPSmdlPT7r5HxtqNCED+9Q7j5EiHuGL+cGltJ9WDdnul6skwDxd4+RPi61REqtWOER
dNn7yrw3AMa5RXbVV84q1x1YlxJAv/AcafbpECj0JTXIJW48xyb2GCe9wybIp7Eht3h4hgoFqmep
0UWcjubdgJ8v2qkS09uL2KjzdjYI2REjl55llf9Tg4r52e9r0K9wb7cUoPzN3wWocgCqjCpSccD+
6mJS+Pc4kNpUxZ8T8zJTBg0HB+Mn4s1RDR0QHHNeFHDeI940DjFQyzahQxXMkn9CMbQ/jpRt6CYU
UsDYVWRGfiGC4GAYprEaYhFUu6AjbGTD3PK6VhN/GqoDmZ6SZtdBq8Rnap0kV1XjYjQmK6A+RleZ
KkjGeMCO60mha6cArfEjipl+D1aIuBDMglqVaYcW7b3TdPl1NoAgIHnpzx1a0FNgWdbUadzsWq/a
k1LGwrlOUSMIfJjUXkEnrku9S0Ah6bLBgWTuta4yqxTlJsF+bBWD/FiGjrbEpfpQG+xrr2iQMtRD
dWa2eXAWB30yxWcVdzCT1KKzv6SjGtwUjKVOfHVIF3Q5Uf6K0KNXWIIzpDrdBYMEZwUERCAXEIWs
E+ZBXW45s9jT2I3piHOABzgbk0FaqyGk3SY5bgooEw5gN3T2sWNupk5G2DL8fC03+jyyPHmueu06
KqUjPMe/sJonWcYkTa4xImDGmEzSyP9mtDqwIbJL/EhuvSK6FYTmOa7LQJC94KrWQcuAAyHrSlGX
Mj1vFY04o0lm8qh5nIZ9aq5N7DAnNVkfnbcQcwTJ8Ba+28mAGsavfNEhqOv8KpPcUx2Oic2cRHNj
4Fq59t0dqnOkLNpjBBCw8KyRqC86+xRSdjwZ3fHUyPhK67yfFUN3HiXavaqVt2MXPUguDjWZ76+j
uD8zOzoTFrMbROvgO9BlPcTNBd34BqZc5zlnZLX1VE0EAAR8Wp8AXENKllLY/5p744Wuw8ssLPjb
/ShhQRphKMK4bmraRWSf0SgOtXuBjxgOrbqK5jhNH0E6HBOKl9KbxQbFg28ZjxKINDySKSCkAXCN
y7DZCQ2IgfG6RbdvYmGQTZBTjjWL+XEs9BNcWYHXaNjBcjAiwPMYOCCKRTPUMNppa5cUBV6E6hvj
p8Gn1x8g9zDPQmchy4BVzGhkkYPKPURQGp1XA1hXxwaf4jCz0rz8Mk5TlPkC/bC3HaZsUSJfpz6u
Pa6Ow22WIppjYHuEyiLNBZckQZdTekDu40B9HtBlOIwM47qs3W8qNnhTvHKnluWcMhGLaTAb4L+6
RkYdyzyU7FI/Y+6ArCj0m2muBCYIGf2qjbJs6tbGsQxCfeogxjWVJWNdQnhaK0N2VOixclhkzIO8
GkV17a5S3DOp8xbwZvqF3gUI/ZQB+JqkXFYDjSKaSTO7iO/92FjYWc5WZ5vkAuGu4luUA3nvBfY9
kix7BnpGOfMFMt4VGHlmTPAndUi7je2etgU5SuiYQAQdvLDTluccRUHAs/3FoJAuY6wLFn8YcY8T
+HzmKfRrq0xfDp4Lel/g+PMiPYKWi+GcwPijNDOui1CRlrpgAGRFfmFKTrkYIQfgy3pHdaqdqyFt
b04/dGYC2ic+pAJJo2IQLAMTukFhhd6PCgKC47ONLyxICRg30IWHEQRV4Sls/Cd+GgSU38fP6waZ
0cctEZS/eo2ginXg2IpML1alXQo45mcEBWtjYP6JNYHDkPkdoMY8oKEgmrUC0/0sm/UKqDEOBNeH
yInTNmgcXflnEVSQ8N92cXljR4GUiQiqToiXCf5vu7ieW8gF3IfmdARFwBiw+QYrDDnsCBIbB85s
KONb1IaC6ZC5J0FpdzND6appmbbnWHAeWg5xt4L/B0SjmFVScIQyxclgASYA0nvF6fK9pcmCnXtL
WSbhUut26kk20gpyZdObJlV+xkjqtoMAp1b6HaM4lEh9R1+4AtboSOMi1iWJw9yHll1i9uJJuNTn
4RfDTr/lQ3bT+rQms5oRj2uaX8oCFEqf3taOdOumw5FvMiTTgpM28o8hkX+rMpu2kWOdl5rxEIPc
nCd8sAlShuYS1jf60dlXRj5YHIUa6l41Ldci7la2090MKr4iXt0tdB3LXzVkt3GuxACF7O+F3xoz
ZOWPqzq+7mgRT23PmBuRfZkFzncEKM9hsQ9M72nhyV5Yz90OPmXeQvhJH9w6++oW6hmIzAfGAaDl
o9KbNwzgVxXoGS93VgHgIj30vsUqxot5bGPlZAIs6vLsoVMcREXIdZIB7EOuYtw56ImzAKaPg6Zi
HRNp1oXu4iIDQSXIS2rxbiGX3dpznJWnGpfD2P4I9PDRSsprLfAQiBrvEm9MZrIgffIlOXKJQEAH
cpq5ZYH4bGFemG114jv9jzh0GGXDwslkV542JQD9RFZvdc+41OvBReEgutY99Uejmi3wYfHnBn0w
XWvuEtC3VQb20jRMandsJN2mDpdwxL/iLx7R629OVd+QJ0Fkod0gEBUytCKmkgvZAukAB3JZ1D5g
zigHBJrzraGIiCOjYTJEQGurGO2FGVQ4fFeU5nQf1sKmblaGuFSCn7+08AHrUmPRUAqCigRb40WE
V7nuQUsywwcgyRNnQOqc2iMP8VDxHSZq7s27crzKPIBTTWpTsbYLV26uRltbBx3yZ5YaI9BTuAA8
4zBnYBc9gKy+sxkIMYfP72UlKxHWdadl16PvKQcrkPcSLAh/JadSOJMsDKxlOVuaIIIVOWimlSw5
q9rvBmKL/ZiExTGd33aC1Ew+ZxRwaHrDAGysTecUZTdZYWAijhAoT2MyoYl3X4mZoVwqAJpHREGZ
3KhHegpio4dI6B3GquNrsyjqblUbA8p5KVV+8IVlcGsSZwufbjMwtIXpJnJ6bdEfzGZ6nYMsc8pY
uJTZiXXOUCeAKFUE/rlW9N5XXA7nVcwjNNF93T3NMZxEj5YmM8IEMsBO33K8K7+Qaec5Rn8hx9Ia
vdVAmzOD1cDO2DH4WdusisPGkl1ab0FfMw6XQYHNqkGbgry7yDKzL5ZkVepd1MlycBJjjss5E/vK
rDetB9lrmnAa0ZVFsKFjijTO3Ug3CsACquVdy7UVV19Vt/WocLVR9SlUE9P9FhkB+BRZBWo4iZ0e
BMh/wuUzApUZ4O/D5ZdH9M+3idoY/Nnf8dIGMCrUYhg4KpbyduT5FC9RD2HU6EDyfCtqox84gE/h
PunOE5WKKPsaL7UD8EsqqFVNthRYVv8oXopo+DZaCrdryiAhraPAvdAFHfbNzLOXJa8ty5RoKQID
KAevMpAOTJ7zqd8arigypLBf38hQUTmjY4t2jqz/EpaVGHcuM9RzwHCGc4MbtWROEysexpUNOQ1a
V502+mFVueMVSq4oE5qKfhvawFXzLLTXJSKSR4olGO5WafTn9KoutSEDGGoOnlUdtVFYad9aDnL7
vHOLtsXyDU5Mq7cBxYAUn3VhXCnzIM8zdU6TscF/T/IwN6ZGoLEUDc5csMvkWZU+GLHenVoAbs/0
Bv2uqZKD9V9kbq9N47ZBUFs4dVtBl2lncqvg4N3G4VlZRx2sD6pX3zmnifBoYPudgsOBTH9tURim
2IIbwh9cRd0Qk5kAxLy7cJK50SeH7jAUmDIngcDUz+Kh+OHb/iVt2lMFB/JGa69iYZ8HDiX8akXo
BAjvpRPJykvEoA1zHQeQPJ2EuduoYiYhSdoPPazSle768mlaFzgYtFRdwFANRAzsE2glp1WKhvao
2i0ot1Fd1ql1MyjSHVZnxQx/P4hMde2p6PtomJ95GG7P4ekFzLfEJRDqVSKzvCn1Wutnpp36l5XX
IlwJixOdIbm/0+GysYoqNXUV0SrVpRJ1RGO8LMzaXvuSopy+2Xvnzw/tOzi+mM//8iwLVVbFpkEj
WIjsmbfPcjGUhedRZZ2Cudl0DDiuxitrAv0DEH66QnCMgnKOEMYcRvbEWOsLbY6U9DT6F8+6AYjh
zX3gjaUJDjkpsCGSXSA87+8D39Gu8So/OwXNuB5iv59GGCQD5QSAxYTEmReti5aiahLQXFs+8azS
XSt8R2ZUIORpYRzjwua21fFb3WfOolKBE9R1vnDt8ZtlYB0bugwP3LG/LWKkE9WyGKZWhUZ6j1kl
gE8mUIbfz9F0XXYKzEh3BDdnu9B7ndWoIbymqkvcY5VJUaMSFDiw6pJ0xcBhlqGVNsnkfN513rHq
Qu2NUmST6d/AKw6Rrm+L066nyVN4grekeTdel61QZTsBTSoDss2XcsSDZjkF0ws5vPrzV/z+EHnx
WZNRvdUdIPOa88sh4oxq5+SJW57KbRIuOQjwESiBM0mBPzcyVKP04l/56W43SHnznr98m1KPtkkb
edVp4WlfDRdgGSw4aJPWSk+ak6xwGdKaAMgtJJiMmGY2Q8DheMRhGgMC4zgL7Ds5oBXdVtIPYjUI
tgKLVvNCdscHwyu+JR0WpkVa5M/slP+UsAbfwO9j8tfmfrOlgOVvXgOyqghZH51kWnhJC1uLny1g
hVhtyrhLQ/6gHqXsfW0BO/yEfjElrMqvoBj0MyDbB/SSUa3jRwpmGvBI/kELWJN/LWB5DyQuTFEu
432oKL88cHFd1jLK5PJZHWZ36OoaSzPSpCMVr3vGl0qOjAJ7rkl157SP3GqRIWyOMaW+LjMDbduU
aT4NFOO4LMcGteAIM/nOXLZdcxXbfX5SjtI0b2UdbNKD0kYAGpIOzQdE4EezO3RcewE0VJ7l1E1N
5dJRdYZkanX6TZeWKz3w02tO2Wbq5fmDieFq1uQ3paLnzKhRjjW94iEenGiWVUw/i65b9XnfM9/O
/PRC1sAQhTr4Gs08cs3Omded7E6TTsLCUBFmzTE4TbfeWI334CZ2t6AtLM+9IS8OkaRNUEaTLpGJ
j8+dulTQx8frAsNkWI+DZc3cgEm8JzFpSt0BMopeUkho36vABNVYnNp1wFTJj+4CVbuuMyefSaH6
mEdGP3dH76ak0ghoXDVI6yLur6wgx32n2E+R8/JXkYN2tIx6jamCyvSOwtG5VkKOXmMUECtVvs4t
8K8jX0Lt5/U0dpmHqrWxGZqqh0pZ3aE7xHmJoeykoJjrdPncjnVl5rvBReAw95USDLLXwyBjsIdU
mIxkmIx0GC3ho1ZoiWlhddmYTjnpGSxNxpIho4X0WGjCYbHyeGYBAZkUktSgLO2oFoCkOq6ilZ2V
yTxIK/vMUfNhGae2OgEgfKikhYNWffmoFi147dHyLiQBGBkD48FBSuK0GNQfMfoOJhBWhC1Q13dO
wcXiPZiW0cSNML6uDZgRKQXK2ouyMx8SDcKa9hlmHAiEmw7H4gDgJ8Lto1LoQ5TqKcI7KTPkkcwi
IM4oDb4mioFxb8/wlDn2NzP3v0QRBiBlg4W26kOCUrE9qTwWN4YOBRIGmRWU8xQ3u0/AezaowqxB
8lwodv4DFtO88ftlU/T2NCU7mcp1qR2acXGYm8m6rw38h7WzQYnOqNb7qRMzWpWz8Fbu3BsjkapV
HTnZ1Jesm7L2DG5bPXZz8inJBn1UFEk4aWT5MhnqtUz/tYjCyyDw5mYTf+3k8h5Fl2yqREisD8zZ
7TJqZph0iHCaAl9gcQ1dWrcx9himLIxenCFifmwdy4XyQKzXZlU93OaaitiXghlkJXhO9VjMhr49
jNxRhvoun3Zxd++z1nNTy91pagYFban8TkvzE4dhjmlnixClLZIH96GWu4VVCoxS3BVTBDsyJEma
ox5k2nRw4miaDsb3WrDsC8QYEzs8Llzm1kGeICVCihD61Tc7LI6YC90o0fhFkaoL7o/5g25MnM45
KYW5Ajc888a2wwg9wlSX+r8Z5cvK0b4NtZOfIa4VTwOUgdfwT6RDYO9MzQGHtFFxpSPZ5efRpW2m
BhY4oFxgqrvVoWtxlbH0jVUCFLh0YZCFGojlJFEvQhlolo2KGv2TCumXzIqmWB/CXAJzMgUifgYt
FoZal8Uz/HtAyHn9RajKiD8Y8gMK+C+Wgv8fxNmXW5xt6s08Bc4yXDSP5XD5WNGvqF5DkPjpE4H1
Ovu//dKfL/QXJTDvfD3kj//9X5vvSZDOgqoug4f6bRBGzYh4+S5oP93T0w3/6RLxhqs337m2Zh2o
hs65oTjy04vsPs7QRXv+MeUCEVpBn5Wur/P0enrDN2v0u1X48wd8Xs4//87vP4Homz8t0OH3//4v
5bmlwL/945Xgb94shXmgaXQHyGJ+uxQwz4FFi/E277V/i6CT9Oy4CDrTemQZLR6I1+/7w/PgcBDQ
cHj9+V4uhfJri+nf2RkfngcQaOgVs82eXlu2Bj9TVIWCag8XATPk/8vx8H4RrANaaDZCXdrzGvBR
3z0PUA9U1sgS2pp7uAa0Cp4363NP7e9j+18cke/XwBZcd5W+IYM28RI/fXtGqjDebSRNCY/7ugi7
Hwz0Wx2NwokmwdOL+u7dIhAo6M9YKEA977z9Ox1F+3jn05FmHKIUmvXbRaAlrcimzPLs5XZQnm9s
l+1gHrAbNAFoed4Ov6YMbAekFyjZRTW/n4tAh2vHJ8E5gBaDQCZy9U+vD2eCSvvCUJB429szYfdF
QCQULICDrOj27UBwoFJEBO/lqdu/M0Gc5Ts/CYbC0Q9+8TeLADaSFFshT9jT7SAoezsugi0UDxlB
CR7hu7DAYUAOJVwdnrPqvV2D3YODg1EwSQAh8rdHAiQe8mYxpdvPc3HnNAEFd9H+1Zmk/vog6AcM
F4ExMVt9eu3pGsjP5/UOARJurSVmZao4G8XrQ86s86ToGjnz8+mzh8fic0WzwyJo9oEFFRnA8vMa
iFLkw8EgIGXwR5+2y94eDJ+RMFkg8AwAAS9r8ctSiNTZNvhP2deDQd89TJI1WjoIQiHvJV6/1g/k
CoQP+ObO3iZMu1fTIDmhQijOx9ORTIkpk0VavafnorZ7gCQCEP8Y6r3kzFTm744EMLDIteEMu691
g7pzfKTfSmFE6YRm3uux934NHKor3QI4BOBWvPb0cVB2zxnVA4g4oEqol59eHx4H48Dg1DQUEkvx
2tcIoXzG4WjLKkcD3kjPr193hmhBOSbKHnvbV9i9zWYcaBhNUEc9f93i+/51a4hyE2zBfvZbkTr5
jJIaCCLoRAGwf/fpwVfwAwvgwr7ugw9Ohf+85U58BCdCiaA/7XjRu32/CPIBP2Q+IRQ+9/lI2L2I
kA90eq2QH59XYttSmMItgFnNnoYIfffMGVVYXSYpMn/XZROgIxVip7Ae28uS+qXE26WSsg5gwqLq
ZL6Ukx8yZx4VVEMsBeLpXm+K3YtKHbtSVdUAwz6HyV+XQrEPxNPAMfk8qtnXo9LYOZGk0UJeZLIc
vykqxWCOMS2Nx+cTZF+X4mVIsNsGobREDwWE4dPr16eCpYBQJ4bae3tKPH87uywCgtwieUTR7Tlg
cMX3oROCA3hbtN72NV5ou9fXT9UVAE/8ip9efNT3i8CmUJGPR/VnX+PFznk07UfdeSJqvnRaPnRi
5QOMMRlXKM/vtX/tR3X3XgOBgFH03zHzQw+WnhtPAu6gwvRuLzMHQbTYbSojmvEUS5yML0/Clu0g
Kg2wPHu7HXavqMwDTBGfaF3PB+OHmgJ0OnL/wM/3tfUmuoW7PQl041UoaTozyN8sAgcjxYRMX2pP
t4O2e/YIxZ69oGNZ/5tFUFgl8F6Os9/V5Uv/Y7dsQUWXCiTLy6xyy6ZAFlQXjKA9fR4EwWTHTaHR
gGQAhXf1c7bwa95IP9o2GFyjrLuniyAkk3ZcBPsAmzKTw+EF3PbhSaBNi3awTtt6TxdB3T1vtA/I
BMSz8AL9/bAI9BmEjAYixs+vPV0Kbee6UmP+ABGLue1LXfkhZ5APaDqhA6Lt7bBy55xBTPA1wd5+
Rb3yhP1aR5h0pfCw50lhA+5fCi0EZHY8GTQUaWTcSl/a8R/78TSmBHFP2dt5nbb7ZAaLbAvgqw6+
9+n1YTuIakv8x+RCvPY1UmjPD+ouOYNJNIT+DfTz70Pw/aZgKWSU7ug57eum2Plk0J6iIYZTIv14
9+lJFhRTs5luvyzPvq7B7sWEBVxF+AJQPj+/flkK+m2k2JyfLx2dPTwdd08eDQomNMWJhc/FBBv/
3fMgSAGcnMA+97XB8NID2+VIIALQbAfc+bvRhHIgCFPUEXubLOx8LtJlgfPA1keK5ulF0Hn/JGAH
jrQb8mz7ei6+HNi7PAmi30b+LPosT68P2wF4F3I8yMDu7SLsXkbQg0eTCKbQS+78a4xgho8JC+jY
va2qX6iNuzwJQshQuG7ShN7+JMhsB1VR8ILZ0xD5QQrj/wJkgDALdIn+8tPrw5kAKQBqiM258e8v
wr8RR/8mKE/9IP7+RE0OHqttDObf/cIrJ/fjz99wbp+Yx+9+U1CVn9/8J3X5f94xl9WnKunNT1+r
pqd3evn7l4/48c3fvdnr53r9x1XwWG7KB4QInljBLzd6uklgOP9vzP++b35lDIuWz+u/baFZvy0c
/nx1/IYeXy/0k44s5Ed+ftRfONz/9sWTzfesfL3Qm4tzuO588UlT19tunJvb+drTTbxp+Uqq12u9
uXee992vj5Z99eErpZVJi+oTLp7W5eavaVbV296CRGbnt5g9xn+dZuXW9Sc87nz9efzXLCt5eF6v
9Wb9KWB3vv6ifKzSbRcn4O188WX8mKav13lz45+xXVdNcp/F3+uPl1c+Y8MeJvljGWziLZf/jC17
iD3Nlkt/xo49eiy3rLkYEO/8fR4FqbflIBAE/Z2vfbyJtpxhgkbxCZeuqsdta/IZG/Q4q/7639R7
jB+3rcxnbNGTzXcO4Nd1+LmNBBNz57U52eBK+HqdN9f+jC0qro0T7ZZbF+j73W/9Mf2ePQTbTi/B
z/yE65cPj99fL/RzbQQOcPeLZ9z763XeXPsztulJtnVNPmOXcun6sXwcttz5Z+zU002+7Wn5jH16
+thuPuaOhiwmsDt/m2flhiPg9UJvvs7P2KLn8ebhcUvuKLpRO9/5Oea525I7MX7a+eKXAaljFXzf
sjJiqLHz9a82DyUlQVpviaViYPAJb5D+NXlEpHvbG3zGVr3aiDco0035fetBJqhan/IpZsGjt+1D
fMauFR9iwQ54CKqHbe/xGdtXvMc62xTNtmglACWfskrHTVD9dXYfVPm2z/EZm1l8jpNN/bjt+p+x
n7l+vflrsinvN9tyBiEr9RkrxXtMccLYcliLVvRnvUPZjK8X+3mmCgLr7m/gb7bWhPqnbGp6GFuX
5lM2c1BFOAg3r4vwZmE+ZS9n8WZb9iB6vbuvOolJsu2Z+ZT9W2/wK4o3TfV6p2+W5lO2rmizbInD
QhJ+56W5fvQ325ZG0At2v/gfncd/p0/IPvsbdvCnxtkfPXF2vzgNomRbX070t3demT8bFOx6839w
29v50r9Xcf7zpbe1Zf9GvXxs1r6qO277s/e9aPEbD/Hjpvyf/wcAAP//</cx:binary>
              </cx:geoCache>
            </cx:geography>
          </cx:layoutPr>
          <cx:valueColors>
            <cx:minColor>
              <a:schemeClr val="accent4">
                <a:lumMod val="40000"/>
                <a:lumOff val="60000"/>
              </a:schemeClr>
            </cx:minColor>
            <cx:maxColor>
              <a:schemeClr val="accent4">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title pos="t" align="ctr" overlay="0"/>
    <cx:plotArea>
      <cx:plotAreaRegion>
        <cx:series layoutId="regionMap" uniqueId="{00000000-126B-46F4-94CE-ED50A6E2AF6D}">
          <cx:tx>
            <cx:txData>
              <cx:f>_xlchart.v5.10</cx:f>
              <cx:v>Qty</cx:v>
            </cx:txData>
          </cx:tx>
          <cx:dataId val="0"/>
          <cx:layoutPr>
            <cx:geography cultureLanguage="en-US" cultureRegion="IN" attribution="Powered by Bing">
              <cx:geoCache provider="{E9337A44-BEBE-4D9F-B70C-5C5E7DAFC167}">
                <cx:binary>7H1Zc9u6su5fSeX50gsTCWDXXqdqgZQsz7MzvLAUW+FMcADHX39bdpJtDc6Wq+KHq3uUVcmypYaa
/Ah099eNxr8f+n89pIt59aHP0rz+10P/98fQmOJff/1VP4SLbF4fZNFDpWv93Rw86Owv/f179LD4
67Gad1Ee/EUQZn89hPPKLPqP//NvGC1Y6FP9MDeRzq+aRTVcL+omNfVv3tv61of5YxblXlSbKnow
+O+P7jyNvusqj+YfV98jf388mz8uqvkHVze5GT5+WOQmMsPtUCz+/rgyDPn44a/1b9vQ7EMKypvm
EYSpcyAdQm3CbfT0wh8/pDoPfrxtYYIOkEOZYFj+/NrzeQaSu2v0pM/88bFa1DVc2NO/G/IrVwH3
4p//eg8elvdiefcDAOLvj3d5ZBaPH27M3Czqjx+iWj/drGpw9fJC726e7sxfq/j9z7/XfgH3au03
LyBev7H/7a1VFP8LwoD+vAWM63cAWRxgQBkTzp9BhqdkHWRHIEkoc1ZBfpNS23HeHGIHqDeF9gzt
83nxHrNZHBDJCcMEPwNN14EmB0RIhmwBj8DzIvI8m3fVZzvGK9I7wLvy+T1D9p8UlsfH9wCXHwjE
BBEOlU8vvgVcAJ87a9i+QaPt8K4PsAPC6yJ7BvJRViyqaJ6+w1pNDrgkwmb0lSmM7QPbsW0bc+en
wX45kd+i2Xa0N0bYAe4NmT3D+5+0iPLFO6AtDhxJbQfb7HlOi7U5jeUBh5dtc7a6YO+u0XaU1+R3
wHhNYt8QzuaPunoXhCksyYgIAHDd6eKcEEmR3DaR/9lZoVcAXpXfBeBViT0DWDXGvMcMlgc2BscZ
vTaDCT6wbeZg8MlWZ/DOCm3Hd1V8B3hXBfYMXVenTf0eTpc8IMvACFboV0IncoCQoI5k9iq8u2u0
Hd81+R0AXpPYO4Qh2l8iXJv3wFkcICykpJRvN8SEHGCgQWyOwUS/dLhc/Ta9XkN7yyg7Yb5Fbs+Q
9xbph3MN/Nuft84MH3CbgRleYr98bcRUDOY/oxBTrQVVb1JqO+abQ+wA+KbQnqE9ST94ugJn7M+j
TcUBJ9KxyY8AWgKlueGSSYlhmm+Nrd6k2nbMN4fYAfNNoT3D/LaKgL0d/jziDB1wCtw2t51X5jc5
WNJhGAz86rL+BpW2I70+wA44r4vsGco38/yDWlT5vHqM8veY3uwAgyuGBaXb2U/MgR5lSPK1VMbb
FdsO+Svj7ID8K5J79gBMIQP0LsA7MMsxkGIYP8/y9XV9yaIIG/7gNSd9d422I74mvwPSaxJ7hvDZ
In/UD+8zu+UBXpJknP8gRjcylRRcNe5QunTiXnrob1JqO86bQ+wA9abQnqF9mC7y/M8bbQqUCgGb
LAlkI1f9MwjCpMAc8tWrEO+syXZ4V8V3gHZVYM9gnTXZN50+mj+P7NIdEw5mbBNZsN0OpgjSW89L
+Cq+b1FpO8QbI+yA8obMngF9lA/v4YY5kKckMIP5j5zGhjVeliNIxxFijUrZVZ/tCK9I74Duyuf3
DNmlP3naRPWHi29RXbwHyDYUEhAHSyaefe0Na4wOHAiigfbe4my/UbXteL92jTtA/5ronj0FJxBs
/flFnNoHlD8lPJ5JErQOPXjbSy4VQ+C9uorvqs92vFekdwB55fP7hixUJr5HoZhzAKBBDQmzXw2k
HHgPclnr0O6q0CvYrojvAu6KwJ6he6Nznb1PkoNR6UCF2I86wC3lYRzbDoNyz9WZu7tG2/Fdk98B
4DWJPUP4dJ68QzYDAifIVWCOoKbg6QVR0nr8JLGNHcHX6jx31Wc7uivSO2C78vm9Q7auF+9gdSF0
YlAlJCR5hhZtzF1wuOBtJpy1pfl0vqtGr6G7Ir8TvisS+4awrj/8kweLdPEeFpgdIJsQKn5a4I2C
MCjxZRRKimCaL19raYvTtyn3CuJbBtkF9i1ie4b9MnCYVvP8Iaof9E8T+Se2YXAgRhDiEBJvd7yg
/IDBThRb0C3h1C+NdnH2t0O+cmG/htkB9O2Cewb72RwSlL/uyjO3/GdQl5xBchL9SEivT3ZA3YZ8
lsPlGlOys0Lb0V4V3wHlVYE9Q/dm/lBBzX5u3oMnEQc2hxJfoEmeJzYY51WXDB8wufwDEfWW9fxt
um1He8sYO0C+RWrPcF8+1IV+l6pBfgAhFNQdiB/e2haKRDqMCwjEttHdb9FsO+YbI+yA+IbMvuG9
qB5gh6D7x/dQ8gOKHOkI54fx3ljGwXcXWILLtnWOn+2s1ytYr8rvgvSqxL7hrCEH/edhhlpBJpEE
9utHLdFGdhId2IxAHTiG2GwlAb2rQq/guyK+C7wrAnuH7ruUkEBYBZtsfk3hjUJQILUJAe8cFux1
cHfT5zVsX0jvBO2Lz+8fsmZRLd6hDBB2uTvc4Zyi14hPfOAA7+nQ9b2TZ1DdvatOryK8OsJuKK/K
7BnSt4tw/h4EN5BksC3SAQbllUIwCKhgrw6G7TjPjtkae7K7XtuxXpPfAek1iT3D+XzRzt9lKzQs
xg7hgqIfu3I2yFAMKUjYksPkGtG9u0bbEV6T3wHhNYk9Q3hJ/5xBx433CJ2fgijOYX/sK6EzTGYi
oCiQrU3jNym1HefNIXaAelNoz9C+AOozeI/EFYVN77DtQjivbYOG3gc2bJR11vnu3TXajvOa/A4g
r0nsGcKX6fxh8T7boMF3XmL8vNl5M30FKzZfNj0gvwjwlyHU7nptx3lNfgec1yT2DucGOl/9+SAZ
UtCSOhy2WP3wwDb4TgQbbgRE0XStFP8y3VWj1xBekd8J4RWJPUP4OoJuUnX0+D7LtRTIpvRHAdhm
BRgwYtBrCqqE1oLlNym1HefNIXaAelNoz9Beuh5qAZvo3sMRg4Jemyy7HLxSFQYtDhgiCAq717zt
t2m1He8tY+wA+BapPUTcixbBewAOPYgwpCWhD9Fatgp20GGHCthi9+NRWOXClnd9Z51eh3t1iB3R
XhXaQ7CP9bxs3isNDWgzAhUGT68t0TSRUBQq5XO4vSXceoNyr+O+PsiOyK+L7R/20PFCzatv83fp
AMqWlSXLGoNXODNgvh0pgDWDJidPr405/zb1XsV/yzC7PQFbBPfyGXDT93kCwFuDgjIoGn0tf4kP
oDAJA5225rPDeg/3fme1fof86iA7474qtp+oV834DoEaNP7lwISjn9nMdVMPVDk0LYOitHUK9Qfo
O2r1W8xfjrE75C+l9g3xcP4u7Y0gMQIdBMFzo691ACYH4NYhAXu61pb3nTV6BelV+V1QXpXYN4Sj
RfUuZhw2TTuIwv7Z5xqTTYINHcCbYOjFdiduZ71ewXlVfhecVyX2Duc6iQbd/PmVe9mzikIlMPnZ
Bxg4ltWSQnLgQE9RG/q2r83laHedXkN5bYSdcF6T2TekdTp/UZTx56qDlyUpQJgvyxaeXutFhEsL
zSRM5w3aZWeNXkF5VX4XjFcl9g1hM8+jOp0370GYc9i2g6CjhfPani1IjKDllg++VgMOJx28QatX
kN4cYxe0N6X2DfFls9j3SINBExtKCBzF8CPY3vC6oRBpOes3ChdudtboFaRX5XdBeVVizxD+otP3
YE6hnzeHvhfQUm7dKIPV5rBrC7qcrBrlXRXZDuuK9A6grnx+zyC9bYAfeY90F+yKp2hZMfYjd71u
iJe1oXLJkNhrDtfuGm1Hd01+B3zXJPYOYWjznL1LI35+IAU0B4SF9xVnC0GATDAWZAPj3XV6DeW1
EXbCeU1mz5C+Bze6eZc4GRr6QhRM0WuNnp8mM9ShOGjN33qDSttxXh9gB5jXRfYM5S/NN6CP//h+
nGWnQAzdIKFY/+m10QYBWvJDCwQBhNiaLd5Rn+34rlzNDuCufP7/AWR/r+LKBS/POvvn573dslP2
rafUQeNWOEPBgRTV9tV5maPC0NYEcN+Wo4LjxH6drPdqfP58uN/GOXUvZVeu8fkSf39T3ucUutdP
qPt11J83N/PJ0yGBLw6p+/27Tw81nG24JvpjJ9MWEH/1YDx6/PsjNOWksI8Zfvfr/MHlQCv7oP6z
pfTno7EquQDy+++PcOYghLwEmpQgQNSmEgEl3S1+vSUcAnumf7wD35dDa/gQTjKE5t4UQmkw0PAP
gb08Hz/UuvnxFjSkYsu+kbB/XjAqfh3keKnTIdD5rzvz4+cPeZNd6ig39d8fIfH98UPx/Lmlvjay
OQdWBrQD6oURYsM3FQ/z62VLIrgR/4fGbV6Puu8u+lQglzVRMaVtGE+KuHUz3ptpbSU1Vb3N2i9d
nJ0UdS8Pwd5wxcoocv0hqD0/F/g6CJyJJexMZUPOXQdF1gky49z2yXguG7PonLKe8DgJVJH6N7Sx
nLO8TUM1tLScFn1bnkNPxUkchPcm7CYdyqNpJMVxZsgxq/D3pB/uuzA75iy5KNPK45jMZBTGSsZZ
qKKMFl6c4kCNA029HrHaDWQTKmY7i5izu86xviattejasPS4P2Ru3w29gt5Fj2U2BCpB1rlBbePh
Kh9Ul3S5aqXzbQhZ4kk488hNeWtU25jIawZ9H2b6ijjBxNFVovjAGrdsTDsJqsMmOAuiI6eg12Xt
nNHUX4xppob80sFF59EqOc+lMx37+FNWUuUT/yHM7dvW9kOF4u9DwAovSsmVqIZBiWZEkzao77Rl
iBoaU7hNGqbT3qS9KiUtvcoZbrLA2J7hHZvVAsUuTcNqgvKGq1Gz0c0iPLq1H8uJZZzaYyaYJSGr
VWbRw6ax4msbp8TrSapVPLBY4chuPVtb9Kwqk0hx3bVuInBxPFrVta77VDFLo8Omr49shCOvoiaa
sia2Z40vh+Q+DywenJF6zD7FtW1JlWZlAbevHd2eOp1q+6ib5Lb4Xstw1oftRWiqxKVZbfiZ8U0t
v1b2GD1mqeaWJ3EqZxHD/tSuHXzBUdS79SgbNyBDPi1Yp8+ykUR3ohP3lYn6GaT9vyZRn7l2W0QX
HYuJZxVNNSWDuJV5d0Qz+7Co/OYwHXE6qzC+sxofew3q6KT3x/yw7fLgOmNZqXhN8os6l16J4F7S
uj3rw0HfwhPA3YJx7cZl2l9CV8p6IpquuA3K9lsNhWUnPCGt68ThosBh745sQJNI4nNLaN8o1PRw
623scmmaWdX41YxUTnpTOmV60Wqe3yZkMF6Bo9BtWXGrhfGMcSw1NqNRQWTPeidPVONbsRvTRiuj
h4vOSN+1aNW7WaLlxI5Id2IcLKZD5DvHZkDz3i/cMuzuxcAKl+ZoUDooYi9gclCkZ9aRZcnuaxJ3
ncrH0vciYfLDvtDJQ0LtepY2XanGUhwnXdjP2tGISWXkyLxqLHzl2LK66ij2T8OAijPRDuc1lGgo
mVqDy3UEMzNrq2mPRO8Zktdnlhi1qnGCVGL34+TlYacra9yDLoYqCsIf59X++vF/bnUG/z2dfvqf
Xy6Pu/3PT4cLvTwtsl7/0NIe/frUf05QXa7/v45TXbMqz2fmvmJyfvvmm+zRsvnk6/boucR70xY9
taz8aYvg/FugX23HgYTKhi2CXf6MUQd64tnQvOU/tkgeQD9yCrEkkTbDkGN/aYuABLKhXhJYQEDU
kW+xRWC9Nm0RtD2HRgIQvoKPRIGbeGmL2qFrmWG8uzB9m7jMJJ90O1xz3baTVAYXGS7jBx21uYoG
eksNjd2WWv6N4N13K0RT4thMjdQaVSBKWAJToTIepJOo8r9VQYLdPuUVrOH5NZNpcIik9g+71j8T
cNayFxb8W0OjG6cdP4WZcVySmkaRgrm9DrNZwotjWtRg3TjYHCrz6ZiSG/gurzO4UVXXhB5pBqxi
0cSuPzpnJpF3sHcvVHkSPMa1OGOVf4VYfxEG9UxzXKi2Ha5IiNCUCdqqmLWXPeF6IihxFCd9p7I0
cf2AqHEsXVo28RFiJFJdgWc49LOpNLD2JBFMxmYo6IQm/qGTpJXSNJMzv2C3lQSTNUivoXTSFDVS
ZWVHbpQNRyOOmWvyUKgAjfe2fMy071WkP6trMLGt+dygMXKLuO4Vo1GrmsFPldOCQbX7YdEifdRi
PuXU4kqi8D7AWaCksNxUpKViVQYr1TiLCb/oIn7OWeAGurrXlv2taYYTrpNDKxk9h3K3rPFR4ydX
ZKC5CmznWsAd8iMeKEtX0y5Nzysmr50IfUv6EakeSazA7oxK8u4uI+xLLOQ5KXjnmjZn06LBtZI9
P8GxuLVSmrvOiO6jNk5Vl8cnI/Xvir46LxrrJKgSqeo0XTAr/Nq31m1Bm9M+7K8N2GfkWJ/BOD6k
MraVbQ+tWxUBWNRUiwmpy+98GG5QY0WqZPIMYDrtYu6VVez57Dsu7IlP4HK6ZpwWXNceYdGNDuOZ
EwutUMAPx5jbqsr1V5o7X8D2DW4+9HPWdPB84bJUWQBrfGv0KW7TRx+eSFnRzGNEH+LUOW6cYaYd
89haYK9JSG/tOjgMogiMhF9eYtQZhZO29+B0qFBV1hB7VtgINVBRKCST+9jATRpzK1Z2WNuKZeTa
OMVEFtlsQFklJ7XJi2M/6IJz0uj7vv6SlkcU5tyXzERKDyWahQH4BqNhd7ocwquhq+SRn4Cfo3nd
H7LWj8DQdcxtShxPhia0VWQV3+0YDNVph0uTX/mhHw8TkyXleNfaOkqU3failirwE3aT+7RIXCug
9xGL9YTh5gaaGYzKH5jqc2Z7smu9VMSxx3N5OBRd7VlYCM90VXocgXWeZK2PJ0VHv+jWjifjCNMt
DeGRzjvjqLCv3Mi2qWtFmRcI2d+IoneUDsOLPhwfielVVAbCi6JyirrGa5IMT8Ye+5PcEaGXiGCa
cn7eM6ZMEbkjEp8iO5+GwvaVEeHUMeYoElRVaPDSXl+mUTMtWsu4o1Wf6KIulNWaYxbmwXma9HcJ
c27g7uLDUrLzOq4u+7K5k4mcVZTlbuB332qH3WtNP2eIp4r4pRunNFNlOY5Tp4vu7bBnSo9Z6MKJ
Iued30qVd7RzkzA9Rd14CL8lbh/FhSqN/aWwnEKR0ppUNPk+jOVdEfP7oozO0op9qyAYcFHGLxwj
j51GI3DzQ6po2WE1mMBykY+/oT6+FiQ/BfBK8L/HTpmE32Vt28EMoca1OxFOShF4zmgxcJ/lqOKk
9LSByTTA1OMjXGdIjuqgbVUUmuu4gVWA4GOE+YnfmNPETivwkLhRaeeEym8zqWiUparhIvZYhseJ
n5iFFY5mqmUZT00jI1UU6Dz3pTVp02aYkRwfj4E/t4bsNEzGO2ugROF+eLDaMr4Zir53q66bFTXL
IWSRiceD8qHTKFJWhQpXZ/ldJJyTsCgeopEbcDlRdtvn1czKyR0nTeb6BaCRcn86NAnyhC9g2eiO
eFb4nu80syIG61CYB0k6puoshWetzprOVikKrOq4QnhoFUqDfMIcWU/rJ+eXPDnC/+sRPUXoy706
r3tEz4eObnpET9suX3hE0CIYwl6IfQV0E12JzhGBOrNl3yOYH5ADexGcQ/YEsijLo5bgDL2V4Bz2
CYFDBM1xoCk8PKFvcogI2nCIoNUOglNCgAyCQ1+WtREvHSJd2GNiD359gVJ6m+j6htT2Scbqq6Qv
YgXeUngcINVlmM3iAdb5LEn8qd86YA37xleoLCCOGWAF04N1jdg4uuDmYNUxWATrEV8ZVBLFJIyV
cx1O0rjARzKoiCrC9KbieQxmQguFdX9mlUirLI8Ltxtby7V62/e44fEkbYmlKtOV5yjPbqFzhX3G
2zE/jQkxSjukhCW9DiYk5YesloESre5cJwwhVK/y2zAX1EutDCxTVR+VhT31hQkmdYKJ4ixbjGV4
X6HUUimxZ5paN9aYYOWX9dk4jq0a7eAbMG2xKu1mcCsNoWV1FONTHNDHNpxX1DUymGntB17XNkSV
YxPDHUlSL0/7xCNjXUyKIZ53oy5Ub6rHxnTH2BQduDVwQVXrH9WVuBwsXkAMP7HG08bg456Jr3bs
HGkUMyUHG3mS26dVUF1GWQ8eUwuGVvf4InGqFBysZoIFAkgor5UJgvqIVwyp2s+uSdCxK2mFDz3J
r+pcNCd+SlM3wiGeklITVfMWT6lTNZPC12aSJksXI4G1uELilETh0dBETNlV6MUiv+6TOlZobPCk
pBl3RQ0cgiOzfuIgXk6C0rQ3gUHU9bH8FFg6VhCbHZYoPq4TfsvkOMdWkB9mQ6IMMpO4DaWnSZio
glahKlgx61BLXMeUx9C4F1yIqjyUNIvdxMc5uiyYyW+EX8IXV7UqEn0xsuoh0p0+Iq11CQ/4XOpI
qyoO8uMwwZ+rsj2rQtl4lmCxF3V00XfNogXfalqbHoxVLfwZ7+1vGUxRpUEVN4mcZBp1zY1Ngvok
E+i4jeMvxShPxhJ4DluHh7qzTsthKFSNBJqawMdKJ36nqro+N/EI06e9DQP/WxlyMcup7FVsZTf+
SEPVk+ZTSflRUgJLImx9DEVxKTg8TjYVdX7kBPZdFaLwuDW5o5J4vIExu9OytVu3l1pPTOBUbh6N
kWqrPJliuQSvp4OLHN/xsM8+1Tqu3HZsGlXXeX5ck6Z3e4tzFQ5RqdI6BR+hr/XnAPnBLA/D6jJ2
bKk6oHr6fMBT0WT3goyxCkw47dsYq5posHy0yCd+GjeTOkoimO0GjGukQ6VjJwS/vjlCo0BHpQiP
OPbTQwd0UaVDBwXLolEiqy/r2IxKl/mMmXIWW44XayAc4tjEbpFaGGYaM66FSK8GFnJPAu1nGM4V
h/+xmH0ZB1Lpur3DfXxiV82xpsO5ZNVNy9tGjXV2GFp+ovLMHyEgwudt39xF2s5VOoSXGWuukgDY
iQQCkGz8XPuMqwT8X5Xp+N5pgQHs0Wyo61sjHIhimhwpBP4QMAz9aVKXE44qPc0GUStS9Wd+Ra+S
fEgnfYcnnBTHpGlyNdTNd2b7X6MAXzAdn1ttcVnGvHRFW3/zfbtXTTJ+TkMgO1kpxCSPs691xgk4
ncDNGQJcTMhOeqvQ4F/AU2Oe6C66ZL4i5uT0EKrbyCTU/bG0I+39rwl/MuHst6TGc6HQpglfSr0g
2KH0f7mhk9rQ731pqF8Q7LA/G0N3QoyhVEmAu/DThi9JDahbElBGDj3Q1kkNypa7gcG2U9hLRN5i
wyEfu2HDOUwibC93pEFXrmUxzUsb3pKcmNKSwwUc61hPkZXmk5qhOlEJhcXyBCjb3lawhliWa/t5
cdbB6oaAprRF0qq6GhvwkJF92ud9qdqY5Kqp2TG4H8hNB1pPCTby3IFFdgYUenFFWFUohxnrBFht
+7CO9WcJwb5r2eghL8Hs4HC8yiKdKL/TKZCjbapowC9GkbZurlukgoInLqzao8IioKqJgtzNM3KV
UCs9ajNwJjLfnqAqtGcWB2tnU78+wkmTCyWd3HajIrlmWCy6pLzRbXRaZF3lVRBQH8W91R8HMk3d
0cjiAjXOVyCWrmUJo/g4OYO+ox0EuY1X93nq+Z08QwxuDSWp6oP2CiXjfdYUdzIuT6Kw/oqAwY6L
DJQdO+LmIj5lNlD64GGfjYV4HCWwJ8OQwAQn7cnAtXb9tCtdqzGZCp1+KoF7T0JaK1voqQ9UCrfK
s5wUn+NoSf/SwnejMKsmnT18GyNyjqMKfhDFdRQGqYtiWorLmgprOLQayBmAywRsDQK6vKy0J3A1
qQp9SHg/RbI7JMicNFhOcTUuRiGiic3bk7y3IcypuABrMABR1NSFy7I4cyvRFTMZSK06wj4VTXrW
WDTwSlZM2p7YXj0sfO5MCCmMS/xgPgz594YH2uOJncO6POopRiY9Eym59KsB6CQHgvYiLq7CapyL
svYVNlbghql23IoBCZA7QOkQcx/H+qpBGVKOA06QSOPpWE7tNKvckOaHDXau+i74BPyAVCargUQx
qddaWTsRDjyuooYIOEoC4/FhRDOe5tFEZzUEp4FvJlEp7ws/vkyyoATixznxO1F5Q1kDLWxHczSM
AbA4es57Wrl1b0VebfnjzDeaAcuWJJMiYJHKSAOrPx4Lr2cBA0MY3HCfwzOlKZmRLIMsgu7dJgd2
x+9HCyJ5HirK2ElqdVfAx33JOfVV3mdiAkmF08whMzjdybhtIC/6vK7BGyW2y0N8hAJUK6fARtkd
mIA47S90bx1V2lRq6JKHJm4+xRn9VgzdZcya3sNBtoBF6rwiQQaUoDhvOxtNYiEq5dd5eyqH+pIW
9DFmEbgnRTij6fCti+U5uH83UZ7GbmaPQLYY8A4tO5gKO46nRVA1YGycL7Uur0gQpmCUk0U8tuVs
IP7h2HQcuEoLHHpWp0oGS6op6GBSR+nEKpJPeac/4SoET7Bl8wrFX3OnyQB+bVSh/UJFmp41WtzH
lXWCg/ZYyAxNUG9PnBBIIG3HbqMbtwXiVsXS+mLK4ZDH+lRXEI53vO5UGPDPZgQ3IgmonLUFlxDn
ymzWYXjwylqyC5JoYXnlMq/z/6NZfGnfbNiL/rug9mUG/zn7/5TGfZL6aRExnD+3bLqP4KBvG04K
hQF/WUTYILvsM7bMLUNctGw29cMiMijAx8uekWhZdgBniL+Iapedu2FA6OouYNMVGMy3WES8ZPFX
Ms4SOtbBuR0O7AWgsFF7zSCakeqibJr+HDgqOWlhakG0RGOwOgnv2ivHsofjuG/zZIJQYr7A7G+B
IqvB/NUyLz+9uHtbEuDLs37WtQFjCQcFQcjOlqeArZpnlg9FIsOmPSdljs+DZMx9YJm0E7o9OKBS
tR1rvvC2AK63yoSBhSuuIIftjzVnLrQJyh+lMegCxggbj6QpvhttS+DDwbH9BR4s3E9/rzHZyNiD
PwMdIOH0DAnuBIQ+axpHPARsB3NOezsAjq0f07sW9lbQqeGDtoHx7zGEU9wXauTOEKkhQfQQMnAD
9qpWm8ewr2vsAiMLhsREuoWVPESt4pWdBJNAx+Fl0sjjDBK0tQdVSfK+DsuTJO3sfhLVkLaPqrDN
Dn9/VZswQMMkxAEIB54N+nTRL8oQ+GAFnVWk9XkOfvW9DgTE/ywh8GgUedNfdn0lbwofp59//7XL
Z+3lswjMChA4nEoCzyL8tVTrxdfaqIeEex3k57kY8TlOwuY8r4EcFn54//tvWs9tLb8JUmjADMGh
kZIvfdGX31TkDKjWKtTnokBsXna6Sg99IwaikiKcoLJJR5eiQUBemdpd9t8emnUvFK6SLA8yZODa
Qh3F+tfDvhzwWvIsOudlYs+zuLHnSbrUwR6zeuJUWqsBAfSHXVp2wJMkmi9MKuujTg7stHdohVza
xTpxY55nd7QqCPVCMQyLAgIpD1kjEA621Kya2dQBp/X3d295tvEaUFDkBssGJPAJW1alr94+5DR2
btu+dYYbP5tHlakDha3E5ExR8H6C4y6Mkm/A5RenPXBGU0ezPnIJbvl3w0fgtAcwUy7Efe0iqih/
bO0i5Me/V5I9FcusPE6UUXiIlr0FoJWfzaEk7yXITiUicIwNPYtZWfgSEhIyHA9701M5NW3TuFVf
oqs2G+xGhWHI3QrnhzWpisOUFcRN0jK7LlI76xVPwc2Ceht9NNQGLLVdFndOnQjPL3MfLHIcRyqC
DGin/LjOz7vCqi9Ka6STIMAyVtbo55lLWshc2o5Jr0kcXAZDTnuVNrw8N355awiUgHgQXMONjIb/
y965LcltY1n7VeYF2AEQPF4OD3msrLOqVHXDkCyJAAiQBE8A+fSz0ra6ZXW75++Ify46oh3hC4er
KjOZJLD3Wt/a8LE2BPO2ZcSikFY8TN4qMgcnHiX0ZqvdkuaW8EDnuBzi6AFP0Zldk62gNvSKTbpf
+tFMTzPxUG1ZPcW7ajTzMah8/9lwapt9FXsUnhFvqs9I7w8Q/lvjvc861kXfj/6x6dr+SE2qvoil
h0PRM908ibRycbaYoD4N1TDnK67DngZ+emcsdK3ADmZHqaMwiMOY1vliYf3mi8+rUo9sKOY+veOV
V5OC0m46YKvxbd4SGWXJFKuPThN+9oe0fwrZFO7nVHr+bow0amSQPeUIo2PbLVe/x3OOfPJHZb+N
dd+HOeodMmdt7S81cBzZ4eGwtlzrZU52Q1fxQk1MH1r8KLqiAA1BtOglzuQopZfHlY1B1oB9yIJJ
VTmbvFbvh6gp62BeyZWlCAoxQvdErReYaccmm457x2J3EzXbpqoHABmTBlck1NoOX3jFfX97G63n
YtBQ6YClvPvFX7Wc2JDN0zzDGpka2G1QJ4TZ9guIrOqoB4FCVIL9eSKxx45yZWyGaZeqKoPLB5Fj
4xq2WltV2A8n1VhTRo2tST6oiVZ33KCH7g7NGlterE6l0000Tgx3lK06Otp8xl64izwuq7sFj05U
5ybpE9xwrBn1rlViAB9ksHlVpVtElHsVqEl4RBVpg7yDQqpz6IO2ghEcK12OFaqCXdjWesuTLcSK
2foN2CvNB09lywgW7X4UntZlV4vkmzcvsSAF6fxpL4JkTm5Dr6qrU8sgXKOubd1otvUwIns6cDQX
PNZlNS5oeNJhBH62qkivBwJLvM9Df1Uihxi5qv0gjPByfK3+q9frjRaA+Bpd4F/i3SlJvBGXvG3R
G6AMPjK48Kps+BQ9bvPE2E56nU/P3PIxhnzGfT7tq2Hp2ydsxuwk681vdnOPd1B2k6q3MqFuS/NE
wua86GTFre3hURmKitL5NLAwVEVdsXqGF7rg6xTxiPqk3STbvqoGR+gVCd6ALtiquTlSIoJDLeIG
gEPTGFaITlTFBgs+zDw79Om9rCzYACaM3DLdyw0YX6WCHe2rOsTbTeO+pCvfuiMX1NZlkwbcZtef
y2gq0ha3T80M6DoBDmNywnsHUAf7IRN4jtBEb7/qo8kSeOx5Vdafb6M+XbuiTc10CecWW1I9xg1+
IdUMV6sSnLZvoLVafjKrVm43WjQSZzrV0zP4rvBT6CpdZQnFzbubWxezcow2gTc/U6kLxUwz5omt
SkGFeVPWorKQtVyexjCyn/uBs8MS27oqkyYkftYmFf5OqDrpdu2w0NvN9Sx4GKeQPqNnxk/YyBuT
fKJr7MrF11IcBuf79thCCvXvhBenLy0x15tTSjPuYzXy8d6twZTkxFh8Nxwogi66EYvuGTtY+sIS
grtbY5UcIBykrjuCg6v8eznMTfPoJ20aHF0g7XyZ3HQtPvnq7sPGi1zZWY2X7rqrGeJ8PW170sTX
D39962DZru+r1/Q2CFt8itmEuFS86ZotT5sFj06v4OQ/tEOMR36YURXU+H9YU33AIXeGBuvQZqzn
AD64Hdx80R7vx0yQ2TgAXTFh5boY/7po4GHK8YmwgLiUXuvkqdUv4CDSU7IIkWQJD6HFuLWOPtmW
4W24Qa6PbHIEMgLKXAlnvG3kU4LdYj+2hN6atDZvgI8ik/GAC//UJWA6zxXv6qVYh9jAbo5Xtu99
XNYcFsf6S6Oa8N7NI+kOhqxL82ojDdxGV56G1Z1e1xBhFFCdCGPBSuGvfNz1kU5fPQKgRtu+hvIT
YJlbB8sfRTeN51Q3MixCH009lr0QyvTC/fRlkN5Sl8pv8ZhsXsXSY9B21HzVWJDXE859x7Nhryt2
KUMPV9Qt21Jik7HmTIfZj/IqVdOCnZZBc4sHI9+HdEmfvRVl+mlLp4F+mcZ2BahJabwchYWSVDoN
+S4PbB3VR2j+3OZec6VJQUhNF7fG6kkuo8mSeDwE2i3hYbMRvpyG0HHb96rpuksbueDGm0jQldy0
ejnXq+0BDoSj5s+oRMYvJG2xjGDpHJes4aMFUGOXxGAXWM2Tqg0VH2m3sQTuGyqw9UM/MS/FHxur
oeSx19Qnr+rtZ14TbwE2O0bNUaSEPrirmrMfZjOKUmwzblLhT5Ldu0Zt4a2OeqUy0y8kugSUBy5f
Ud2MpeU9vjWbtKLOhi3WAiLTqErqmBuKRfnJsN8Sg7u/CVwdF2u1khHO/BiZVwh39FnyAfcadjpo
T6qG0dGmLcUC6/ep3CWaA0l185sPhDOhWdMs8YfQb40tbFhPwSWoVLI8mmpMB2zuuKPLXrCrIkbc
6m4Em5ruJh56zu59R1R0rFwH2EE459WXZvBA/OqxwpqBamyeLkpVeP9D2tS7kScNL6wj5LiaAM/9
CjtZZEHF48uvVenv3PzvLe5vzPeP3OKPGOP/Cw95Eb8M3dh9m34GIv/wh/79qEmGGvzPGYG/jVb8
UYT5nf+/Bmr+xgmEaRRispSP1AaDAvI3SQUp5wCrECB6HARPUrTr300GjCXCEBr0XZh8ELAYPc13
iD/CqfE4SSsGOY6oAWyLf0VRwTjSn7ojTDcMrwNvrv0dUIXrgR8/9h3jvIYhtlfvNg5hxypIuQKO
Z6uiNmuh9O2aeD14Y8ByyfUD2P00XwR8AmuwQK5TVyg5HbeBohKXoBdJFHWZb9eqMCaxKETHzyi2
X7AjvvfEXNaZHSEsJFD21VAGHVqQnn2o02GvqQZTjHbD+dLkoWG/RFTkSxzhiWTkISUe0PqkAvom
h1fi4m8ugA4vbf+kffkhplfKCrtPNnvxVurUfAzmfi4E7QE2eHYnUXkXpvN2rWlmdH/D3jao+4IK
9OQ46xPfYiuKsOqAFthQekXlgvdeLd76ILGCLTvlqNUMNuUEjttI0ruM0qAu0t6HvWzTXU8Hea0j
dekD+s7NysolbG3WePJ+luuUpa3KdZeofCbyyxTHXysSQGcWSZix6VYtH/yxi+EYWrRL6QyUaO2e
YkebjGr/XarRy1w6+CUUmiUfu+UcVeN4MqT9bHwuB0AJvCMlcEMEGSId+A+mqWGa8jgs7No8E76U
TTyv2egAHCHk8LENuhct4u6u31x3g8zEmqP+KNs4vWN1f2xVdzvSca8HvlNpfAK08REqBWC4hq3H
LpIomAJypADcMo7PjQ3K+XkVwfUmamM53s9rUk/itIDILHtcPtRZlZdXlum7KiHP4D2Xne6xcqVR
fA60mMAOWCNemtHzVTkooMgltcll89cHMm5NRqLRIKkBjnLoyVMNBLYyqDG2gd2ZOkWf5R9gDTyE
Mj5Wats3y3zgZBuLZarh/uo7ly573/krEhsLzBJ887bPuAzRa2r5GsbdM0iWvUUgQHsboNRhPLi5
fu7b7Waw4mnQ80cxAaB1EOWl4n0emXDINsH2Dmr9Dhqpv3PxehO1HTnjK5fZPMuvEoDdMuC9eXDV
SsZseIh8lDBbvGdb+O4P6BxaAvoPVg2gs0eNPvW4hlN9w7zgScz2c+uNaEmfh5nSPDXpQ81l0WOH
bfvtNET0haTSwnOX+1EMB7FKsDOMXTAE513Ptdh7cbTrpxVBBNODVa5FTr1owx1qP6UV7UqibbFF
2y0IjTsOHhEF6bkbvaKjrgD49Jn1JCpIJZ+2mt9ZGryawd7wkL4oQ2hJ/HVnUHzlovFuK5LupW5v
Z5DFGU/bz0sV6JLZ6iZFrZCxRZ2Vwo/R9GynecrsoI9JPd+AijjjJ7fSOcZOaG/hCCRW+TsqphUc
LnrcRw6oys+8qH6TwkcMRAKdDsm3zRsPjVjextTubLqUa4K3wJL3KWkveg68HERDweicTxM7DHX/
cY0hM/jX4I4NopvEnx8TalRBnVX5MLCPYh6OFkKe8pYq65Lggcn6CBHswW9Tka/bcgkXC4k3bPdV
OyTHdOgPvIn3Imlepd/cwPn5ELc9ydDOPU48KPxeXXgLGZTMr40OngaB70L3yy+BxqNGhotYfESo
9HysV/DgUiwH5ZuzSf1H3CSnbgYcy4fpDtXAbok5iOp5+ah9U2w8ULtlJNjo7dlL6dljBOiL9Y7B
GhzIEOymwRz1Zg92Afe6NTcunfaT2h6mpZmyWJsLY8PZ9bhlE/iWelQf0D6/N1bcBSY8TkPwdQz6
E++iI2X8ZRnFU5iMzxihqrIwqnZLCChkST43BPKLnlHNQnSq/OFmndpTu/l4wqi98K45i619d4o9
AZ5nGcQFcGGG5DIiIH7FDlrHXai7s4iTb/8nFcy/X21CUSv8eW1yvmbw/r4suf7S97IEUdEAh67i
0BAK2fzX2uOvTg8y/vQ6NiuIcRrUj/hihAP88E98NXsiDLfH3/teloQ4uRe+TAxcASd9Yqn7V8qS
63z0P2i2mIsPtwiHhWKoU8RI8JMaSis2rU0fh7d8Qzjpg59ypcESrJoWnHsIVSVy9MVlTBr2se8i
Z/bEqgfY+jnoSygWg3CTyKeYVFG2Jtg3jrobtmKNFxZmczhKdPpjdbJMWZBOqtuah043r73Vj/B5
3531pzxm7HaNWlMEbSjKLXYiqw3/3MU8ynzS+td+GxlE4uVumvdpK5tc+81aWDY+cVp97NO252eA
fhtQbq5r9wLZfESqboaIFg5N3xUoO1yUdzOel0vgrdFhBeovAlHtfAAHJZlagfp/6T/7cnuvFxnl
U6SrnPbtbkQYDqSxPBjpHUCbT2iK28+EDXKv0FMWW6A/iNr7xb/07XrpkEVER4nLozagBqp6piZ5
0KgY0nXZy+2BTtEHu4yvUVKXQTuY9P+mlfh3exCv57T8swfxvxWCYl8+/fwo/vZr3x/F69z466mZ
CXS/34v9vz6KmEcZwz8ljP2MEmNSBwpEFPQBGCb4tT+0CDgxCBEouB4RxtkGqf8vPYvQBH5+GJH2
wDlTEB6gS5L052xV4mqTzgmf76SY+lOi0uAytO6ctAqV+jy8RFoXRk7Noe1itX3l3Wi8hxkA6WoQ
m4AGqR5S3rcg/deHqQ5O3ai7nVGjyOgGjj1uqLcXagmyoOe7uln4EQo1yesepCE0hJrn6WLanY57
NT+tdf+WIk2JSiCGqAiZEJShD65pcd52CvvW8Spfk1WcZtUUwBy8w+QN3+q03eBbkmq/0g4OCm3S
o5rr5aVHH3b2wYZeEtbCIBBP/cx4XyZ6JSjqE1Esg0eKeEnbomMbiGMl/MyPgCMPKGOaeJhKU9M8
nPxpF7r+NgmxRS+sS3eL2lzmVRN0R97aw2DHWzqOKcJT5m2w9c1KbcmR8/BHH7hSfbbbBFpQ9sC2
oJcgDpbkdh7nssU3DBLam0q8WP0N9FX0vm5yqXYmNDyDcQJNm4/0kA7zI2/YUyIR4j32EfemB0Fb
c0BJmbeGRwcTrmP7FE0kHTI+V/GSsbgK9ozaBZGeKvzWVLM9Xgc67oHBNMWm2/tVjrcRygBU9LeG
+Odk8nbdaE+ejopugx5hWuSPQdCK/ott/UcxpW//2cUhBSBICav3z3fxq8JwM4vxv+4+i7Hvfl5E
fvv174vIr/s5Wnl4+5hfjTzmH2SG68HbGKyHze+6jvxNZsCuneJ3cBoRhGLgHj9s6MFfgCDg1wiK
A7COOAPhe0z1D8JR/bX7/b//64dhAfg7f9zPQX4kYZJi/SCIffo/WdgDEMwRgYj6rlY1uOOzCPj/
YvMi//iH10iwpiYYTcRCcCigUX6lUH5UMjTtSNqr1YHEiI8tn9MdtHU57GLtLpD8IguXYx33WHJk
GXk92nU6JeGTjxwWoDtE9y7g6WBbt3VlLvPgwQ3UM4vMJYo8AsMQUkldkJ5CYBgtKbvekh6BeFhG
gxeQvXMwx4au9kuL4Wf7gQemHDsr9yxCM9Au0T3s73rfw+op5g5xf+HVykfuv5PevtWIETy1w8a/
wXhbdoyKapPA8IlXpmoNfImdG/9V0h4RphJuKmFPQOnQd/XGmYfJ4V3AndttHoUb4/hH1sMocnxA
N+6ZrEmbI1vMHoLKjZ0jioXTu5358hI27Nmk49PQbDd1u7xEoW6zJDJd1ojgxgwBfEVzw7k80rpu
jtCfRVG76GypyhKik2ypuz2y9eDqkNzbuvWEpuytl3LNlYqjjHTmbhCRPKQtv5kd+cyjZkUyCvnN
oAo2YIL0K1BCVaxpWq6QFbIpxfpaB0zvJufCfcuq7WzW/rxU3t7pBqu5qPdahUMBOTWvt740Vly0
DVlZsQCREd7vt204VoN45KFRe9kCbKy95jhsXZXVSI22owNiyfVTN0xnzhCX9VYS/QLRf8zXobY5
jIOdg+abOSrKAIMPMi9pCwQDj643FxugLKOS47LCmAmTBGtnLcOnMMC2xFwwHwDog4usUh/AK9h3
sk4XEyH6AqXruGAcxb5T5GsQzV+oDpM9pA59ZqmGIMWbUDz0baLRjwYizCnUFRpT75Q2ku4xpOGX
xuPHLcLECRp/mLi3VxwlbrIOSLUl+czguOvkYWnbXYoBBnKoypF6uY5sc0A/vU/s5BeG4cKHbQz7
cnmlG1j5Pqyvkc/3LVouHZlYJgZ3ChW53/BHF4pOOuHZFtD93HuwsulXz3NHjIi4Ydhe0/jFVe9d
sp1ivSW7UNblEIcfzEYhDLnPy4yZA1MyQeJpbuCF3teVpDnzmyirmvRN1f4bnMa0GCy9SYO2zm1w
Z/hh1QHP+TazLIRoHnPvOXHjh6BZSlc3rgh5fR8sEN+IQKGhF3GeuuYI6Ell20Jfeo8/J4n+AOQe
OSS7i+v+G1yQk0m9E+z4LRtldDIy3atIzVfTo2AdhQ40B9NjYOUJn+8cSvKOWSMS6VcFkaqDEOaz
Xt7qwDUH52n/rbNJ/HFMOjHAnFqrD3qqmkdXId/inKIlUttD5omJF8bDXirVBGx2WufM+KgoLB6L
m6UPxe0cbFA3FRJDYz730fUJw7E0HcZ0YC5IYqrk84ayvOBh9OKNflQuY3QLHKFCbKMHgRWkI25m
htTvOqvzmgDOrf3wcSJkuIYvTVEvPYJYVJ6XDiM/+sZm0iKztIBe2sGD/RhFTxLffGFmpA5jN7an
hKnoUvXQDN3Wi6yJus9BLWUWIbKLRw4KZRA+k7pvcB3XZl+v9Y1EshK4WPXQTN3n2aW5rGSRSGS4
Ko88VRG+Zda/j3NTbp08LHL6Fg/2ToWb3NUVgkLMqjdfzjsexe9Xz3dORmBc1GjQ5kifwtBKMglx
bazCYl0FYqxxKY3/RUeT2/cmLGS7vC2s2iNs0kOUm9/HCaHuAV9zY9FOxa+0HV/gEr+GtNMIessn
p9abNrWHyUAz9ax8rfkKtwyPqHOXpdL7WlcobVT0OE3bHYjfN8fD2w4WdxIsr3YbcmoR9Im3ZQcO
AYsFGXJ8G0j6Nu+bETC/ZLQPZBhmThmBeK841qPjJXBooFph9EQ3fGujgsZbt/GzWcRpYtGUj4K8
YSc4mwqsvSfaeyG26dDJ+jVcDWQ8AlBKsxLLTeHN7sJafHrN45tkjg8ADBFCC9/SfikqsEt90tyx
MDlAeAIpXiEk7jefPCC1oRUHgGMWkZjqE5maE651ITbXZoAHT2BJHsae4G0G4wlYwmEIo/cKMs+y
QjVHGAwxmwKmwoY+FKi5Fvwe8wm+gWEHggGthwQSOs8mLmmo9gbIkG6nrWja7rDUoI8BCq83yF0U
SPrdzIN4j6ruTAaGTLrfTbtWE5p1QWDv4Y/wLBlqVjbJ8LElHDgNSe6AxYNvb405jzQG+c2d3mF0
xS8CcUAMXam9j7aPcL/A+y9XgjkjLBDqCySBuPAZjDtI4v4FFEX1m9wEH+sflzl/RM2uJUgagAWM
UIVgRAVgRJQoPzCBtAmp1m3l3Ur5IWpemvRzEO5/KAH/QSX1v73EtdL64SVW3MVRgxkut8SAy47v
5v7Oyft//hrR31VS14+B86NRGzJYVz99DB/TKLRNRX0HUQWL49023Tj37HnFP3+ZP4o8v10tmN5I
t+C88QCDpP74UYCLrixulvpuhvJrJEdhiOfQfJiDe7vQLBrByoe/gXb/vy3NfzcdAngJboQ/byVw
fvs/6B+uv/PX/iH+S8J8zPKCEQjY9CrtfRchrlPlYDSSACFn5J3gOP7VpsSwMaSjMAIswIB26HT4
Cr8LghAhIEqgHYngef4ak/oX+geWXu+5H/lIwOgYVAh2F6IkjlT8mY8cN2z0czhHtzWDH2Nw9wIm
6RJugsJDxAf44VbNUJw9P+IK5XwVdxeMpED7PAu5ZnwKCUItsyB6yvwar1HnI1m9oKy8OcCIKzj0
CEgxuH8YkGUnOYOhnLXXFxupA09nTeyl/XEMBjhg6RJG7mGWSPihMOnqXRwOXj679hXen8iBqx2m
9tdoDgZ/mYUs2SAw2GSuvXFXzeRZtj4UlEgh4IJM7koe21UM2KHhFCFWce47fW5NdUOte1lH7L8u
RuHa9xrl11HpGoRdjcoHVbUA947iVLnYZiLBJIy5gnG1uO1Vx+k9xVCy7Cq4ezMyY71rkZQGg1VY
nZxAVn3xQZcWAmbC5EKW0VqdtSDYSrr1fuzadWejJcqjGTOzqsVMOYs3VzRTpAqytlu5hkOIFsAv
STivBcYwmNwmyxcvcIjLiDqfUf3kuqJfHIZB5dBcd5KYg0BFnmuqbmTi9zliUS9ziIlq0tgb1AYI
i8AMQYXAntBS7Uw8+7uqqXINMC+rhqo/BhwQkwu6W+l3j8bYvIr7s4CdxZ3E3LXEoFwGgjOrzwGg
twy4eTExki3QghSHG7T09Smo0Cz1SYQKfcMuNTmZDaprdskaezuPTSCVNrrDOBx5g2DRHo3P69y2
yCp3qdizlYkCLtS9iwdAF+mUYyjJaZnRAxgyvNbdijuxCc/rSp+mGvlppzCgx9FD08pHdFg3ImQF
OKsZMalNlBWoQOSjvQo7d8Vz4tJ7EnYxyj72tVN0PNAemnHYdrchbac9R1vUsuYD6IAXLU2GOMQd
sKoeEy8alEuYOZNfg1dS6RcbJ8WKIXkzYW+knxHwkuF+serJNSF63OvuUXE4S4Cr8nWUC250n5/7
fgCUmCKBxa19bWOg2tKfXl1lX2gwPgcjGpJ62PYtT+8wpC33ZJIF4fTZxSiVxtYC3IwbWO0NLboE
VACb5qdKwrztJJ3Lbq1RAgX1wUzmcY62N/Cx7yYcBUaMrNd5fMIgOx7QPCDzh0WQCNNoAoSSI46K
vDshBPCp3eC+ktr4ud/RpzSMdmIInvuR7D3W3VsiAOUI9oTtJikSTjQaMu+25sFFxL2Xs0bsnFCv
IojbfUvXT7reHCjU+jAvQ5B5PEnz1mvagmGK3G6a2jfZmgXXR3R4yrbknIKzx2w5ssfwo+HmGinX
FrZv5aughMoSZRFoAzWud6ADvg4KUmA3mNs+jjHupuKnQTNVRtR9bUT6iCxXnEUIC2ZUOTjz2/rN
LhoUwYKhUhjeFOR+Eid5P050r2J7DSHOT1EFgAEn4CDlTL0ONwB8e4PsBgB1fmhq9yniU1tOUduW
Lkovc2gu1Au+NgDJi86pIBuaFTcUKOvNI98GG5zrThzWrUO4DdpFBNAzZo3N4dijIjPLLnHeUvhz
9Bg4PzjWE8Y1bRJLCfXlBe3pad34Hl73GQGNB/SbZ63kkU/mqeLm2+TSsWgtDMGuuoPm8twn1xFY
K9RNlHLROcW6iLWxw5OrWBl3s93LpnttO7i+scVgFYW4YVhZhCdrFMZisS/piNlac+fhmW57/HHR
vDnM88Lj6HbNjHyfTliXpwAad83KX3371V6Bc0C7omzX4Mwj/eZWXFGazk8K7XBZLR2QPIAtbPRe
kDn6yusJVWwTE0wEC49k7DCHJXjfBvJtobgZ+jZ67gd8YRZnBRahmkYsEa3ZGR3fLxIgNsPcgGsm
JVNqATfcPOKjFpjydbfpINiFiIjn9eJhNpeKbxCSuYYhyHHuGpHPVeKOgYUo1VcfeZxCUFLiq7aI
ylWBBXJit/YwNssHdBBbHsWgwBFvWdLxNzHtP1USQbjlz6uk/1a9aL/+vc56/a2/1kk4YOpasEao
QVAwXcXU73WSjxl51wIqxKy7aw4O9e53nCvBceD4B4dFQw6CTYp5rd/rpOQvGMoGSxWWJ7qHa67u
X6iTcP7R39VJPobg4Q1iDH+APBRe6cf+oB5iK8E/qDuPmrdaTABdsRnSNTwqCmlPYqscMRMEtFdG
FiwCrEa21NzaBM91ZTWMUoGeG6VKPlx33zokO4Lt2F735QRPKMKu6w2ZqiLyoCEIOr2I606usKVf
1bZ88YaDasZPOnJ1NtPgS+WLMe89DVUidGeHEqG51gpJA+cDcnUZrUuY0WtFgaloqhh0eMVOZviv
18oDIzBhel6rkRZliQ9YrfBRqMzXigVU5Ud2rWEAu37pSHRCeApbz7XOqRdUPBqlTwgJCRNq0vst
pa/LtTqS1zoJJrLF/CXUTvJaRW3XekpfK6u4OrJ62iHzXWUGuClgNvey8foyxe25R3HG8Zkw1wPr
lkYA3YqmWOpalw1Kuor6z9WqJhg/s8b0FLBl04gKsG88bJIoCjWDcFEl/WtyrRcjstZzjXGjRtRP
ky/7dzDeL+sWYAJnMt71DAuLoujApBneUeIeRdvsdW+jLJjDLgss1MaZVX7Gq+TCa/+FGQygmIW9
85ACLJtm3go/3OpyS8FQ10Pq7b1ufmQe/xKqqgMBV+fAt5pzF32a3Ceg9Lugjz6NK+v280D2asbs
nQGWePeSUt4+KaL65quoty/W8ceNYc5LPPdg1pqBJ8mngcrbCvf3Ea41ObjJ7+78oUrvAl2NpxVT
RoMUVpaNo8M0YK8nnIicY4joLZMbIDDRabtHEufVthDqheYX5rqvoHP9A+nq1GQD5qdt/1nnfgNQ
r0P7/3yd2w1fx3/UD/466v93bJViXYICAAYjhgP9a2f3wzoHNwc9Hw4HwE9cQ8Lf17kYE+WRXUsp
wzmLf0wCh/CrkRuOMbP6N6r1X1nnwJX8vM6hsbxytUlMIVNAbvnjOtdohbQDurzbyo2nejLL/7B3
ZstxK2eXfSI4MCNxWwBqZhWLgyjyBkFSJJCY5+npe0G21T79/+0I3zvO1QlREsUCMr9h77WLu27U
Z9sDGFshrShWmYUYWwQXv7UXpbuuWsvfmowuiSka2kdcLbMft0XqoUbb1WPkp0vEaH8Vd5TgEjel
m3ywxpMbY5WAzAr6wwLBOQLdzrMzhQFw/lCgGxn7UktvnVPFj2kq9y5XdeGEPRqyFoiTVC4pnGtG
bUMdNLkSvc5VF9+HYSzt+zibnXurEG2MOH/tR+w+Q1ZrhblaPNlYq7Zh40K1bmEIdvj02lj+6M28
xbaWji8pyhjDb9NyD886gVyHnAwPznHsrQcrYkAYOsUPdcmeelOiXo2rT11Izqa4/8DwIb2mS0Ak
Gh/x6kVgjXWxe/3FnqYffcz2wYCHpAyKr+SA7iLJaWhWleaLeQQeVDhmoJlUWKEhWDCkb3pkPaLa
uyYJ7uBZkb9013lCgvfFMFAGbc4PxRLdjeqS8xniyH7kz6cXr9K32cA8gexsry7uiHSY1Uqeiac6
0/RtWaRIkfG5baZE38cc2cUwNH4+yoMRMzG0GH1ucKEw01fTItBhKwfcLUej0m/hytoDz4Q3x9T3
ZTprlNQUt+486QeksqzKevWXWrq+6NscD5kVopJF9Fq471FcnmzXObWGu7p6FYXhgAsvAtgJ7ubt
FCq/oBNuM3U6cC9cogbj4RA2ftUs9p5xJ+OssPruSqXZ2HKkNVfyzzF2J3+Yi5880owh3MHZA1xJ
tzxeN+avHTPi8tKhP96YS3iPKe5mUZ2z0tIewgrKS5+hXVSnxmJ8PLQezxtbgfJnn+igW6Pu2PEJ
dm2/RRYgd3DXFzqFugyWwjzkw3ydautFa7uL28mnhH2JJ9X2Rx7FD6tHxq/UnkJ2ha3YbICGuHmY
nfBJHdXbUve8Iho0ZiQLCGOlnIGdh/dMG/ZzFioHeqzPplZiXzWrdDdbIaWz5mbIF5CGRFa7A3Jv
+liClmNZOdcEV9e2FBZdRl8YXj5kjEnM8Wyl2i/kFUfZCwqBVt7ZSdXgGHJOCBK0nQr/hUu/5tYy
QZpqyTu0xXE7u93VbcyfAyBfD5kV7fac217cG9/5jCgRodVDv1Rex3h8WQUTzlo3Y7lZvI5SWl9r
amWtrsOIiUFLwZ3N+rLrHeentZbiGp/wsFbnWaMf2JcbviHEOV4reHut5dW1qh/r5Cop823K/Zyy
P4p5tsfYgZhHSyBz915fewR77RZG4KJ+vXYQNa3EuPYUKs1FSJOBeO0T4cChHhlayLUPCRX9y6Qx
adcOJc/zH/nas+g0L/PaxUjamZK2xlLK2YKigivJBHQ/2chWReWgwFdnDMz1hzGiX9Et7tEVSLe2
hbYydYjmy501LB+Nob/WwjX2rlpMm8p17pd+KJijxcI3G5u+1gRLi/DmE6ZVe1Cd7jEuuszDkp6B
fi1nyAcso/PYeKts87HL2YyOGFW2mK5HHzNa4idVhYRPqpeBqiFILeNrWCAMF5Z9lyT64A9h6ezT
tMBhoJjgSDCTbnJ1NOizRsibvMkaPoS9Go7WRU4WpLS2nnyh6LFv6PXDWNjUGcLpAg27VCqLic9J
QnEzZl9ayezPSVzd5c54mPPwLS+myc8V1Mm4M5goGTytSAI+badwNpBmlsAqwi1r6HlvI4c7lJW5
TWNd+rFjZ1shlnzDecgcJKnfGmHh91N20RjuCHmJb7GCIRUyrQs5bFQ3bpejRVCKcmNDZLzZgIK2
Tq0dcDueE0dG2y5PxK6tB0iDgDSYts3zMe77XymAvW2MSeqoVxCrrWrpg3SKin1cFMvzwhzPpwpU
tpaI0EMVfK4RpsKN1Q0HXHLrRFEsXmZh1MrcY+guJ0UuObLFqmGqttxwN/k4Vx8FCvHz0gIPjvuF
gdEw31d9/FToCBdTVijbymDU1cdKA2Cg+7RrpPM5UrbdJDq8VlrUwUlC6qRl8X0n9XvGaqqfQtve
VdVyMrrwDJrQh/h6PzRtGhhJrfp6SB0rnebiWsmnKPIPOn0ATI4LEx6MByQd61gaYg5COxpYOdbY
ClRmUH36XqbKfdbIxxQOIZt61Q6SRrM3jVl9ZYvzHeUqwmfDbBGBmvyRUi/8MUOTgLt3M/TyErp9
icBCHfyxbkKvDNMTC3d1n0xJ9KNmeCzH8NXWke/rvLqYh7+bvHu1DIVmortUA4+y2eWfoaW7Ab7V
FLdp9gMMDnxjCe9aV5Tbolaqr2TyTqugGpUIoLOGSmTd6FswZD2YY18gi/dOH54FiRIoKOZjFq6J
AamySaziJZ+by7ROpO2Z0WfDzpEP9Fi32gmi0i+lEt/jpDAIgpCIF34ftsmXUIZt25fdrsVn21b8
6lgqP9RExYR/ylmvNL1zqNr03e2TD8x5HlxhdZM0zqGX4frUCEbidnNcWiZYuHxJxoBcklTtaVp4
niXC7q2um18G/eBGt5xHmUR8MQf4kGtn2WTaxqRU90BIyB2V2xsV2EFOSP2odPC42MfFKnM23PJq
12ITuuOLZvCHVxO7vDA5pfB6d0befZoRjEnmiV6VA9J08vu1iNEMLjwXAY0VM1achXGZUvncjOh3
Gf5JT6nq+0q6ZxR/ro9q56FXmnHDzFMjR4HJeTkt/qCj/MHHgz+CjXhLw7eVIa9OsRgcFg3L8YFg
DUyzQxBTdyJOkYFSwP4tzIapWHwc5+Q71iy5jUZxnbVkVy67ljGVjohjLtBsnIWSPsXZwN7WhHiA
5GqXJAMAUGaEqAc/DDGCXY4+hC3Ppt43lBxqzIdVv8OoXG24I4bRSh2aE6/PUzSDssRK8UOrnM2E
s0q0TSD2RpTt9RKiWpf6oTCqW2E3OaTIQtpjINniKC/xUJaqN5GY0BzTv1uX5G8fU/nb0zTz6RSq
JRXfXC1P0W/3k3DTY4kJZDOt1igVj9TiRpgscE0pTlL5xWqkkmbpI+TofaZmP0MBTbkQA3S5OdJw
tCbQPYpHfBXTtjXMb3g3L8w4rU1O4aWEstsCdD7EjvmOTPN+kvj1Ywdadyy7nE0Gb0iaouCxRrZ/
2J/IpIiZFKYqF1vLlcbnt3521Oa9O28iN0afRDOeVaY/dc5l6OTV7Z2zBuJmU7TJu+bOPgypMypT
qpuy+uBumQE/Zl5aiOdWSvPY9erXAhoArDqz23kQe3Po72t7QXO64jdoJTbUNaNvh8WvZsxJCYmB
7anlssVqdDZr+BhIUorOGTwcDOOec/fsjsbOmS0uO6ttGSzzRic6fyGsVS81sxZXxEB5s9ibpUp2
lU6162rpW1pLz4yvKaqKxGK6OBkHq6Gjd8VwUdqixu/TXXMr+UWyBYoBbfbGWV7KSL1YtO5ZMVxM
HfZ2DsGj9ptGiY7A9l9gLhy6WL52TvdcIWJhKa4GOF8n23mcIgQnbX6Za/1NEg3gtgonYx4dltlZ
DkmfvfENPscSpKdDLRjESOVOnApvZl4OL/kyRGA/k9OEK9xvB0gWc77cjcOse7Wt/awGwkOS9DaO
xXtaCeClbceTgOTHKvG/xi854JX/NvT/aOj/7XoXdErf/g+VuaWq/7LgRWWO1lPV4GbhVjJX6emf
hl7HvGFh3qR5N3/rxf809LhENHBgAi+DRW371zSpdczIcADXH9pNxp3/weCSTfP/29Djgv2dTkX6
JLxTsf76vwgbpjGMwBKE5jVdKoeYCbvMjY8hpny4Ynk3oPMpIFb2YgX2KX38OK8Iv9Qm9KhYsX5a
aMsNBKI06N3O9FuLG10duavFigTsYQNqKySwhxa4rNjA3ABR1bT2iYUqxAHYgsnKGFxhg9WKHRwE
XnOxogilS/gRM8sQoyKgwnFFFuLHyvzYBsy44gw1R74M8A0lnEN7BR6Wk18Myw5XBqlFKxIxhY24
gKktYSUC2yPUYMUn6itI0V2RihK2ops0N3uFLfa5bnNM6feQH8E3rkhGABMFNVNWUtDX3wbcRgiC
HXtRJ+jmr3EFO8K3CYYV9YhT5o5VzUtVRKACVxyk2UL0aYyx8lKChTZGyTxyEbS12jCdjEUmgQ5b
shfhtsdYqsGc1NimIEnetQbaMhA0eoLrtGP+5zWD8dW5AIcYVkC6RuRjnIt5obMCTNNHVJ0xxPsh
l0+iZ42VZdU+hw02lclT5io+K7Vb1agnTDwejna4CFZ+G/hIe/R+sANlU+w6Ahm2wq6OmpV/FG0M
1doJz+rgnqGUFJ5JoWQjUdObmzYh7nlLGkSEQWuUUXFTlm6ucBND1YzUVP2JTh59kj2kn7plbNHD
sijX+0+3jbf4tREbCn4Zk+VXbWqtl6BmQkw47bs5vphFKAJlnPA3dvH3qNicnWJ+xcf91C3TTRu0
N6OpjtwFr6SEuJ6NxDlwIvOX1KfjqEbzWxbXKfd3hdaVOBExNAMBJCCSreYGwmHvNEI5w1R6miX/
LMwNiFcjcWWghWsiXr5Nht19jC3WSm2Xld6s7qlvtaQ0AZJ0P4YOGkVemTpxFvoljVxjZykS2BH3
VqVZTNIH6osy/owovb2sn5etQErnJXO005X2VQJ+LXlt4J/S8tE5biqnXSBRr8s9yAvTaIbwuJX7
OVR+Np16tCtDYxucPJM4FsGW0R1GHHCggVXBUthTMxLe1pVHrj3QjpBv+hpzM4Lf7zburlVuvg9t
eLYzGNTpnFyErp4qgw2pXbqnAkzPhki7AcWZw9peAs3shnFXTyAYutjQmJZk70UqXhdybpD/speL
Xo3UqB4XhZwHNrcAqnTr2VHixwmsPBKxn3VsykMVu4dlqk9hJKoTrNaf9hTuGG8+KrZ9iA1xVdz2
Fqv2V2Uulzxv9mnJs7nYMwkMWtFTdEQPw1DuUsAgUS93TRK7dGFuseHtsd/aoT3ECBcfQjEQJldk
23waT3ZHo/N7RPvfnZzxb3dy9+xK3tv/uZNbf9c/d3Lr4s1lwUauuE2U1Mqf/HO14a0Cmbfy835v
6zAN/JNaqf6Niwa4nUm4oqmtgQt/dnLs+Fw2eS5GhX84sv6Dq81w+Nb+ql1C5KavSz6MFAQymeuv
/8vVZoLPQ8Y+a1eLhXO6l8MAJk/U6V0SZp65tDfe9peQa0Cvu2w30v4oMgbfErP8LqOdi84XNO70
3HTw/oySa4Ln0TXVUx9Gnp1PzN9aQEx7BoevZRSRv0OgTHTVEje6KyXEIeYOLrGH9OhpC7WEZ/tX
ZsJ6Q1GVAkEQrw60kkAYSrc1x+51KUGw6lwlhjXcy7EzgrpQuA0N9bQMjK14T+9WSij9evajUKAK
5I36Jav2e1z0X0KpkGz0aew1+vSYi4k0mcl8ZVDx0iymjfMdFz92OGD27qWw5/mkmCm2S6xgU5Ev
mwnhMPoWvjBsv62wN/nC9hMoka/pFP+JLjFFhhx7sLuIliuNTzX9ac33MewmZsDE84wNeUluzPC7
a7BjjrPpWak65eAQDIOEPGMeD1TWnfuuSTMcAjk1OTOVgaJ/KtI9zXhNoAUNdGdOVaCGXBp4a6ag
1UW2VQFDHwx9aDTPlpzoczR2N/oUjX9Y1twGeKTotOiJiHjhR9WGGF4aU93EdRKRgoFMJ6/tn+XS
gIPq0xGVuCkYEXBedGvaEXJagABuaO1sZ5xvcEDMDWQN1YdD4eHELo9YOBFDoYu5Cy018YFFtMc4
Gpzd1EQzrSqlol8T8MCZiBwavPa37pZix1CdqMmUcADNVj4GcPh0ui41A9KLjVYT2AGhs9yz9Ply
lRKXbA2Vrqh4VBsYUpnatx5E3+xeGFEaaO0aY6DMMnC1wtyZmQHOa2itHYK8r3zS3B26pnhTA1e7
d5YyOvKTI8knpBUQGGixgEt1DwCDn43KEKLQ6ZgNrQNmAwuTzW2jFLCRC/qLFjdIa7UY44TSnEan
HE/R2Dc7oKmEF6gChhOStIAPz4SUbH2j7MFIOMffqF6M3SrxY2K+5PC+3YoRiBDmh5qvG+AQ2t0I
AGMT5Q2w4cocAnKrNJo1ygvU5H32wTsHPDDR1f24pEUXxImgeZoMAQF8sJrkO0Mrtxeapt/gN9Xc
gk576ph+NSeDcKdGnZ7IP6AiUzPsIIabbsus/jEr1B3qQqJjiYw5aEl6ZJj/qkT1S1YWJFUJF19g
voAIy2FrJqqDfGVOfmhFSY3ayrfZXbgr4yg+z71gs1yxYl76GzGuAls+rLmycOqD29s4a4a3XoWB
FwmIBa7yPSbdqiaTr4aSHDMTjKE9wqEAzepRt66HiHvHj+LQp+53yXsKnhxHTi6emGTc11p8pLBY
ty3lhYH+p267L0OmQK9upvtuAYYgmmZfLu0jSZvP+A3DQO2Ilqr7JhgScLIylPPOIITCSwrEjiIv
TiM9aCPih0hFTuhEIbNpuGsnS11oHlG44SjcE0dxTJ3wKozxTpkItJhRX/OmsIQveNhWlGHBQN+V
H0SZFG922iX7yBiIIDXxj0xkYx0JVSauzC5b1Gr5h9vSYOdqXwS2Ud8T+/FoE8eB9iiVx6joeZXJ
uAzSeRR8S4RvzQSgbsn5wrJSjtEt11zU9Lwut359eRY1JAFv/Uu7yoqDJJTuTkW3+ZBFTeULHVQH
J0wPUd9G32wRgluZ2hwsSYxEvSdlUA2deTf1cwJDUMLVc3IzcJeEoXtjfYMmRDlvLgdEVlcVjkRu
JGerx/BljKq+M/CwBwZl8DY1W7mF98LmPiSYlFlcudftCWcEJEkZQ5ULpdR3ujFx1BPOsY9z3lp9
REqfFQbUmHhdr1ScUmodajv28NHNaiCB4eJBypFo9k5JUuoyCpxNDTwdtj96Mo6pfyBb/1vqqDS1
//+1PDao7n9TH/Gb/lQ6REJj68bpqBprSYEU+0+lA4XbIevJ5T/acvya/1LpkDeFh8r9e7KUza78
n+oj928rChq1Eit05zcG4j+pdFaY1V8rnZWJbLOkQEpOJOj6/f1rpTNUUwtjMzau7WSq3jINBy7f
2tcSg0g7u2YGqjNR7OYXh77RbyPzszHEuSP917dWjF4y4UbumvjUjeTHFWpB04+NSSzAnKZ2uEzN
GkTsNqVXlv3H7BavsYwC2I4PqZnsirk76ob+UFfEUiU1TivwTC0+bf3Mlt7aRIrz3KZu6WVu3gG4
C5/xIr1Y7EC4gJfJs6f8akXGVRvtwK3Lo0N4YWotMKtY7Hp9qlOzxNMO0negi+obu/pDP0bWEcfo
jqHch5CMF9uF2MMc/6Se6xtsbimrsxxBKZkQ6oR+iqXtj1Hr39JpML04jfcEJRbMsMkXZXvWbDpg
OCRhGJc0r49ZarL/aprveog5lZSSkJ9MXGXeEKYV1VfWwNVxylkhM8PHw5fjGErjhqmCGoVE6Zaq
DwWVSWNtLt+EWaSXwXQ+F8kPt+ICvOmozzdx23zFWMLvEobKlqvAnNOreRcXrbi2JCIHzvqKNz03
bLO+9ul6AJDEFBMqwqEg1+PBXg8Kc3KimxoRR8jcMOKMkBkVD0eLsR4ycj1u1DlL9sZ6BCnrYZSs
x5KxQGJeDyrmquU+Xw8vwvY4xtYDzVyPNnM95NjC6LuOhNKg4ATE1n5aOBHTQjt06xEpc/GNZ9bG
JcbxqawH6bweqdp6uKa/j9n1wKXPnwOgie6uW4/jZD2Y3fWIztfDWoX0+YBISVDCcZSzJUr26nq8
/66SWsNQbuhOzE2+8C+t1wtB2qq9FeslkazXxbxeHAr8UICAXCYMgMddpMdPs97e971aBLEi5k3Z
VR9l1kLDjG2kpusFVbmMehnqwlxf1h8Ra6u3sbWS5wJY6qYFprSfewDz+sTCggkIzYSIAYJWC9Mj
fu4bo1H6vRiRUsUsTEG69vJXutY3asLodohyZa92ULusLAjZNFH7IFjI3QKTIGbbjTCTfqMko/Ab
4GyeDWzktmjTLZn6B3vMU4rfBCJbpmcXcMvdHiLnd1csH502xNuuAlyUuRksI+iKHmZrP2tq+2DP
oJ9sxRl2IizMB13pf0i37BRf7Xq68FifiIaQffWJ6yJwFoVomZi81ZYqcqfI+UlTRo2hTWR7TH+O
BXOxYBxJynWHHnpDS3IKgG7mUlEgi0I54hnYS8N4Hkik8uBGPOV1cnSS4p6wCU9RnLvWegsd/dSX
9vCTJLev0e7Ok4m0o0C95ouxH889aN2967L9kw1lYpSqZ52/LQblMgysNCDRetqS3aGL0DYD3tdF
ABKXySIQ++W/Wge6OPDhA+amG9ELZwaOkK/jwfCLXDBFkBptzhBb/sSCYwMcjWkHX160iCid1rC2
88xHiO/x2ivRY4azVi3718rkeBAqpj4nbU5y1N6nFDxamxqAq1scKBr6CA2JT52aa62Fd9JZtHyT
kT3OCPClt0macxTznoBbuo3cKQ7CsvjKToVSlqJpqbryRJuxB1pZEB8e4tbAui3dboZ1lqh4yl2/
mxCWhfYauCp9uNH2K7iI3ArKYiL9pvssTYz3vfUTVqV1kDmpH83yAa8OjnRJ9ndsZdtYh32NVdTP
bOcSJ5wybokIqKFHpOvYDKW2V2o4ONhWafSgkcvxBnfgnOkt4XMy++iEu3cK46JF1U4xa5bua59H
Rmmm8f/WeyykxEHZf7fSuQdI3wW4Xg/dOl2kW/VoNW8wfxXuAuRZBlb0LrvlDCZJTX/KGFTGdsFa
lsllzwgzk50HcJUyM2xhdjHmZOV1lsgeVOKNW8agKIS/wjXDh3uMOJ+Wak/cyzzNvMguHlQMLv8d
A/19w2H+W8niY/deyDZ77/+XUdD6O/8USOrfDAoQ27Twnf1eSvzfAolR0Cq9NsU/4r7+FEiGoHRy
2NcTmElRZa2i6X8WSA6BKFjOfhsimQlR0fwnBdJvWeJfbWwqnqiVosVkSWVI8tcCCeetkTZTVl77
GRz7XaJXVnKB75PoQdflNMuyHpjrZ9bFYqHdx4JtOOq/Rs+fBi3Daavl51pvXrO5PGZt8SBz6XeK
DncgIY3csu7Ypqde4XDrGOhJ0FucY3V8wbHx5Uqe2XLQ2fxj6EZZtmy1nBjoeCEcFwu2r5v9xsi6
5K7rEdvZwvQbYyi0Dx0PPITDKKOPHAThRg56kCMG/i7aYUJBZcbpzPYlR6RCh6SoBjliQ3VwaGR2
tUMYcCYW88kIO062MB+T3nddLDnnJpHtazKGvGyDkevb1UXFcd5jJmG+AI3UZZLMZU1MgNuKJsFD
RT5oUDeRWge5tTJ4snH66O21lc+KF6ey4PzF404MIEUrab8TfRn6zlhzj4ls3Bp9eSdDtfZ0zOHE
bsmgXtCqxa4RlCFSMDX8oTTLoXOUh8HJvWIYQekV/qBwTYzW1R3seSMqcq8y/QFP0HullCdSERQu
9P6udwqg7Eq1Fyy1GZpoD0OvHEimCIqwvoiVQEB5lyvjHqrhEbr0HtDIGTDRJdenS182H+rcPkA6
2+uJ/Zy6A9o+Zx9q0dUGsLmps+oxq5aNU0g/q9TdaLUPTSd88BUo9kwcf9A2XIIyRXvMkrH3RG7o
QeJ+FzAezcy+GGMfjAyCzGrxtLK9C2V775KSwyaaYkH4laJB/4wvTP+upHNsSM0m0cTct5P+sozl
HeqJDZXshc/Sq5JxywTmkoRQQg0iNLm46G6OicVC21bfdAtCsuzuKqP7iEqRBOtHHznuE/5JUuS1
nbAnEspZCPeueumRcM11cmlssKUzcaeL8mzFxiFjgEnqROkDTTm0GiBwhOxuWH+5ZusNRfbiJPFz
qcZgFpVtWFlnwxRbJJ8XNSGbzp6182gCoOCbQDmiYT/XziSiH5F2eE3cnSNH2ypyOiFnP8CkAn49
N1+Noz8M7vTQzCl01miwbpg7kdmN8YXl5N1s6fm1ydTkwBmPllDqpYEjFMXWxprqq2pbpJTzSPXr
zGxoFTbhY+VXrftrjqYLM0jUE8YZ0ddtqjvbnxiVDoBSfKOu37pk5vEzbEItwt1UDzNmxBDfUXY3
ulO8FXn/xNYtMJTV/GV2baCX5IVqKfsaIzcdT4mbaRX1IIKNtbvQNB9M/FVceVhek4lPnC3VfVIp
uxb5ZMW+fl/FKXm8rZNs60m765J+x3xwzWIhywPnLE8Hn9Ya88mM8R7/GmHzZnvSDdAH8dyyOgUU
GaZno1Z2mjEGuY3VTdfZw9b5J6AaPoxF8XXsS34Ssl+SHXTWTBxI8zZ8uDcGeZ4ke4bLRD5o0nul
qrueHls0b7I65xI0R9pBL9HLn51DIzTr+eAp+XLpNeMO+c8vpjeUCELfhxXAlQkN9KZIhgcUdj/g
+RwJQtsLpc+2gNUrD2vgneVq82YwOQGgrVSeW7Hg0esQqZSs6m3Sz+ey1hiQG/JKxMHzYPcISePp
KbItnndCSAoK/QGmQkiKhRfXOWPLJnl2B+iEroxdpkvKeGYmnZ3AdaTef1dA6GUt/AD/bi5y91X8
Kj/l/+ZYWH/jn6tf/5sgJABsNoMHRtf80p/ZiPk3VQdgB88AaB668z9Xv8nqCI0glTigA1zvqyzi
n1c/5naLQQuiB8DY/8m1D4LqL3MRtBU4v5iIYNfEtOBgj/jrte+AfhG5HilXTWHV3UnNI1L7Kxzp
4FILo0FvqFtLS7bNHOUZasCqeXBxCtx0Z13pE/hSOA9R5OYcf4RV+H2rNS+hkM78SWJYx+gOsoeu
z+YuqcH5sKdYiMKg525N19wxrmmgQ44INjvJVLlS3G2j6T/BR6mfUZ3lXq1P1baMnQybIpFBMDrs
TVfytYZTm/QHevPGSIUdbJQJsLODdRwL55gkDcMJozlYMaOOtld2vY6vYCJxeSCvioaw0NnJwrBR
5rs5IhEtd6wgds3hIgoYPHkDKshdR/jNzOnAO8qQKJ2Yiwva2dlNAxHpy0YPmypYjNHHqd3eJwgO
Nwx6stdBWPOjpuHlxZjQKulF1lHsMwW7JUuHlV/XAAAkiObA2fJ6f7YS7Z2YI/gl6M3FYFFaiGnZ
daC/j4WjWOSRyumAPVYNWqsGzYKDHWr1pBLbW4kVNVQpgHEZ8liRy3q6JCIcDVm96jnSoZxui0ic
HVdmepsG9VpWcbx3UyQelET8JtJ35BaIRhES+VNkqLzA8OybkFjGRXcKF/ixKfxWODgGkhg0KMjw
KnzEflLtiKqu1IAHuziQLDLs8raUx9BWxJ00R8q6zg3vUpvfXNxpAF1uWh+/ksTE9r2w3yM8dZux
BTZG8tRrqhGSHnbVt+qSkYMC5ZytPnBCYq6ZmpYc7Pl3vFhQoqLuCoVp9nKHy8VsRMotivteGexD
M9TOUbcqzWOu/0gfx8eU5zsTGtrObYSnTVbPZmIedXft70e+gU7vIYQ1w6ibd0RoKUfgH9QhRmbc
W1bLmKzBD6eCTrIMyrM0AiifdWcGNeDSeNCuZL/b2wbi4ck2y9JXynJXNuSNsZPpd0acvWWD43fq
pDGtxxI0TuDasyHSMNyGAgNOvlVy9xfCh7Od5Ley759DxbhrK4eJpK5UFxwr84FeD5ZXuewVC+Nd
3lnZk5qEBLyIrw4klMwc0HXOeY5LN6D4QJ4wBzZiQP7N1EzF2crzNzLuT5Ymzzk7WE/2VnhXCJzK
jFsImYmjRxJYogM640OTDPu05kOiYDxW49rtMqrZ6Kl4j3rk0Z0tr9NAyN5UuICkuiEnNRDxsJ0d
3M5CxNe8541A5ZtqXim+CYHgaMm3RF1sK/JSVAYD20hXHyru37hKQDWbJ6xJODlo6gFiUDRP2bPI
1CuV/7M9qEymmI7a15C0gmMolu+q1h6spT+s5SEKrADWkuGpMWwshTS3YXiPbWPH6C9oI7RGiSXu
27R4EKX+y8XZj4dn1QrND6bCQCivqzuAoFslpXzkMyZIDr2j1rF/G9jwQq5mbPC5zPMTsY5Qz9Lk
wMjxfimnay5SlLzRGpGxZ8TpcZCm6NrVGyp+xIuzh1L9UIRrGjzyo0XZLX26d2zcIFWyt9tpS4Tx
qg6Rn7ZYTVnVXuldL42dYK7KK6xuIrvVcqd1VLgsZO51xF1yiPYTDIG8VM4DpRgZTu91r+MLn/Db
59+6Ce0eVgIwFS/sMrz+X2XYP0ydwxNJ4jhyUjli9Kkdv2XUTTeISrQBeodG0xSPLQslEyq3FU0Y
692nLFl0H2kqTJNR3eVm47lIhDbrpMJy1C3ApO+5lhdOuO2My5YMEN8WiJWiNj4Y2ryfluanqnVI
rMWjbVc/4YE+rIT8Pv9FTOVXraqxR4bBxjHkVtrVFuGOn0bmyh/1IiO+EWN1Vw7Ggx7mbE7xJjUQ
/VB0Vaq6V9xhL1plq8aExKDd7CztueE7dUKM57ZVgVAZTq3ab3kVL60rtsi6j+gd+AvrAHsXOfVF
68M/YEln6p+Y5X7yR5lYqBjRtiZzL1h6vkMkzVyM723RokhSTrjgDgv6tnJmXzw06TZWuCTAntVI
c2f8VLaz0ztkqH3x1tUwUSoHTLsTVDGypf/D3pntxo1tW/ZXDu47DXKzB+rWQ/QRUihCffNCyJLM
vu/59TW2nE5LcleJui8FJA5wkIYtMcggN9dea84x86baZA4ioYFO/GS6ay3q7vpKvc2r6CJXtLVn
DGi/W64d6BfamXZjcnfa687szrM8OSkmumAKhIDQ3jiDd/D0aZsZ6a7zNIDmbEOyNlwR2HMsPBVR
PTFWvQP+wD3VteG+gJEyVmo7F65z7VXWeV3Vh6w2L9rBV2eOVl+2SLu6gr5/NWFPNpPTxPR3iVOq
7GP9fSUXqimnRdmciMrERhHwZPe4L/p53cuiB1x+kV1XxbhDE3GiCHTDKMm9zz6j0MsasbRMmdtV
Kj4skBwIxXnxRM80Uq+jJrW3om8g2tnNPWLxmYANHeXM70Pt2UrphTblHZbeLVXbgfU2JLA7Xmt9
fUJ2Fs8lMq/5pGr3gVkXK1ePr1K0kLNyiNexrh2jmM1e7BazLO/1FQPxjUdeWC+UlOCenF4lqdV+
j0lgFIs4iZZmkB0H31pH3rAbsHEXCu1ztNsN02AJ0OYJIJo46uxl2/pg7pRsjm2JbQHRbbTrFuiw
Np3iPHeduYKbtkYHsQqhdWZ5wfpTRwNWw2k1MGgeG/+kasyr3KSti5JmnhF31IQx26Ze2WWCfoBK
DADdjErLt4nS7Celv6+r4ql1qqUfAe71ErhwBqr9VOX196ak/TPX67VCJIDFYh+DlBah7vsKsWHI
U7VhphzUdBNG8FLiCwUs3u8PIola37tPX8tQHfqopuoGpa34MJ7DAcMG1dCUw+B8rvp1394P+Rdf
h2z5Jxzrzwret0eSn+SN5Cn38lGbPI4knLPAkI16AlqmbW7dRO1DiPb19ydm/uzEeJpAHhi4mj6e
mHBy1KtJ7h875aFpT0r/KUuefn+In50R1TLFMofRfxhtepY9qO5YBEfGdlG/hm+9TJCgpP46RNAo
mrPfH+4nZwRFgk0LXUxDaB9Rch1uNjGqTXgMUcGEOsk2kh37h3NCDv7xfnh3EPn3b76lGqY0OQ4c
JKoYPFanUjT1/3Ya8jTfHKFrpqarMo5QFXs6ITCUrjw7/MNBpNf7w2397jQ+3NZFTFZAl9bhcVD0
GTgjNzwaEr9o35vh3KoPAkXUPz8tnGUwQOgymkzb359WHDppmDEPO9rlObxBxLtb+x/CBOWKYGDB
h9UAUhAv/YdL5+E4s9AMR0ck0LRWoBfn8z65/v2J/OzSIVh0OZSmo3j+cJAci6odhhAEq+I+s+gV
s/dgMXC9y6g9MVCx9d75748o76mPX9bbI374shhkkpiijdFRHRQsnLfYC/6wGGjyQ38/BKA6x9Rs
A8w0VgJo0HK7//amq3MoYcGgpcfotNo2W16e+3xuLs3z4MKcZ8tw5cyV1e/P6v0hX1dWFu7v1/HD
IQNU/kNDT+3YWTXbZLghyCtFvvn9UX5+7WAzomblzjM/fFvWhP61SdXo6JU0yrQTx2n+cO3k1f9+
6b6eh0FYMlQH18Un8uHGLkjV0MaazCrorLPREVSbDyEyPeivfziXn12xt0fS339J7IjzisSB6KhB
XHLOTe+ynP6wvP38EIxzAL/wJNkfbrVQizvHmPz4mGUHFFM0CMUMktUfXqo/e4S42f4+yoevPq46
oL7AsY9h/JRgxdSVJdE7JjC7uDkqMVCTP3xHP5yWAMeBvu6VzK4ZxodSQbgw71I7T45NtwYNg1il
nC7+4Y324RD00t4+QVnnc0GDMjlijp9pio952vzDZfvhXn49hO7w1FDw0Gd7f4hoGGjBstM61smT
Mm2t/i8v2C9hrD/cyhzAMRA2UdJAK3klJb159bB02r2WTemROi9tzTkM8xCScOa+vF6rf9Vqkm31
a7Xa/DF57F6qn2nz5Q/+3ZWlwUo965JFoqv839uurPqJQtfUvvJBX6eu3zgyzicTRb8ExsiOLkPb
711Z+5VTatCVJdBdJp/8k86sLvu7bxY8E34Nqym0UOu1MYwf4P1tmPkO0p7OyQ+qmvgb/F/rwMce
Ven9SWt3eCxbUZ8OrcjXujrpa3doj1lkIFrCs14ZAuMjAWTJGJhLFwfx3O8tfRYZQTlHLoXiWenF
IkC6PLMxlS5wE6VHsupuA5MRSlfp+hwY+Qm5waeVaWyc3KUjoNBWGgvau34+n0ry76oR0lIed/Ca
m50vsY+xYe4mCXLxDXtvCePaNwvU6qFz7vZ2vMiq8LxRq0dhGtiOTP+mS00iG8MAyeaAUzXupr2V
2VAdAd5run7nJjnUl+7EjRmZ2cmVYqb7BufYnCjb66xinqVoRJJ7/Yk9GRewMFear9yLcJj7JfgC
dkNAxYrTws7vhMOkMYBCEJjDuiMlbcZN8dgQXjDLBiThCoAGeJ3BjFiYZKFXA7ZbrxzpsGUtWvRu
JJWeCRuWNiLS9U0Oc2E29O1ZnwAz9adeW5txs4oweA9xBxMh1tgRiumoe9aTaIqruAVcCnlypvvs
LA1rNQbpNhSMwOCyH63Wvg5Kj0BCY7yzJNEm7M0Ca4RBQykLcb+GI1BBYa+bCkDCkNkrLUh2g5a8
BJOcEDbi2goq5oeJ8OYYlw5sTcVZ4tmbwfEvyzMj2FotdKveObHGKJoLR12FdgeuqyS6tpmYhOos
21Xr3AUW+rO2lD3yPFwDZ8tmcZo/xbaVL6JmpHwotVXiEEyrInFsRqL9gIymafS5qvQX5AwvaCT9
jV8aZzLUF6KOPxvVLl1GY2Lc6DgeALXStrY9qQgvdwzMt4mp7c02WFWOD5qDEHXyJAdQmr41rp1X
mFdmts2y75TzsOifyYzrK+zOZOzAglxPtLpJjih3hgJ/szSKjWvl5GcJ8AEZs48FlOCNUPyMzuzw
CFr+KlTzRVenyMDJ8+HW5T5yb3O905mdQRFHjFcuQxdM6ms25UiELeKqVltiNYQTaSYXLiIGC8TQ
TA+DbeZaDHBrbZbGVbRI/Ijnwk5a1MyFttLLHCALT/pKSfSEad/UnowiO/eU4En3e+O88dILRzox
BkLb6dlwLkFDd0SBqlEb5FaC9DzkOU8KCudhRggQ4AHzNEhVFUt+hNI54gJm1kPTaLs6Pw8NgzF/
5RwJGiAYwsrPBkK7Zl3T71yRPxs1rp1yjB5TIy2WdlzHC2VQ4gVS/WjWmyW41pLYBdmu1Mc5+V7C
15879mDRltiQZZjT1yw9boMu9R5HGdItxnLvTbGGlUC5HApjk2mBgnowuFH8+CVueWRERiOnKOiF
uJD8lBRWsQ7ClRHzVZl5X1ya6HPiOxivJPbayDPCvrDjzJRiklOfMjtVxGDutSy9UkLgC0MHid9p
7GgJi9JbDLS2YVQyv/ArNUdn2O1pzEFSsHEJJG54GVTczabha9sqiYIloF2UIx7DoXiczkEbw3Od
sPLVaTfNi1G50MuqRXPJgxVMtPCYLPRzYodIFkTsTsewMUjwRHtioP8f+V2tXp6nhn5Cjtql6qlX
nkl0iyY6mtWmWOrTNDAJyqsqOoAvre7iV/2I9aolqVGVtF/1Ja9aEyAfGalVCFCcVy3KvzXB66RW
9qV+XRNcvQSP6SMvf3b0zbh9/u//+qrtkj/1d0GgfcKCzqvHki/215iev8e0+idKBORRNFmErcsM
o78KAsa0KLpQTaGcQoxlygyyb2NaF187EygcWN+M7f9AocVG8WNBQGvH1OSxXN5Vr6XHu9I3oVRN
+BiHzg3ieoFynbcrdBgpMG1RmmoNb38oLryo0IUOUo6aS2GqhkK1wak7L3RdW/nReOUoebluozQh
SRkldG6xNKN19V9Vr9OrApa45FZZ6Ohia2Q1F9zjPfMUyzulZ2Zto8FeWKXQ54XdVXtT6rNMxMSE
zGqfG8xxqtc2m6LPzqpXbS7uFlBT6HVHdLu2FPCWUsrrx4h61SRDwu1YSEKl5NdvadGOLt71lE/l
DDEJya2y0aRUOJKiYUjpz1omhhawA2O7BlkFkxS8bL4UHDc6c0CYdtrBE0xYBylMbqRE2dagwBQc
fpKWnArHP0fBpjNJww4SyXLh4uFJ8PJEeHoA3ACD5OlvMkGJgO3HkgagvOlMUGo06k2IIFZ+AqcG
6bkFAomlYlxPUohR4Sly2hKT4avNyFGuC3xHLv6jIlCdrVlOx6onjZEi8lYv7accz1IpzUsVLia2
v0ez8a78joWr70mDx+9U4XtS8T+hOasXQlqisLbZ6yLJ76I+2Vm4pgZpnxrxUQ3SUNU27orcugeT
LUUhLVfg8AgmkTYs1GuIWROEcLr0aYUho5RYerdYoI8OZq5YurpAa0rvjTksFen5SqX7a6rrWws7
GAKpeU59uYx9WOGjHwY0mcqbXLrIUuknGxzLX9RYzHIpy2bMrsNHhsmZTVj1gROySBvtsahJj1Vh
wi6ZNDxhFbvrgvg59TNj5enac+HFEKaGoNllgEQ9xdFXRJF0K2vQPYpPAKAxt+u6VWEgqp6RQmPT
SBspDH3LCM1do2qI5jrd1+3ABHKMrIUR15/1AiqP6/X2Uot47bUWxtCsYDytgnrn2S9gKMfJKmTE
jXLBndmV687LkGeECV+CCDiYFh6MWMSICAwIqESP4EJJHg56522EmR2DITtYsbNVlHDVii2UOa/f
u/zO2mguC1S/c2u0j3Fq3dpuikcAfFSvwwDzogHJIuqLMgSR2dzZSaAu8qEBnxcV7rK2gSLkbuPO
mihb5XGxFwLflpJe1367jUv/tEmLdKOJGlnUeBRJtzFa2H52jx28GphUJgJ9mZrcB3V4ZlqEHlpM
0bZRaZ8KNz2DBUA6p476oAaSkscxgD6rIe8n0GhJ+Vq4baPwVLThqZYW94k2UHEixJpZmneNjfm2
ZY4k0thYQ1xxFwPui7kZGFj9MznR9XFOKm2z9lHpwarA0KKM6UVvebeTx+cri7aWadWzqeHn0Jkw
G2HQWUTx1puqlzLTjaWYZNHiwlxlCI4UAK23y2VlgvQKejxveunmCNtRasyNRdxVFiNs9Qu6mxMj
DE/DAC8NWcaM3glOxWh5P1n6lQfial6Bd5vjb1aAYTBVdtx7jUp/RpzDuVAwlGgTI2y3XSP+k2A8
x1viyjivgnbtZeKqC+q92ilIYQpnF1Ygczw7PU/KbDHYobILaIyGZpNhLBh21ujgd8B8SyI5pMQS
4I+V9fEyMYYcyn2wJxGKsaoHpUOpki/+5F2VBazgURPIuULyw4Ygeq4K8+DnGgFATj8tpMN7nll4
rntfmTaNA8Ktx3UxldP5SKj3UukYKcWufzno4bIVxGIBC3bdtFsZRbUDvBLwFmADVpYpFsjeYg5t
5ebKS8c7zNNg6tTHkkzX9SACpJt9B4kzvRZmdwrvgB8V5JB1xkoqZrrcOUEgtIlqDxMTN9G8n1Df
mmTQjbb2NGnF3vRZswdUrRZVWKlVL00U7puhfJwGf2mHPJ31CFtZ1+5zcs1IDovZY5EnFasMQjFt
QkA2JHgXkQ4rdzGzQ3Q/ZkyC/TDaV0Ub7ic46XHDQhnqFvKYRIaJjehQiPxBCYjcqHYPlTv5a2H0
Nwn3LTAttMZ2DwOpA8/Ag3ZemR3wB+zBa5Qfj7w7q2UeBrhQgjFfqrpuHRxHccgvN8W6qqu7MNYu
TXy58xx3qcb0EjeiBysC8kONjgWec6GxgmirSTifdVDq68qtVny+z1VEoF3m5M+1h9jZBWaywAqO
vDUGt+UhtOadR6wbf9fj82hcHB2MLeY6+t6lm7bPeB7IzrDLZz3I4Ju6NZIeL543nQfhzWpnhj8G
KzdHsusPCIs90EnyKSuBPRNhTCgZks4ww8yQr/LW34xQKJc266QCGK1XsssxB6IfKtFDbBdPgFTm
7KDTtecRrSWlNRCqLjUptiml7Iah+BZ+LK/iTO5apTgnBHE1txStPriTsfCRJ8RSyuOk/YFgBgw1
qHxUHSOKi+7HUSj7VZRA4OG0pVKizfFRCcVSLlT4yp0qBUQVSiJW8xpdkdEF6wCsmAJDJHDAO8du
eZYnSR4A3QtVHxMVonXw3ZpbBqf/1tGvdbROt/LXdbRM/lxVj9lTWD/9JLdH/vDf5bT4hLDRdgz1
NXZbQufflNMabTKIGH9X2t/6a/YnUrxsQ3W//9S3ctr+BJmcthhQp3+e2/O+yUt3jcMzg6EFK3+p
bNa96yMTIag6kVdNREjdlo43a9lnvrkwx6+jibfJoj90efmtWCpwfAhwVKrcM7wt16fCs4oBMA2O
UwUJ2cokq6820QP8YVzx/kzkYOT9cWRT/k03mUelKKvQxHZXdHOtok32/PsTQVL6thP54xE+zBF8
GAyihXRzEIONRvnaxoKvjHNXgWrXLTEazevuvmg3bXhsoNNr4UtEXDJqpfy8yS79npA8CmgTMg9C
G984b6PLPg1QSKR/uBQa3dc3PdMfP6nsqb65FnpIqHFfyWtB5uaUUlncth1NJs049Lx4WLdm4fjF
xkha8p+wDv8wAJHUsR8+AGN+01L5WtisfZgdZI6vNZ1qjwc6YmhpNbdKTmNSG3DqFwZZx+5rADIB
yrtqqGdm219oCYK6nu7IvJNxyRUr8EwUrdrJN++ud5u2WifpnUj1Xe+pWDExvWjXg56S3xq7EbhK
ZLZZRBlt0TuCeCK6coWObtE1eNimQ2eFyxQgWV4SXWiR20GQTyqOGFJJfLqrWYP9+qr2nb2OWKZC
qtlhnxXQO3XTnNu8eEYIizHqlAKOhEWRNZXU2mATW60lJCRdgvEay7uaimlkyF322Qkb0fMo2kdD
uu4ykV+nJklCJFQvcwBVBpU4I5tIenPN0DcWRliyC3SwxuZxct8oKGvSqcLk4QE3842v6/YvZy+v
05vvc8QfHnzjw+PShy4ezKGeDupa33jb6bS51dfOtjrUM+202ZRzdm8Ldz6u9Pmu2qWrfDHcK9t4
1azVtbUPV9HX/PlffqD3u/ofb1kmFG9vWSPBppPKW5aUUDzSZAxQkpDZov5hOfrZnfl2Ofqw4NGT
n5Ig4DhKNkuuhudSSkDnwGos7w8PgSZv8u+X+OspvX0IPkwuXP5xpROWewj0eXQkE7Ud5pWP0BfT
z9w/9H86tZ+tgIS9QR5wiFoGjvT+EtIoGOi26uLQR/Typ8+dcvz9CvizBfDtAT5cO/ilNoNHIQ51
t5Bgol6Z18OfJFB/OsiHVdYd2BjRFReYuU6mctdYV8J6+P15/OyV9PY8PiyPI+/qCsm1ODCbxJcK
PMi6cKMzNxi+3mz/05PHffhU5XX+pflf8jc/5aAIQj9o/vf7P9Zf/0zQ5eKxeXz3B5SptPPO25dq
vHipmTJ9a7DJf/l/+5d/NQWvUJv+9389PqOPgVXYVOFTw+vlY8NQ5Wv7dXnEuKKpHv8zz+vmJ81G
+bN/V0faJwn30illiBOlUHpTHQn4XzR8KILo8kHH+LvZiB0UgZxADCOErZqUUN+bjTaBh9goXUGP
8Ku/9Nu1OH59NrmMv1yUCL549wzLZRI4GeoEyaTlf3I6+nZZclN7cjM0p4ekC0XgzasyV3fodI1d
BpoCTI6VXo+RzxBnUE6dTKaxmdC3e0rzIAOcpDXR1eA3J7EzXHbqcDp6WoSv0XJnbe+wcQinnRs2
N306ntkpPNnQovPvES0sA2YGtsoFBqeB1J9w4j5NIRKA4cT3ZrtsnnT9i+4A9+7rkl1wGI/zIsRS
WMUK2C3HWLVR5MwNyFBAL4L7kTg56PnGuMQzni7Uqrgi4Zq9UasIxnQ+u6lJnY99w24J4n2VebeJ
qy0aYY3zqq4XZth/tsiKjrwyXdC2fSpho895r95ZJS9xPL9gzoi4LulOKrm4s3xj7dh4GT2EpgGc
wplepwBvEFWzQ8a1SFNoNPCew6f4TP7Y57QZDmpO54AB4n2ouuE8NRCtxsMWkEK20gb6gFWHCR2r
5rNP3bEYtOyuAHpFEw//Ps3WF8sTSJzj8TEE7H2Ct9+mlBCk6PkWpGhHuxBwPBZGTpRfaBpgRQBK
rvs+PtHMsmPSwMgXL3zVrPKog0tts6snqBJ/mq4iaB+mpRMw8PDdiWgf4M0YWBwyF9OuWpEyXSy8
hIKw4W6eYewNQGjkDPDU0EO+XkPmVfNkTSOxuaRvMN30UxcscjXxgL4l6n60UuKe+ji+z6tOEFts
W3eM5tKLutLKY2CJcOvAcSJaE1k2Mb/5TliMZyTIOjoF3EXetJIPpPVOCdFlKWLjwQkVZ9GbSrnN
hHpOS4pk+qAvrkGkGd3aQ6b5oGDh/GI4DOlSRG4Ea44g7B0HUrAoCY9mat1NMiqjCk+0WuwbqIvg
qpdksZyCPL5Xa2S3StmeVUHWbzyvGVa22kF113OX1M2gm0FoOzMa0azKVJ1HdtXQ73BPPLDxszhB
75NRES2szs0WkyFDCTUnXNjpqLIRZ8K3FOGlrWcF7AQr3ueu45yACulucFo5Wwvq7ixQVG9N+jux
WUr1ZRAEnuMqWAzOGP4bTft1+iPdbr9ezE9equzHF4D8mW+LuMaWFNEyOkt2k6+Mou9bXPUTuBUI
xSyt0u/P+vpti2syFsJkTxYjo5yvJIBvW1wD3DEJRqqNNgiVoG78EwmJLUvH73UYazjESRRmLrcz
SibcGO/XcFsrfFULpubMBv6BESykCHMCkSzwzrlru3MemZv0q1ICZWAQR4ayS2unlUTGUET3oSAi
4xB4eVtuUa0WhKG2Ua8uC8Vs7WNhVFV/zPrirCC78gqmPY4qWlf2KqonwJFJED3opKifjxlY10L1
hLb0wcrBZcXGEOLpn8CzlHXtL0oT1s3W8JQ00pli2Ul9TxR2BGJ+SCYBHl+nUR/WK5ENobZL037K
L/1pjJV1CB4ZPkHug93TfRVAGRz+ocO/XOV9tFZieIm9ZIZ1saUt+6Gc1mpsVTcsQC3Bp+5oTUu9
bkdkZMKFa5e0ulXuC9tTwMcbhUKeSDFZ+3asA7zeIrcuQ0sasUi0ANifjfVaw6ncXMZ6UrlLyyiS
wyCsQKxLJgfL0a/zu6mXPMui9OOI5mOQ21vCg3R1+Xpn/k8XXP//pUfLxsyvH9HFS/KfM95KLz8+
p/IHvz2nQv/EexnRFkNdahmHDcTfrSgDzhgiZgy2f4UcfntODbBlNHBM1bLtb8HTfz2nBpNiHlLS
DC3rNU9M/JPnlCrw3WNqEIjIGOJVEMxoWf1QajVeG9XJlBFPAotGjcNT24/nejd+vUV+XdM572s6
zkTKTakq6Z8h3DY/KsoUuNOgmeIeWyMUZdoLjrHERLdLYXWglfEZ0vQ2wJkmP7hje1rGxbUtqlbm
vOLNSxG1xJUWn3SVSZBFjjpaH3HrKCaGFpJQ7/qauN/UCXC6SaZYUCeXBQeciyI55ipdZg1CxMwp
RbkgEYSyCxwWvCrnpEwH2Rip5pkG8YHVFg5XnK08q1sJInwXLRGJRImR/mMbt4pj712jdfEb63eB
kWDdGcxLdocXSjqcKYp51oRqh84pjGaW424rtzvrvdTnNa9dg1omQMLvyI2VIOe2I8dKmVa90d66
TvVC/PaDn473lVRUxWAzFskYHk2yYy07DVeQWjaW61XrOqj4hqrqOrf8TegY/pyt9YnqGp+zPohX
XaoWvNmJVEzyoQBVKcFYaFpoy0wPWoqrcDKig+FQO43MS5WC0CViylob91oNGHdI21mujRd22a4p
+DeIqBTa/nXKB9WhVTQZfDZhXipjQWR1Q9KT7T64DWIm0kKYPFO/tAbtLchKDph8vr9ojYzpiwMZ
hC2fuSezCAdaBvytxPCi2eOZAMsxYHkjGUoLV7GWHEsW8BXzozXZsHvfZ8DeaMba7bi2QQ9sUbHM
blGU7gO7hA2YvAtmxAy1p/omtLRp7tc4Q2kpXdZ9u9XMmFwJXX1SE1zOfj/eJGForgd9oqUIr7UO
IpLIp+pZS8Sz6BMg7uRS54m7BTKrQXTv11DyztPYYaiWW6e2jgnOSrKnKSruApuEutTKr2CpE4BT
2vGmb8m5sPu50L0VECy3WnKLBaRz97zohqB8zLCVVavJUYjzJTGdQCIVagPIXFH59cbomd6pdr/S
cGjPtLIadkliop6n66V6SIgM/blX3S1N11U3oSjDe1l0NwRHSS5XrzGcMkOJSB+0cBFHYqsjidJA
3DVSL+eUjyQCXGix8uK4fE0llO+cuxESW8eWqW7gofaLvI+1rZKaMOX67tQhBnyhsAnCIob9r+5C
KGN+f29Fdr0c/GLvh6o3r4uBFAIkS0Z9yvCUDmC96fvmbvIQEwwkcHeRiqEmx5DNI6tn8REuOZno
ypbWkMFWIQiW0zACO+wgWPRjOot6UBhDq10EjbUe8uaFGMJ+PkDhybBykn6cXtnbwKhOoGFsRsuG
jKo+TOYYz0EM17MR77Nx2fU1hLh2VxDokkgLeVbNxQrtGob7Bn2Vvux1Y9MJfYUCAhrfVHRr3Y6a
laphvvY74yEzNEameb/wFOxARl+sWy07jHl/D6sDVt1o3DSN6uwLJTLKK7mD8R2j8ja5IND9T8vo
D90t8JaaAUwfXTCpFXKu8XZnXNcEyHijNR57oqBnxtrbDZf5fhs1M+UxuwXOuoUHNvNO4Nm3C5q0
2zcvuL+26r8dK8jDuzbvHaELxhcfirrKa81Osdrp2NlAhLauCgNleFDydPbPjyMQ8ts0sZkeqx/b
UQ3vrHDopiOG8YBtbpK8uP62Z1L/++O8f/vJl9Lr9eQdqKl4Y1476m9a9iViTbPVAvVomSeVRbgs
8j3j9vfHeDUefK+E/zrIm5P50PhqA1WtBbGzR4Kobsi6WXYb9ZkYdiQ9e0gp/uyiWkJAWonN9Zmz
SGZnHZ3em3rpLc+jXT/bsP8+bRb8wwXG9UW+vPn95xM/NIG5BobAD6QjIEN5/uHzJe00EQyhakcm
nmfeubpU99otbGo0oPN2Mc5299p6mJ+Vq35D5y49ISrjnD75qp8lX5u3/xaS8gb+dSG5TP6zyKvH
55/MNOUPfiskNfeTVPmpSAB5c77v2mmfNL5CwrKFpX1VD37b8LmIB0GsuJYw1B9ILjwABo07Nn3I
zSlaP3Tpfte1w0LyoZQ0HX4PK5OKQoLxpvbhPip9bzAVrasPqpHf9NnI+wkotULpC6agro7KBGU9
42V5Z6K4mrtmgsTNVlDVQfWmj9Blu8mHThtPrNHIqm4RB9uLinSReYE3azXJTNA0BO5EUVTNG6PN
l6XndnP2cT0C4emybXif0w4L6ODZ126dbXmrZCsLWNTMNvMdz6q/qXR7C/Dllqg9iWotLqs8GGeW
ErobTcUha/AiBOkPrfQMiBZNFd/TZmoVaavRhGlVkP6a9OEatP0kJRcn6MrvvUbQMycTLujbSxWV
zcovLaRwvaXOrMH8bNEd3DQNm8pqMEc0EcOLlVsv7MejBRBT5IRlt3cH/Y6JVbYrWpB2uu08ii44
D3LGYXzMJzdDsmXCu9Q7CbWy8vxmILRkyTqKeIvkapOYapiUKz+H3egFCg7/9MVKtOUgI63zpFgb
hFzjYEP8FPsbWn3OLO2YjMb9NC0i8qyWrTIcIA7ohGyKm5AA7U4maWPEzYGwOohFCuaFEYHbCQw4
3WoeUpnEXerEd7b0TieZ0u2o440Das05DjX9qqIZmIUmvBLd00ApvkwS5+8xoVzWESEGOUIlYl2T
YZ2GODfKMHK3RTmCXojFNfRJaPYj4T/CCWZY1vT7SYW+kCK/aq9aK/HPSM4pdpOasuMNlHhTmPmy
j9QLDcU6RYbDbhnrAmFp4Y20NABSBcBCoEO00H0ACgVT8oWZA/dRlPzowzSZWTXqHEu9shV6xn1U
PbctG6PE2hltxiWmh4ta7rYww2dbT0892N8omEocoRUZY7bSPpJCjHDd0O8VkTxQXhPj7tvr0TVy
WtDRRqgYIuy8Xgwt1A9BfGg5OasxixGu2QsAOKeWZ++1lpBBcHOX6ZR9UZMc6VbrQD43R5iksY8Q
VImeSCy4MwVs1GC4SCC3jZ1yhU/moeF1ySbBnZWtclIO1Zmqe9dDFp2MParb0hM3fkryTlB5V95g
nwBYq2eF8I2VXlC3xg75E8K49+z+2lK1aZb4STQfFEpqO1Q/w0666KvozCcuk1BBmjp2d+g140If
OZfUC8+rWttajjVHLbyT2bGt1Z/QtoHC0NzI7YqfmfCWzUMQThu9SgEMhGx46vEOOI6zjnwlncUh
EFH200R3lgROuBIK6w0M02kj3VV1utPdbh/rYhuo0w3Zog7Xw9Pnpd5viwp3MzcsKGcluYB3/LnQ
U3djxwl6W8sBjkGfB4KpA+0nBxYHI2qVuyQ1GVhqoiKNtvRX5kOtrRyB/k6uuKxSwAJjozvmjMZn
omzUVQtFxFdHMoGILlK5BKxJ5/po7aPWfaK/JmODrGthGXvdKBGDtgiiO3zyi1wucRVSzs5XL4Wb
ESoJn00UdTqrgWu7mplsUlSrWtLg7Ekba04z6rad/EtNNT7bKQxWXzj7uAu8te8rCh2v5EKzYSjS
5YHyI+zPIrTJosgSUENWsRx1BahUCMmBlXQVw4Ctmgkjc0neQFhpV1nYZbOWsK6nIlDOrLzrlnnN
GhGGt33QIVcLNqnpfJkogZcNZidgIyqw6xLhVVibCjlf9ZTeplDE/f0kyNpoyGEhPts8MZ3qysW9
AsrXpjk+5Q+Q+VxMRp0+a+LpzoMoOLO7+rPVKOV8aiv86clZ4GsH3fQehrr9orUtyKqs2tGKQ3Nr
JMu2Mc9bEKGtS4i4pVY5518unWQ4VYEEon/O1JmJVoFKvr3SB8jHHqOjPLqJOhBgMWk0fJrpzo2H
fV2ON6nZnxd9dOR+4CIM7XUaa2eTybSh8RHedmpG4jEWq8FtLjN9PNOseqcO0YmhDtcZPUfPMI+W
Xy8Klyxwh/8YjMBe2InFtsw0eMlZNNvDqInmmSqaGWvsAujWJiuzTRU1YCvTmmXHIqrC0gFoaR5+
Gs1L1hZgomly1K0S99sssgJiW6XgcWzEFgBzCBQnapcEdmbLWCWGtoc5DtODNgExEl+L5H+rMmmX
+HVVdhHi46zD55cf23vyB/+uyoxPhi4BG3BruXsoir5192SD3rYESUou4jYagN+78ID3ZB6BQwMf
hK5uso371oXXP1FZ0ZunX/gXee8fFGWv6oPvew+GtCA5BNFPdOMtgTZUdunfbHACIceorf5/2Duv
5bqNtdu+ynkBuNCIjcuzcmQWg25QJEUi59h4+n+AsmRJ26F87yrXtmurqBW4VvcX5hzTONdFVZXu
SWNVBlnNs/Qm01eeFSfIqAwzIbXPFx22Py4loZRwF0zX7EsoWOllN6t3hmzU9radm+eOgJvVYDT5
MfO97JZTf7jsRqs85VFbvLYBRi8jG5JbSwz10SpiL1+2o/vmG5G1KyzS9ERcI/t1QfJ9pjXSPQxO
hMXWKLUsL90mhhhWE/L/l753xLtmRhPrQwe5iBeSFU1ZyRBNeoSEOtVqNGKcVXqcLaPQTa6yrPPv
DHAdNx2Hf3irx2xYm23qimraT2XIeAK3hWRQxTQwMHhAznPoVb2wRA1sdZCFemaVgcC6ZvyiL4ra
sFb+5PT6hcNXErpuVMWftJjKalH1iesumbgjSRpqk4GF3YMFSLrO3Ft9Rog4fdfKRdo3A4lkWxL4
kNuEwfe1Zx/Br9bPfhw5BB+FXCNoEkGkaxUs3aWKctPcKtHEexWy1lwVmGAm0fTuzuhttnVu/NrG
aXgoHQBMZxu64V5WMupvplhSptY20b3LkA/mcM48KJ/a9uOL8N+JoPNF/OsTYZu+5X+ylJt/6Ntp
YIjf0N+xenM9EkOpUP44DgzjN8+UFv8wcZ99XH8cBzR2KPa8700af/TtOPAY9gPsYI3Gym7GKfyb
Hk04P6uV2MpZaE91lK84uSzrw1z+43nA0sjFvSQ9/BI1CHtbTOW2/oiINLU8NABPZY3/maKnvkYR
QaBkNmdLToRMEh12qnMvIX46eUmoVACuLXqjDTbKsriaSjMd5zhNgGBkEa273rtO5PAOvS5aEulI
vLaBZt1gNouxw662OqR6CbF+LLWdFqUvdg1Ez42LUxAP18kMuXeIKQtwUrg6mntIjzBlhyVBCRoX
qtqy1LgwSFSPDJQWwwzR73S1UzNWP9fESwxnH1iwva+l+1ha7n6qh1fylc8EfKb2nPXgPHnYZdsZ
3E/XgMhHzugtor8RatAwgPmfqK6YKeZLoxc7jqtjP0cCDC3hAImp1SSiAp5EF8arRXWyaorpIWv6
s5wjBlCDERE2xw4YeEtCi1APsws29RxNIOrAXcekFUhSC2hy+1VluYyBSTTISDZAQHLLUXeJqYAF
R+bbm2yOQSD2ZT/MwQgfxHLBeHalD1aPzY4AhXKWYnQa6EpIn8xf1XVmJ/sGH/qCGMYvKuslpyYC
/rrw6c4YaZqBekZZO+D8Eu+toR0Evj2ECKd4Dnjw56iH/iP0YSD+ASZJjGyESIiRbIiJjIhMy4dH
fp/H1v48Zc6ZHe0SPy3ZAvFBd/zbYQ6bwGoWNyummCjgNSPv2GtGCcr48qtMnmQzNPNjYLv7tJEW
CdJo6iMpmWmTPuudDVIrD25S9FsDZw8moBjapzWDP0PSwG59Yha8ZYqtjx6qmJxdb4N6pf630lUK
U24rVMFd5+a1cXJROj7IwpE7bSL/9L/jkIqF+TJLvL8+Dve5+pOJ1fwz305DYf/mzCkBTIOkiwqd
Ydb34giMMGWRwSrz94Slb6tP0/3Ncjg8Xcc1UahxTP1xGqJeQLRgwy8xmFr969Pw52k6y1VoGub8
HOANUIWZPL8fT0PwqKUAjddeZIkTbopZGTAWmSXRDRj9REB95IXc/msLkFFIpd0TTGjDwxRU3gZU
xqWlIpjWXL2VumTiYRPqLrvBrun5R6ci0sNOQ3NLsZFhALWsNCJTVfPj3lhpvlfkUMydzrpyu86r
85VLkIl1HG0bdO1SaFXcPFM91NNERwWlgeD6se49lMJ9WG/jpvTOYaWH+4D0J5TPg/WpKvBaSdqW
qivIdbKSOFuJauiPQIUU1MEov3DTpLshxnZ40XPbLhkshcFLb9XjJm307ITcp8AQVvgXsWZbG4YM
4Y7bjim1HEx1LVzD3zddMZyJHBguoEe2q9ov34tBEkU4Gkb9TM5Is0xby+iWoW/ToNtxe2cMVQYg
Nbdf5ZR62z5MhxORScTGTRHOP8u8IUEwJUIwqADb66O1ggY5Luy21Zgy6eqiZv62SVhVYxsThM83
DYOnBeyuF35N6KZ9na5HlGxqPS80PptTOV2FE/EO5E11xgsZcPaxw7e5VxxIjyaRxPjjDZbepRes
JhDyl12XvPKW5vvKc8StAJqYLmM29GcL0fbCxm12oUhsxkVkY2GMmmbrEeyzjidPXkxVZO+yKo+X
niLmOuRofbWcMT3RiDb3XVZ0gAfinBFnZJyxQZP56IRNslGY4figVM61IF13E1V2c2VGZrlqO704
shmBH9okB2yCE5s7TW4qW43vg0UWgiyz4DAWkcVzi12N+AZHZ5XesJEuFIF1bds5p0rJfFsGZOBY
TPgWo123I1Blzz+ktebc00I/MOE0ToYmy0uevg+Fln1rUxjWpq1r/VJNIdtH4pH3QZQzFmBudraa
Ut2EtRwgWAzVWkXduA76yd80H3Ka/07WrycrR9Ffn6y7LiPo6kv7v53nLHf/droiLGFmr9PUffX+
c/B+O10NmlJ2WiS6gLREfMLB9vs+APUIxiMG3fj1kfDOCPdvteYH9F2AGZj/VqxOdKX/ovX8dRtg
Sc5V5F9ozZC4oOb9+WxtO8KK3MIerjr9ECDZVTdF87UN+UtRyVd1yh/t7bxaQytM5cydQJfL6/35
QQQjnzhOmvLKHNBwzCmWMzI7NI3cvALaV1FZFc6YXE9F5EDcxIb7SO1lJNdSt9UyhE5noOcsEdQX
+yocTxF5v6QcrKeIQISOJkqp9MonaCUttL1qPFKYittWZ4GtQsidlXszRs3OVxVa12zc0AGLlW1V
B60cLjWZvKQqedbISevKck9e1CNjb7GcovAyIKdCGuARQzBcYqzf62721EfDKqUWRFpmdUQ60Oq2
9rCrehLmOzf+5MpdZTZLXt5j4Oh73WO1Ts7GoRrzt7TxQmak8FpV9uaXgEhkVgKN10fS3Zp6Q5D6
iaiZYSXzeU42YOotXf1lbPKDaWlcFFZOlg4pyYbxqR6pm4yofUgy1eB3Hl4bxzooq843VVye83Ac
Vl7lmqiTfXvpF/VtHYFPcK2iXQfKPGOkZz/TmNfpQKjr1HePWmyisnXHNZ0RVHWjfY9dgM2SoBAm
AQXqI+uIC9ZiOFhFizSpIFTrmHTKlnp5jIkkjUr6dUHIxIKklgeR4RGaXdWAIm5szKKLzEjvhgxX
rieTJ62qLXxE5d5DCn6RtgOpFFpy4ACm0xbA+4UMuIFezbjYkAgLQGEwltZYNUuPwBx/AmbqV3iA
i0AcatnVq5Yg4cm1X8uImfCgaihY1qtsMJLJOHqXGfiogLphVbXeHaufdysaPtz0nOnDkkZ+FxoM
GARK7SLIrkgbehFxrC9rq0WgneT7NErIQOnbTSTnvZGJisBqWmKQNd0jmba74rD+1AekDWsp6EYz
rKHWh7f4aivGAUG3zH2m2qgisXi762muez0Z3xrmjLVCDzx6/UOiT9C3lfOOVfezzZWDlgbdgzkm
MGZIOjpTpdTLgJCRJefKp0BVt7lll4cwMS+D1HVXYRFiSB/Hz30Mp78cKhhDA++H605PieOjgaEz
6slUYvTjbPpa/5QE6acmgn4zagiM+6A9Z6723mryibw/Rp2kYbumaBjk+MzgybpzChSVJlHS5Yd6
YrDqyt+VvBseMqzqzg4GkoCdhE+5lyafEsZue3uC0+mYw11VGVT35VvG3i9KyhSAVPlFtFXVsrgI
mBxLxEVDe+zqKH6wrJawNYLGG+d+DhnYqlDFp6yg5tO0m7qLvbmHSysS3bIaWhPkKs3FKF9jMFo2
Kabgic9vYOKKL4j9bmwQDrVGh9ssS76bMyfpoincx1Dab5CXqwXHWsWiS4DHLsnLVEcGBc/a2B2B
TgOh6p6CDic4Z85NnYs16KabQph7kpdviL5bOVpwbyTOUyNtxNo6wPrgCjnDlcrw7TftBrT70vfU
l67X0kXoxqukaZM1nPRlAlLJbWqybqS9qcv+wnWLdV0l6cJk6xdG9kDgMovJWGqQLrRL1db3WUTK
hG80ILXDjVGND1rzZnd8EnvH3ZgWUZJLPx9AaECzYDwQd0rT1nqv3Hs36MdtVdXGMg4gaNmybMuL
BJZaVljQmaZq7fZ5gKo/nvOBksIqFUUyBLkW7uVSpnS80szugYJs6nZ4HIb0vqm0J/Z75rXe2dMV
F161qdPquTLEPqzNL6MvL6tJXXgppRxhgmyHk0ms8F7DjohTcORTRsBSJtU5yMLbKAheYqPWlkPS
pcd6UqDRsxbRTA7y3WrDp9zgtziEd1FUxGBZoNv0zWMniumWkLJs489CKHIEGkIKuXuWXsIZ0Gkp
pvCunC41oHZ3TmyqlVKwS4K6sHO+5c0DUPhuZbVutuPbLFdV2q4sBztuL9ph6xtEt5qkZhMvDJG+
TyHQBG0S8WWnshwwhOyYElzh0LhpLIKjHbGN+7n11/zXiGR1FlvijiHGYy3G28CunT0ixcc5RxtX
yeT/A4N57op+uXTRhoGOQuDNwHsef/3YNTlpVxrSqLqrQg5rR1zG8s7hWdvMYeJ/Es/8XEXMFzwz
NEeYYo6b85AV/PxYTQOFxBia4QrwhZ/cVwre/T/oX/7pIeY//2FEPqSQMIYuHa5KvpgKOULYf7bK
2x/qtz8RTv3pg3iM8FxqK1qLXx6kCTHUxPkwXJn1XVWcRu1C6/d//xD/+2vhrfrhIVg3/Pg62o58
GGGNwxU5Clm1mZhAU4Xk7nOs/uGRZiHHzx+Anx9pfiY/vGNp2NuZAyPuqoLCIHKyoIxDl52Hnmj2
w5RNX/dPf1nmzU/814cD7WtDymQewG7k54drg5gYh1YMzJYeBR2M69wF4VFl/01xfjea8GH7617j
9Jy8/Umfwc987zMM0GQ6s2QhmR7r8/Lre58BmsxD/mEj6p4lRPzRH7oj9ECG7sICn3dfP/QZGAmx
FrKbQqnkmIjc/1Wf8SesUveDo8AkideLjO2XzwfDaiwNVW5fJn0aHLUgq/zbcYRutMO9lWwHywJi
4yI8qLg82eqme6umKrM7zd4RgFPsMxLUzgOiWmx2KWTKOXN+AViI4joTJ2nPNKwYXFcS5AfNi+2z
O7FJGlN942RIMTipN94k3+y451ZQQ7DyfWtiEhsGx3wcjnGebjQJPhxfS3eDlHpv9KPzOSWkAa9X
6K0HEW9TvdhNVBODEdxUgvw13cH0Rbpwv8yzetdO4sJrvDfX764jU15OldxzON9GktuqaB61QJZH
IpSOVYjqPLSivfCGR/K1llILbzPD/hREAGHo2ELmQmbJhCN4YsKwN2W5jnX/yfRIGQWzsFA9yMGk
7QeE5qjUyfVZmCZlZF2XLolb3rHC9rdIaoPJdXpRpYTDEEJzrjLruQ7byxa9CqJwe+G1cFqLAVy2
Xx4yN3GXWUE+sofdnlPDEwaD7AnkSmLQ10CqWJmuOky+9ijr8FoNpJWEbbzvAsIuKreZ1p4CqSlz
dPjCd4gaKHZMlZ4S7D3MTuCYm/W0CRS52UEZvoJSrIEeCHuVC7VF23VIA8/cZtK4yEts50Obhquo
ru9LP7TWZv3eOUrfOYnjrf2gQmppOytMV+9EJpHG43mXVdrh7owodnq3upO11E6al+7QY12niLZx
MOK564tl3Jbu0g5yyEF6oD6rHO5VYH1xmTit4x4HOoXEk1WXBzuwPgO5va6oF/paPA2lXy/qNnzH
l6A2CLDRSTTxReaqXYJbclFboqHQGt5GSQ6hJuxgGZbBJja6VxUCJWe6uXH75FWh3y1IGJ7VOZHT
vPScrCdmijQE2TwTb+miyTObJ+W8fmeXfYzPIUYySu/ZCbmL9iNqK+M0WIEjpDYm4TCFTsU7PjG+
X0Q+YlSs0RvvI7/Ln6O88jnUS5HuNfFluFZz4FeiSaQVFMYwlIyDacbm0sJDa85BYdMcGRYHgYmB
lxgxk0/bAvYE2WKJUIz458AxGgWixyoCvaQkjsydg8mKKGrpvIeAaNV+M7TZq9SDy6rH4sAhdTbB
xoJQ8q7ZcgGBS+OLyilhzosHRrPqthZa8pQLROVGheyCSJqVmEPUJPbKmaOXrCFogBhBDTbOoWsm
g1bSpQliywyikN05nE0MXX+RWRa6d4LbXBLcEpLcEo8Wp5vD3bqU2t+Impea3DdhluyWoarmTmcy
m5AHSHL2QcxxccVHcBy9+GcDQ9zCzqmlsFg6C4gUIDXm0Lk5zn6jlQTRTe2kv1bCeIyzzN8Q+jqs
h3qQ23zCPZAkqb0tsjngTot1zGZAncQcesdMMFtMln+svHCbDsNFxDcKKlZ3iMFMhQOvWtdsmMXF
kfS8bZT5LZAMEoziqWZM6cnlGLps3WTHb2hKcXIAoohDtcny7Dq0I4JwY9cjY8s+yqADsUD8amQn
Tyy4t53W3E4JIKs0ReEVItbPRXJuupp1YZdhA3brrV+WO6drSFrxw5XNQnTF0p4vLK2JcZZjdkdQ
TXrywv4KzhcJUBbaoaxAARkgCGSs/KCcHFNKeex8+TYWhqDhyw5tMjCQFOMWNs7XIu6/tbf4WyHM
Pivf6ug5/ZMq4RcdzOxJQKD2sd2mUv9WJQgHcgC6ZNoFuJJoKf6oEhhhmqDuGQ/yg19xA9823wb2
VmkDSvK4lT58c/9iGinMucL+o4qclTDsvg2DtRaWWOrkXzoJN6zqfNQqdR7NEi6ySHS8XKWLWexd
n6bcZhjT6i39vxnp7rQrnCQZcgZqMT2OYyU3vhHOszN/2NWid9XCdIxXgvkawIj+M860WzJbsyuV
4E6qJsfYmLYAy4fO5lw4zntYSnryDE+8yJtoEyISAXUGaLp1BrBGmbBPU9dkey1PWwaCSZKr5ejg
LYrjoL4ooVLRb3onlGLJEU1ZvmrKQW3wws14owR9La6vJSazeoHg17uwenVI7Ogki9Y/khibbBKN
6oY70CAu2HC4DBJ0yKPnhiuzpVGvmAItBZy1VTXSM1eyw4RkaU8p/V3pjPnBDbs74YCF9DOrWOUR
Q9PAU9pFHTuvQ84ooCpcsYUK8D7F8WeyI9EzWr3I9oPv+qfSitWnOmv9FYfkOWhMtrlh/NYGk/HE
YEy/nsg12/ROSuAZiYzRgs1txdPNPSinvlg7g64drHLUT3aUt9sIA9oiqFlx1K6L2zeIb5mV7odQ
3WklbPXCyq2tLotr1wGPjGkO3jvqLQZYzHmnxGUXpw/oA3DxnkTYodtVdWg/9WWwJ7jMTI6trwTE
yOxDLDVxT9aXIb+73kiS6KwEU70FXEpKBYS++uAtpae1lyUxhNoCeIZmQ6JTxp1mdGlEsZdMh7rP
vcsIASiDoEniRfJ4E/xLzwe9FEZgVnvhJScDfKUIsukWQAO300dZ/9/pJWgY/66/aZq3P1HtzD/1
rcPBWUEUA7IYXE0UCj+pdnDbzv+3/J0Xx5Llj00KDRHrRwwPgrGTx7H27ewCvgx7jb+RNgeZsyH/
zSaFvfYvZxduJ54Y/0t2Byw375cOp++8USsLZ7hUg9m46xAKMKNC11OsI6NwDXT/2E5JYK4V6ZPJ
vegEchQIAFG7L6doRoU7U3JqmEhN63g02gnJf5kXiNZz8n9fR84gjpCy9qd1G9QUaOyUd6MjAu/d
0zPR3qqmYYXQRq7lr3yo6x5Z6wSPYrbVZrd65QTGhLchGVCtTwDPaNK7YBRrwn3raW25AjWOLz82
m4mAmwvrYlv3gWV/SgVWhg3yZdIIBOUSMFHgzXCkd6Opuvh9MOUINpr98DoIYmYa2En0XZiMwUHz
ZfoSIeRZefgeQb6Xql9rKdvwfmY1w6kOF3qmMZJmIf/S26yopylj1KgrLaS0hJRiq/DdGTScwLl8
p08DcJkF2dot+TP8fMhvegho2D6HYxhg75BzSRhEoNs5pjEU1lr+glU7ocZsk3qV8V2HtqcRdD6f
/kJF+g62Pl0UpJBnIefF71QEh7LW0itLkfsA1MbbyjJ/S9zJ3pL6Cqc+7K1tU7QkDIJop+mEM2/Z
XXqV6Iz/KxLUs7JHNVhVAxHC2BwCab6FjVbs7DrhYwFfGfmMVa3rInBx3GovJfHlO2dKO5BwJN2H
df3uDr6/LQ0aPDejbV0NNcLttCXhoSiy5oDJJ14ZWhifec7QaAunOCRDD7Qr1ld0/BSs7qCuPc+3
t4NXZOtmdnUUQ5bQTFmEr3Z+D3K55mlK8zHNE4OiLQ7IBSBoAAJysCjwaC6IhiLBjQHmVqROdc3G
gUM5GNprN6KfmpSo2JYptgGspNPNpHvjuumLYdGAN1mPwu1g5qP+9sc82YkUhipEht+xfv8dmxxK
f3NsXsLZDP5kMDT/1PdjE6UOBxMLbUCbX7fM30s+YFGcisY8JLaB2jMj/jYYMn8jLnBeQaO0FfQ7
/NG3Y9NE7AjUQDJI+vdkAybEvxybs36Ivx+ZkWfgSZsxVz/OKRmTKwjjun+uPRGSg5Am9N+d5x+1
sdKPudvwbdV01X224vAQ+eqJASoJDKhrzVlmqw324O6cMM36dWXqMTiOio9dHMXBEs5GcR/Us1qX
0hblbj6LeDkx0PMOs7TXSv3oDR2HTx8+q35tPrjEzFA6UVJS/0VxRZxHYyBgq61+U9Ux4cLKxU7h
JWrRoGzzcMGUiBNjACXklNfvmgzQxCTZjC70McIb3hdfsqd25oNEM2NvQ7BzAMOYr3JYE5zaUbtN
xbGx9fM0DdfCnE5h781RXCeCPfYiCPdj5IPtd/DHTUKzQYv1HZB3K6Ric7Z6qV3FfRXflL48tpiX
lk4gc+q+RpxyAiWWhgY/WjlcRjWnJWSX7nJsm0stYec8BHzVlcWWvMA4AoUb+laK0aNcRqaq3xOz
vY1S/Za+IbPZeLT5lVbh6zAtPH5VuQlKJ3wson7ptnLpN35GxGiKb7xgQtKgJzBKF+tbIRcd7jlP
mdktTIBhU8p521eRGlzX2TaveLklQfLceRiIJtdZGSIPL/tg8HdRGXeMTZpNO2rFjTMwsiJnA14z
6AAP20lpYHCJtDPZHFSmsPVVV1qfGjRGbphA2lep3BCOxLYaOA1mLuxFpVs+2X7HvFBoHvdubgTN
slF1/A/Ch597GUlH5BL4YEOQcCgJpPOLDTvWw0FPQEleGHpYbsx0MJ5Dxfs0qAR+5n9l44cEx/hb
Cc75uY7Konn+36Z3/rnvJyDy7HnEPR9ZroWc8I+m19B/Y1lhovmbK8rZF/LtAIQyTMUovssYqfa+
HYDub5yIsJxolC3Y6c6/cuSas/Typ54XoSTScc5A+DJkSM/ioR8PwLjWEsOdjPAy05kDnUMDse4o
dHDVdp3nwVXBEXeYusr57ITWUO88LWf4OYwk/NaT29x7oVXcel5kT4QsdwM5ULnbPjRmJ/xu2aXu
2gkJdLAi7X402EKOwWQtU8NIlsbokP+DdwovV9ezr0nV8xBMz7jtrEU03jiNzNZI1rZGmkWXhmLM
JBJnPfZIZbT6AH+JRhY8N4k6fbPEZ/ecVDVGX6Zei44v1aIRaJnVJFMcVnKT5sDPtNyVQG29vRXA
aej5hpeZc2P19k0GFGSVmO4X5Y8Xk6yDldeL5yqvbkvT+BxKJoKFXw8bEryw3BnTtJWRly2LviAn
1bJvYsc99bIBg0sf7eTpCUXAsQuTbvZSEu/UzA1lHeDhH0q5LKfkpq/KT5U1lWezJuRqmhESoMNH
rGdYLRFtM+5MmSy35hguxzxITzk11OSWjxCg+mUjQLh0ev02NbViuDima9l0uxSSig62WCTtqnTd
eKM0b4mOYaSjNzZdwbA/jHkPQE4RZ9RLexfl/JfVj4Rpe8V9TsSF66F9slCtlOmrSMI7pwAz17ax
dfJtf89YloCrWddvu+GS1YhPJIpzCkzXXBapdUM2151V01Ij2f7iFPlxUuZNqaSOXl4yustdzLl9
ES+KYDzmIIhbfWAuXuTbNNJGIrW7admKnlFpfh87TbpyyDfciDFaOyX+OpvzVxvQRIa63MBS6S86
0t5ozhsow7W1bxMnu5eZPa7qpLueeqalthle5IgfFpWmQ4FU3adaxS9+PwDLCWuCYSx9g/vgAZvW
o+tzb9fiOc04tMf5aej9jaaQVfrTZZpE6yYyNp5/xYe1YILSnVIvuZqU8zlyvGyToyrY1CNWVctL
WmoBdWwdPnbCjk8FgXeSaS3tkHzQXKzXyLaipYhHf6nVs+okubDL7NL0cER5zlXfSKzv884gcK2N
ZlafkdavQtv4lLVcck7hHsreuaR6MWmIuqPm+Zugr4oVsd93DNdfHG081073Ri79XdO6exJDT3EP
tEUPXWfZpqD47YLfA+Xwl1QMfMUmegE5psxYc+eSF4+pdQgfq5oll9CzS8MXVxWK38pLXjTNX0oI
SwvuOQZFZnY175ZPuRke3azNH+Bo1otUwTvU9Dw9augByNtA3eKzIly6WfZMc5GsW5Vei8Z/JHNF
LemxaRY9a+fJ6ZTm7bkTQPo762lwsufWFIfJ5kEH4zouo1Xqe/uwbC/hM24t6CxmyQALad65w3qz
yC2Zb7joVpYxi5wFKys7PHhdax4jUefXDXqm5jD2AgvmlPcIw0y4Tl7VkuMjH7osBzpdZBh08Zo3
myrV2y2ObaZNeQFmbbSMq1FZB3Yb4iLki7Xkd26zRmetbfcw7JzWHR+mKg9uME6kxxie9LblLVgP
qZbuBCuBBfNF14Rs7Qf6onfacNdqJm2oEfLQilneRosBgP93TX9VyqIu+JvpTtH8v/9Po5K+Nf97
U88hVt9vasyYbK/Z9RqcVr9aEbgdCUknvHXGavwx4jGt31Cxzv5JDxvPx6b6+1VtfIAUmf7YRAZg
RvhXV/XPBd28CscANu/WZ6ybhK77y0UtXXY6uRdfdFwDpDH54daqHn54Y66+jrp/ZPegwfmlHJgf
hfE3lBf8qnRevD0/lgOVz+7bnuz4oi3iKF0VUqda9DA+LX3TSNax2RDzwwIRBhxlfjcX/OnkH3t2
vDd6GV6nEfZ5O4xOg66zoJ4bBiHJ9EhFpC91uonByPZdH56juezuxEmn62iUca7oQsbavIQBedBj
+ptsblRivfI27ty8gBVSbMe9L/CxBlSBtDhxC3IN0857NLc/DELohMAP0RX5/Pw4N0pqZBN8GLSJ
TJCBTLBWa7C0eQZOhG5iuJW0OUN9w7r3Tc/duqltfjYyXOMaOpNtpCehsw67qkzXhaqShwLo2UrJ
BBNZ4JV+vBdm3jKaN+WFoxrFPqljujI6oGgXrVma8n4yKge5rpFua21y7K0oBgRusEqYDRJ0amet
8hc6TJRLsHPamb+/XDURJvRZ9Vdo+Vay0lo5HYtfTAvpqnZltDNTKzl0eALkFY/XmJ9tFbjN0VBU
I0z7zJvCre3xKhT44apAeUevdtwDytDgiVbKeuhdIlBkqpght3ln7SVOEBo1wx6mnWRw6Cz1ofE+
FYU0Fw6UybXW6dbKKClE0i4ZllUQqH1v2P2F13XuuuU9P+X+1Dw3qBlG1aN8HqWx8KporyHRXLuC
DKwAHMgNMt9DrKt07RXCu8EnATYrDqOVVB7emhIO7ZhYQIjpn6rogWu8P/Gr64lyi6Z1TdYZageW
p2M6RgcHSsjaZS+7bdtULHPPty6asDeApFXN1jH73WDlCFJHo7kO2KQyCMvOUZ4SvNjkm4ygV6uw
ARh38cp30l0RgdcITP2q8YbbVrj9J2SK8h1tNAKMZOUMo/NeRN3KzqD++5W407VuEzgtfI4iWXta
tkkka1GyTBeNU35pmvYtj+o3Fav7KtaAy/UHb8w2HCBsfKatNcIVlv3K9LhzbOM0If2lkH3R7Q6d
hLZJB8GYDC9yp14xxXEdvfp6J1aDk5oMG6EIJHb/ZDvRSzo51tppkubQ9my9tWE6GZmxNwPj7JTd
auiSp5JfX9OaVF/SXfu9s4EOsev06Wn0m3WQgW+p9Gph+gEldpPrezyf8UooJhKue8VrvLFhLKzG
aAoQRPgN5aIenUPLSfDvGNdtCm55qNpjYIx8mFuxTauRcs9nhCczdfT4EumFS657DfxXnmRpnqyx
eNCmdpnY7i3F+nVelSeMTAQceaes669DDzmGAWQY+zNDXepClYhFDCJ52dXFR4rmRaIln4tEfC6T
7BA1ybFI5SHuxPU0iFVqIMxO07NtxcsqrdRxcl1GxswyZaheq8TddQQGezWr/3Cci4DhIItJ7asp
zw8tcUeZ8oFlcxuvVABOwx7NZFt55dZvUNtOSqs2f3/y/snyUUhQvB+2C1Z1/PvnkzdUghLDSaOL
okoMcqE8hQ5WJStwjCnhaeawcntKvIJQ3qyc3kRZNddVleh3khZnUYzjTVfHJ330V4nnPuhju61C
552cpoAIJUTfkGsADc345onPNKOnZeGTEjgwNydPFbuZK9tdXxD55E7dkrrn3mAhukZ8CmiETCRy
yZZDtWzGvSgTJCB+vsWlT0pVD6Wv2DYZvVOa3eJBOHR+cpya9FB1uCrL4iSZYW3/j73zWI7c2Lbo
r7wfgALeTAsob+jtBEGy2UAi4T3w9W+hZW53X0k3NNdEIQVFUyQq85i9126HicjnSez0MbYIZKFv
CpViE5vJNuL2Cxq1uTWnTvPL2D6oscf7GmIufgQNXXI9PiSiNxm/oLHRJ/3KFBAWK5vZ2ijkuS/n
S4wVXg7W1kIsHYi02oc5eJvOhXyRudEGX9LaispTGkGBd3L9SqTDMe0yRl2UnfyUkJqmBrp4fSWT
9BalKTqPvKf/yBXhGyUz6bq+FgYJCxnkecbUyYM5mdSEo3gDyHUUPQ/TyAPqojKSsvoiK3WrlWRE
mdpLkk1BZsBpobwdOIeMpvhSeM5JrVQKfE/5Emr2zDipWtkdrjaZZsAVy+Usa0/CsZ91NQVIOPUr
F30KBHDNT5pJYjqMroyZOSS+bBBJZeLu9CzpHgu4mEchqvqcMnD/H9LO/xqZasskg+GS7rJ2Nxfj
0PclQoJLGpNhJi5hJwIjOdR692uh+pdqTkYi380kvs2u2GaxgadWB3OxEK2//w6Gza7d9aLoktrk
HttXohOM4m7rIeFJSH1hVxsvWf+PN+Ayo/nb7/rT9r8rZVuahqKc1Sm/QyaAIpB/4VZ8ZgnFuBQn
jd+61hNAhX3f5RKuKwboNB8KX9UFk9t6fi4U5yRak8ChLN6k3qC9u7HpBJmaPNhkigWRnI5Oar7Y
oRwPWmrYHU9TXqy72cnXbqnAfygRpTv5NO270THeixzOJEpBYy2E+CBDBFSoCuqFE3gKWsZ+Ppu/
u85MZ9RU8gF5EJmOEc6mqf2C8mbHpXTf1PXGbgb4oFayM9RYQc1HhZIOeb6d5k71q8xGqDMsxA0G
L/QgLO8Zq1ZGRPfsYUNo+q9VM+irphTARSFpDub9OOOQUOXBagtUaYtlW4SkRyctIF0bfKuckyPy
uyCfQj0wiLPigpGcsupTT2gd/vzs7MbjNq+HdR/OPMHqWrZRhjWyDIokc1clpIqgTsNzCUCWacJO
K+zZZ8B9x+yHAq5U7ruWdDnDICJ7dtqtUkIH07rizY6qc61mN4S4otgYW0ZBBxgnCjMLY+eg4ApK
TXvIp3g3huMY9HV3KW3uyKSEBVCbn26ldn4I+ox2dxuV5skZfsMY/uUj/s3b9h+tyX8/40sh/p1A
emBZ0uvQA87JKb+OLsqmOlaPwGz3TCVOLleP/6EPK5Rg5/x1OP79s74sZP7kUWf3odloDSCw//jN
YYK7ucRNfy4Da5WfdL/cdIwpjsqTs4Ht+HCl+Kenfg26tH/jH+llOqmrg9iEFwOq4//4aX5sbH79
TRhQNi3XsBcMzU8TyEkdEBJqSXyBsQkhYiXUp/ofZpAt03Dr++/x05pnrrNOieM05nL9jBhiTjd/
/xv909fgICxmy2XgRfjpr5mN9sw0oOLyVq4rRh+1Rc356wn175ZxoUD+dft+fvvyWf/JjH35rD86
dwiWHMiwlnUL9Owijvh9y8iMHVEXvTsdG3ZtxuXfDdkdemkgJ1w1bEu+F2fYvwCwJf6AT2ApuCwg
/4GwzLSXx+s/b3aQKi5wA/ynAHFxd7C//PH9pqja1OitFl1BQ6KdzbJV26BBSqf6AoL6qZTKqhxb
L5jFdHDwcm/zLOLq7naqpn2aSl/5g2dxMg5IyZz0OKInW81egsuyR8ShKDfLeb1qC5xNbpY+gm0E
zyE8b22K8kPrSN1o3e7SdmS4af2LnWZftUTis+T+Iu/o1fbSQKF5eOQqV3c51VuUDaHvhBC0+bGL
TdfxZAuge5GmvzDUh8stEHAAGkYWoNjmZmzDr2CUPwlUsLGPq/baJRbYp8u6K2R8M0b526wOj8oC
hPHsqPcLi45OKtbBshVA1Dbz0NKDsdk4xbtrJR+xU18ySyUnc+AldoS2rJtSu1ZSJrgpCPJyPias
/rZwoqCqCP3aSpJrNTfGFWHIBO+4EOFTqoutbZY9lJLhI2wSqANaJ1YydlEKxNYUpGpy3/fTtehm
iLUqsrrGSJ0THtG7JgspvbWbJh/qTZKaWaB48zFOvUPcjseyiFXfGWLsxG2/j7SSeXfBhsJehtFF
ZykbRTTEtMEefGhkke+8wuqwFzoJ2vPWOKCvSzYA5r6gYpkOUR8D7s5VBMlZ4pJx6yprYnVPdqXt
K5PA3KkLw5tJgW0V4x7dTBG3qZdmOMAUYfs5dMObwla2xeIuFA5FbPU6EQyxbSJjEe3ENKeRI+gD
zA2oE9IyQsQzdh4S4VdhqXRyB4Jj9tF6ceZrDn0bwIVsneZcjmMWvqbOsLejujxjmZwCvugUQIrY
JCIfA3Xu1yLU2nWfw73T9eqWxi8OHL0fg2S0eCA7x7qojWnsap0w46ibP7paNVZl01GeK2a6SmTu
+R0hxzuR6H1AyNgZhbsXuKP9WbMrWLObv+RDm/tGy6NMTzcGUS/STRkxl9IU+45I2tfekUvKOfOd
xnXSXduMGDejAQh92OxDuj7HBD45ZOGil8kRrnc9j7HnXIcqW5fKTM0dvJwXL9Hf6Xa2jjK2a31s
zkpG4l+kMI03B6Jw4uodTidk7cGpYHE2nn2DWaE1D+yANYsC3aJjHespWxnDZzrFT2PEe16XbsHw
pGPd7YybyWiNa2fIXsgGaoLQFSifGlCOlTU9jvTbdEaooUehgNQAe1YUUOClLIDTdMN2SA22EAW6
01oABIoj+4iJvSKYCkbkZOX3cxFe1XZ56kavCboi/yra6k434n2uu8feRUjZJseZ2FydxjlW4rOa
YKAoCMtamYzb91lt3qqF3QcaX3dTjdrRNZj60AzusRHra2ZvL4MX7ZrBPKJj+sq0e0Ow03I0EZFI
LPOB8M03fSnyKq21VtXYDniKe/sg5nbjjtHIZjBx2vYpJ86q2IxxaZKYrdTFnQG++5FWdmAyoZdy
ZatNX+8M4VqvkSysQ9uUaXQNbDRy922lmK9hZOvhOYE6v81YuQQoN540JhNra9R5NMIoXYc8Lzuz
kD3QVxTqA8/d2iLBa8VT+NKZ3W5Gc7tiTLiL7Tlkk4RyfBAROeBFeOPO89WYd62PZW0mZzy7Tu2I
Mhst8zoryQSrZaojyk++RrVzU9s4dNiXbibSaHYY+1PfKZ1bZjzME/rHyipmFnIM9UISXryO9YI6
X3umOHZysvyyVN/Yc2HZhJaXDNmtNmip37Zhs6tSRfCshVeTVHV/agEYKFjeVjmiNrnPCxrFxsjf
nKJHw6J3te/YJIrL5F13B06D8X109E1eIT+ZXWsbmibvwxRli6PIe7LPcuaGmdy5uD7yeUu3tVV6
9yrSLLHpp+SrbcRY9loaagOfcCrWGgXbSnPBfaR9hUEjG2DQQsyLQ06/OsuiTW6ULu0TuNuE/O22
ICNnMrOt0auanw3Is3S7uhUJOR1p7ZxCcqSLRhUsbwnY9rC7VLF+MWONOLNI2Vh1jeneyR+lXVwX
WXVR7DD3C9V+Stz+IxnseDuM6XEox2JFT3YMMf9blYt0TFxNVpH5emsfyhDIaJeUG+Gp+7JxX5nm
i62hIq61lUJbddi4csgqPvhcCIJpQF7RHatQA6OE+UkMVr0ZZg5bw22PSYaGEb+Szf84blD+HszW
jfxOxFhfamcPi4LzGaOU7GdGueIOwtlb1Tl7HfGahJ/VF8qjNPhTq4DBatayHDf9JtOiz8TzdhY0
50Lho2Hpfm375EvZaMdMj7ffyqh/68ml1/q7ehLQxJ8sgvik38tJMHxYiVkF0Y0s0gw+9Ec5iZtR
BwZloxnTUEvwod81G+4v6NzwOEL59H7zQP5Hs7EwTkw2REw0TJYr/6ScxJr4czkJ4QoxMkDR5afg
C/5YTrrsmmxbUecrI4sfK4N6J2VUAXmbBFxtzjZuZW81HiJrUhhSeI+4xrFDdSjLMs++T1yAw0W7
z8jkxQFPiq3jZHi4BNPVh3SJoit09SZS8nrfchB6AKcT5V3HOIP0VjN6VrxhTyKOlaugsFMn2TUt
d17WJd2NiikqKDr7bpBLr95PVyDcEWzmRlDGMyv4sbifJuURy/uDQUm0UnXOZLWmvlAmaM/ugbVo
MMXNRz0bCNnyYRUl6m2Z6NccC4963+RBzC54FbbL1I+Umy7Mv041aKcY/HtoYurSa6Yllj5etSzy
q5RiweoNQgqK+Es1ZHPQqoywvdFdR2o7+FRy2kYCGkNToJjTfhgLxcc+dtQ658qAik72w3HuHJ+k
Mgf7W8yMXO+PdV8+xar3opgOFJXUIMOvWbcWWAIBRqlO5ocWtUjfaeVFCwfuiuKrrmqMGsSt1y0V
KWDwMsr2WjY9yob1fdF/VWtKUlWZHF83jA4HHN4oRZEtwZNyVzXI4ozY9pWp0INQZ0Jh0cYjjCkn
BLAV46gWzjooeL9doIVFwtIlQ8a8dqWckRXCYrZV5yOeokNu4HhsQ0CGzcjmxNU5sYxd19VXYYoP
wmC2BDesrkqUBXaXbVuiweXKSrO90dZ+01jndsRQYhSsvuO835hEGkrEPTIdlZXZUfjl41tkkxbM
10QVQoRgsTBRYiQFsaG8qTXqvLpvOVslw2U8q3hi3DNr137tqk23Ic3bhqBvgPXI67u4YbWjtxke
ND1iu+RAxJ/rbhf3I9mCdmpyDTmIKzJty6y23aQ8/5eORaSjmHulah5Z0O7UTn8c+lbzo7hRg7bR
NWYZenIqc/w8ESK6dWyxvw/7hOyYMTF9iDchgFVNvZSjod9AoaE+lf3WM8mTHqJDJpsQfKT+xljD
wu04iSvHIBDDQyIxudmma5uBJYpIfWvI36em2Oi9eC5IShIe3I0I0L2fIJG4Mk2QK0RRf3eoXf/3
KvenicS31HUSsJlF2EuTu1gZvp8vlcYIiVLxtKs0e5DmF9J+/ucg+E++hbcEveA34CRkefHjt5jK
aGxQs5pXsnnv5PVU3ufer2nY/95ROr+sv7mjPuuPzy//fUktn/XHJaX+ohLeaFnsipaYRj70xyWl
/QJrGkAiwxAN+C8T+t8vKSQOaAAZdnhgpaHPcn/9fkkx8zBRF6AFNBAY4dn/R5eUvjxgP808HAJF
0DUu+Y7mz2M9Q9EHwDpSXmmq2dYHrxUw4UWfmQp9jHQ4E22kbn5XJRXQQBl0CAOY0+3G/V4Nk22+
NLuMnJPWfYwn4DOl6O/Rd9dHdUyL+Dlc6l+7xUU9oWTwQdJSHJOvZWEA2ZW6xZqAErqQ09WopP3K
c/S30NEtHwPEsaTszm0CtxwK8ZGCHC7KvOnc8ZEhxRebkp2UH74AjMBdNFoc426xMxvvBs7E1x7g
8zpLMtRRSxdQDq0kti27BlGIck2dWGqO2pVL80AiHaPwpZ+Ils5irN1db+NfySSBrLb+glltXA0F
ua790pkURdWvOT2SHWkErMjZ9aPQCmk0qvi5k1Ub5FYptxEmQmTESISMRSzUfdMNDYuEiHMSNVH1
TVmEwwwJxCI3IhaXzKdFgtQsYiQoCNGtswiU7EWqVCyipWaRL4lFyBRpSJrIoAUXhsgJwixi9EX4
ZFfM12EiNZv4my6qXyRSOlqpcBFNka5MfR/XrKsWSRWXA+qqZBFakfxrHN2yNokX8CZiMxBlVuJg
Ooqt7T3ZKHKjDxIigiO1d60yzKAju8upkuQcg9THtcvoiqsmxpO9cGo2qpXdmHiTCflaAh+MWn4y
J3uqGnkqVAYomTNsU/ojnwRTNP3KuWE/D3hNBFaZ3o4xySl6/aIr8pQM6CwqPbs3opjUgtj9MGlD
9Mi55NlIxxe30MKtZBL6GraBgc/eipP5jM2LSGcgn7JM6AbMPtzLKd53WYjyI6QtH9ERrrM5+pjH
QaB3K8j08JYAiUX8Z3l57IOW+LBUmneUhxI6eNsERjyuO61d8nUfAHaNwdTmVkABkICXw2cOLeLS
2kMWAKWjxYzIQ1TdiBEB/ydG/lWseWuH6Ahfqstc0YLB7M4kCU+x6AN1VC+ORTCqJPcCdRlSAVVt
jzbpWT5Xu74WaaNgg9Jf7VFjcDgVd2DYBJEa2BbDvHFWFTYpomCQvwPaY0bnfGZh9IXIkZTQD3rU
ZGJHqyTXnUXBNvX6WlOpmLpmytaFtsSRFoO3cXn0Vc2EwKTWLQAMi/gE2thiZjqQOIU85E1b3P/b
4/yqTOdM/+v74/LZv335k5m5zmd9f3+o3AVc3vo3UduP9wdiMzKhTBa8mBT/c394v2DXIcOAvRGT
7G9y8t/vD2bwKjFRy0R9UchZ/+T6wOD98/XhkLVGWhWpBEhC+Sl+LC7YLZckfIjpSuTXxuS0vh5O
w4oh+cM4sxhTJ3blnp6foMXewol7J2pS8R1l1igzcbcxgUGc2nqHRnpXrAYKHlT7Hb/fOe28x3mu
Howh/9qB264Ue4H4Oi94NMqV29ikygzE8OrZqRiMwe/DHpvNbFwGtUIAxZ5wRRjmo82ZvjEK8Ala
WCGeCtFg6NazTJ3HaJrfMR7mfii93VB1D1K017VnXoRL0q/qwV6SI/KqkSi1vj0UAxThSWmOmpsQ
ckk9nY0Fr5m8JQRY2Kz3nRtvPII98fnkmzxWnrpS+B6jNXSHlxRxw2wiokJZDQArb7DTDAT7iQqL
NhQJvNsrfFjIDcRVIzUbb2I13c3gHEVPHo5WNv5cjSx6EwOYGONyVK5KgqLJeslmlCg27mwOGjU9
OIXwgmrQmkAZw8XxmATu0AcpdQj2GnMZVs4rQ+vu7Kks1nNtPS6DSelHojbvPKeLWga+VkErMdpN
Mz9ow0C+DCL0CqVR1aq4VJO2ry/jRNwJUuAoJVihwFtY9djUbRgazbRV03E3Dz05VA0rZwAh21E1
sQAtuJ3Q0h5Mp+z9zDE/SyA8qdp4q55QUxLMY9wCPDhx2D20ef4q0s86tA7MfQvO4WZPACT6Q+bz
dpLvaICVdSxLGM1Of/ZUZkhyMo5cpU+TCfC+BLaZWdNbpVnVA2FOt1Fm3mrIxYdy2Hf6uB2TBPeQ
FRorRYS7nHRmP6qM49ShYvKU0tlPygRnN3Mflb52uV6VzeDpW1X07mrR/7nhsJ89S67UooT3EeXY
ERTkUVW5FcRYrMAPQLwIN0ZnbRZkMHKU7nFO06fU0r8WBr+zMKmesbcjzJMPkxO/RFl9PWJK8sfW
3cl8fm7qPOPLxzvMZo7PgmOdj+0h69Al6sn83EO4J7TqrZ3Ems3W0UtEoInyxRZDG4QGC3Gp5qCY
6/S+M+uHuGH2XXZmw48mj5LZeTlD72udl4oKARmbfa6pq+YY073BjHZSxi1h937Wda+WG90yXtg4
ZGYahD6NJYEflT3rJ+Z7TMXtHJx8f9GNaCPzL5JyoOtR8zRDuC3EsGxCTAIvLNY4NGKuiszJQ/XG
926eASaMPrXWWwbNH/ycbH1WESgvIqgr/XRvzzBRxiIFYFQ79/hdjuz+X2Y3PqfeeGPoAFpUySi4
wkeXqbvMI2PMdir0HxkPYHifJoRyE/EN2MkseUNp9zzGz06L0Iy4NZJ+7ZvGM7548wQHWhmui5Bq
J2s02KGRjjgxzC0cb7G3chlWMO8YU/AQ3q3ExbDCLYiIqUcXAYAH54ntvY9h+ybT6jrUSD0OHSsM
moFc1WyqvHWdWMfSbczr2XC3DAliqi+MeXdlrn2EE5PbSM4PGO1Oxhy9a7l26NJu2pHPoqxbqV9i
alv0HXGzwbSWs5tqP4vSmdcdCn+8FKAyCfL1ViU7ohU0d+57CxJoaNanWSMfTNcOooO2GLe3NfHF
xBsbe3s2L0SxHouMVylkFZRtTPLSrJiI6qIgibPOh+0R/Hvl/3rlMwb86yv/jGDs4086Rj7p9xv/
G8KAkBA6Q7j9GM9+uPEZdyJ715EvsKdG+/RbxwgMmiYflRehn2RHLia13y58PsJqHCGcQfAM2sV/
NtVcCC8/9otLHCQOTw30Iav6b8r07wQxVVExRI+T+LrqEguI8TdQgOVcaTjQqXCjbxQB+StSAIym
6rH2XVgDEwIfgqq/MQiGbzyCwW12uO6N8A1paKKuB+AjypEX3YQHLU4mbR0hvImuTZmLjCWMGXNl
aBzbaGBma06JxW68cPG95w5o4X6yWcnRyHjuhKWzc2ZUaKKKdw7bKk7AxILPOyK53lVRTYhxDlyW
E31I6yvSyNArdsY0OOvIZam2kq7NyrTtlE+LMdD230f/26O/kHr++tG/e8v/LxCf0Z8kTSyf+Mfj
b/8CRAiBNUOTb1jz/zz+xHBRaS5yRuByi8Hjj8ffMH5BvgHEzEHd8+tU5Pfn39B/sQy0I5jHkUMu
URP/pOJlVPHTG4C4H4PVAqWwaQI6UpePf/cGEEkSN3HaGmf0l+CvLDr+iOfOtiTUfmyD1KX97NBk
m2qps2zLEfB3RRhEcR6djC5x3mS8rMgrzJDVa+KkmnZNsQaIPPkGlWkWvgyAvfkQGQt0plr4M8Y3
FI3WqLVCYCaEmiw0woOcbJXtN/MU7U443K/HOZrThnzRyB7OtVGibyqzdNvjdPzklhFBkYsu9TvT
7TAgLglTHokX/W1bTe3eTHX6SzbOcl6Hi5d+NjFK0OXH6lFfvPZ1VYG9y8mmX8ejV/l1VbfrTp3E
0WonbIfhXMKN9ULvrWtyLkuzCqnQMdvOPmbm7jrWrTcWIK+OjD4Sm0qG8yzzS9v6LFviTTEbtPA+
KvML0mAoP4T1VBGRebNqbVqpdK8DxTzgHlWIBfmrgepBadqS9/ekQQMPPDmEH6Ow+x1LVuIqAGGf
cM1mO6nVzsWpupHgsLLamhb+/bonzSuTOfsRt0SlWCPe93p21HFTBjYGbISYYeC22dHtPJiEYe2c
J8ua99LE5YLBJcU8GG8dAS++jiCwG6DyMN3jNndwKAAQ+sScqWzdft6BcboymMBup3AgnrRZkqJD
qOawL57NmLOR1FbEzvhOsFuw8EYT0wICBLY8UgfF8QjKfHFKWo5FdVLqV2ok5R0LbOOWwX/+mahm
fcgqkT8l5H/gdK++5ODpf9X//TvjpQX+m1PrXOTtJwaQP7mzvzu0kK+x/yMH0OOY4YriUPhuyour
DDKabdu/sYV+n/Lav3gaS2ZnOVK+u7ENi2wc1+MkW4zjROP8ox4dBeVPJxb1AOsFjypggb9SCvx4
YmUlMTATp9UlM+Z+U5LHHBSq8+IwmSqc7om1+4Ocbwjy3bL4XuuVe9O10UOYztKfFr9wacqgyqcz
xtRI+TAG+ZAR0RpoBjSEqc7f7RbOIruWPZGrOzUiTKfsio2l1YA/e6ZvbNRelbwv37U2F8iL02Gd
mCJE25Ug4YBcGUb1gVOF0FYjfsosuqHJe5mVFk2UW/uDqN6mRN54sfFW29rz2E+6b7fjmZ174U/k
SQVllRy7ju2plRX906S6rwJVwTEHMLrWBgigapk8QAl/VSdn3ptZtA+h7Gxsl7DYSn/tm+zikXMw
2c6dV28lhKLKQy5tJcNDF4sXVyi7QS2emlqJDo7OUdOYfpb3xObg00gnWmFxWRzR1VQvir74S4Hn
NWppvCp7uHiL+bcQ+t4k4pQuK54KJhF3i/rZ2ZStfKl0EGn8iFva7WVevTTrwBtbCw6OTHT3ITTD
VWE1DYNpMhjDwdgmoXKys2LYFS2BBaHo1kMB3aOxT4hb5o2JUm8J8dpVhJPUCry7Vm+YP9bqtrZn
bq2+u55cjzA21V6pYZ9v49z4bIUwD2nO90sRZVkRR6JTv6vzJLB92KeYVISiSd5GO6QT6hDgteIK
wPklK83ATkAJoU46DVGMU4XkVIv2tjVHjHUqTSdUFUwYczH69tDDd5R4MlIH6B4gUDIfHVr1SXgW
1Ca0Nq3zZpXKHtlcu+ka3Q9Zt4Jjm24Gx258R8OUUhkAUpPKJ5L3NteyJIj5yyml8WAhW6mIP1iD
9XJPlaLtU7c4lwlZB9n4GDfNO0J1Vn7DFAazbaMDTDrGtzUqFpm0+35qyQjARdgJytmZORqBlNlN
iDKO/IVxB0Or2NQRGjX85APc+72hC0JRHPcrf49jUZZXZh0DF1C3lpaqfhYTi9zjs5tS4y6Z81cs
lsdWG87FrANGavMDmrKTCrtYz7iDUrXcu737npBw5MURukg9Ra7Y3A+NuCs75UEU9l7Ni0OHAB4c
4V6CTcW8/Zo36YMtK36p83AyjfpodMW561lLl3K8AXyzHUNxMjsb7dCwK71ir9XmBngs5XB8gPAC
9IvZSYndZmjUazU2ieGb6yCM2ufBgRPcmPNG1LDxOhCB0+wcak+/tUR5lKLfmZIoZHxF3T7pcf2o
9Tkqnau87D8aAYjWjfS7pmieorw6Msc4d7EZxNF0m6spDjTe9DKNNwAEniLpbK2o2GW2cPeo5LZ2
PyyI0fZs5B5FgWOwVoj2pq3fZEoP00Ct/Lir97Bxn9WRaYerpmng6d0tOYKnDjDZCksZabtz9kxr
sHM6QrenNtDHWfE7Nz8bqf06u952UFgueMMmFf1LztIa0s7XuYnIUWWxMON9F0Q6IqualTy7JU9l
8glTSvWNW1icfaNhHJBiYn6006MXdSfAAvux7bjtNY95VHxl9ukxjBiNJkV0HkKKH+Hl7z3Fy0qp
0wvZINuq8C41RjDM8yPgHFVbC0t7FFp3GnGDGlJBopDczcufkAL5vQQrWDQRQrLhqEXK06j2V4am
XVRJ0WkvyRDT8KYrFF+ijEAfVwAhW/4WtWZt8i4S28rNXkvDOE9e1lJG1TtZJFtJLnzQ2NqjQwpV
1cAmilnWNcpND3nD1817EkrwuMzvSerczewGTrlVlXs1Cm/LLD8ri9gkrNK1OVuvWmlviRlbmQYM
h6TF/zjUo76TJNvoevQpJ3TNTl6ox8mZTlBW9I2mldZGFcbWqSxwuGlcwh9xAYhE6q7JuudmEHdV
Pp+mLroP62aXK3OEmct9zAex5TXfg41+aqu434/mtZQySNSeMZkNnywbt5ZZXA1tdC/UuQkYVO4U
7Djt7O7rxgZbqe3qyONXo10pAEZXMbHgJMreySWyXWUfFriEIK56DRayYZ+blPt+zUZGJ8l6qMSj
lYmWw992jnoeLma2tN/ElQ3dbXZWwu15d86nSsAbtWteEvuiXT1OWyfKvWsstC6Dmz5fz4rAOUep
vmI8M64YYL33qCNNO0823DDWKoY6E5T6stGJ2Du2uzBGdDjSkKyK3usPCdmdIDSmr3nd7C3exStJ
Ir1vJAyuWCW5a4vxY19EOvBuuwaAxBRJixtHWWWJjQ8ni04shMurvNLa50RzgIpYc62wdh2sm2aA
gp26M6uuITWRsbMn1titzmkAdOo0GPUBe9217sqNOSZrEqwfQbjfRhUpO5WOJISsej2FQszI8jkc
rMR3omFdawRx9HLcdiawCaNt33sm7Jp0X8zQOPfDxCUjAvymmzZkQmU09yUmO6je8Rsn66Nq1Ltw
iK9Ua/wME+OIBJQNWAx0T7BPaBTjuZytoyOyM655w7edDG26BMecHfCH4d2dSPGw6/AqUa0glcVt
2wCFYuG6J/7lZI1ip9U4e2W5zzysPoUqA1LZ0SMmxo03ZHctgq2+mHAO5vl9jl3LzxR5VMWwV1Xl
7JmaTym01cdq34beVpHk/DnVEX35k20ax5QRH1Gr6BBdrMnlR5gAdpTRzRhSKUxWuZ7DeE24tc/o
/TOLvZOSEz/HQzdiPe+89AODBF5m4u4KVdzWerIGle8TBw3XNkMsO6p3jVRglOSK4uOzR9kcMfQf
NmEPPGcRF3Ue4KxE22Wd/ty7YH8SbdxYgNgNltOUFtUKO3bF6S6fU6Nj92wBiGa57kkGMV2U4oBM
HuEHbg13vlZ7TPuy1e6ngc13Uj4Vmq0GRobvUenFl7AuekKgho5NLqsaS72EkQE9vbXXIinXZuhs
E0/sIW55mygCWCDnz3KyLm2p8YqHtD3ZOg9LVAwW5gGHPQFo+HU42e5VoRWH3CRJPWV2E7fqTWoq
p7RFe6RExqZplJrFQwy9p1GzXTzZL9aQTOw7KlRB6XgaR7eDE1c8jdZ8Uyr2i66TolcKxvN40oAv
dhvZ9KmfN7xqFkQ7bzl6qgUzXnjxLqrTBKWXPJfskGWkzFeKXh9LLaoC3W7GoKozwLAj1MepgnfC
f01yCrS+uovEWG5BM+4HBwD/1HaYzJdb2zKfR403WsIGOahHGs5qMi+aFBcYNL6ZmDGRY3Nzgja/
CJOMJx299WGowxuvSV+IVjV3y9sdhz1L4ZzbXNa98eLG0HlK80YbRnHyjJx4xnIfleq9jpR6Lix1
CQ7fRmoRqJk8VZG67RwTTreVfUVdQdNr6OvIcO9lWxwEAnXZ29SZcLoxzjxDebz1RsjteelcEi2C
eZ9sUsecCE9IHqvUezFH4xZ8R3G0jCT/f/bOozluK9rWf+XVnUOFHAZvgtCJHZjTBEWKFHLO+PXv
g2TZJC1T5fumntpFoRsNnHP23mt9C0G2jtyqVR/I9dmCohPIaYzydc7Y4EyopFUhRfCRcrXfxCmM
miYv2R0DNROVq1GKZcqIuhZUD0aCKsdOouiCJ0tg8GLnTcX3e5EWqQCM7XQceOzxFpjYDwWUHIni
KMt5dIoJrMzzQzOP5K5ffX6R90Ic/HXfLwLYAS2YIlFKvq/SEh+sBolE0UmctkJ+EAGbCup1O1x/
fpn37as/LmPQWlZJkF5MTu8v44uiRRUgcnCXvw3FjaDs/vW/T3canRlyM27Xx3vVWJNeMG5NT/nA
g7Yxfebff/YMf/Fb/OLzY96TuUPcKLyIH2yIgQHCQtGq7GRSd2jn2h9Stn90fP7Nc7n8DG/uz4ff
GlqCFAospSd08ALzREhRhqtiGX9NY/fzr/KLS8FxYRJtqhpYOevDT8FEGKrKXCQnMd4gwGxFu8S6
pTpsw3hZPr/W8rH/knl9/9nf/Sz0Lt52LUUpynpDT9NTqTj4TSAK8Gqxpk796vML/epLvf39P3yp
3IitojN/XEhh2k1vLVyxjyxbcfmbZ2350B+/FIMILADsjooso5J7+6UULZcLNt781CgrP33qR0/z
v37+dX71uL25xMfHbWZeWsA9yE+5+RT7D6rwv3icF204rU506qgE33+FuEq1ViVQ+xSzAir4u6b/
xeKFzEPUF70gCpJFm/j2JuVCzvlel4rTbDwNxrHDRCS2v1m7fvWj8xAzfFIXd+di0Xx7DfxoZT6Z
c3aqOfhNDiYsSbvoa7soXfThn/8iv7gWsfd4RCWD3Bb6T++vRV44AG8UFmDcOZN4OPpDEByVXXDG
uvx+qf9anioPwZ+LrvvUPv2fV2Je2un4lL3+3/9hUMN/cWh5/73pufzlz0mNLH0hGEqCjLnsjt+N
uX82PbFmQKrjp/hT9fqz6Wl8kU2EQkwrf4wq+X1/SpP0L9jKNahZy1iFzfZfTWpk7f3ysNh5eeoX
jwXPpLF8lPdPigW3BMotgcj5GBUraSl3ajmV3XTM76JaMT15KYoaGXtCmhhwc7V2W2kS0lExs4ss
G3YcOCFwh+hVW7HbBEXgadwPV6kLqq28i1ccf73YiJ8Hn6R7TnNURHlGD2Yp5YylqBPKyToPq+xG
W4q+alAm5AMUsAkCwoBcJTG6o2a5zrIoPxkSIY/FKAHGjDiki6NEnGQa3vlqkMCOtC7MBJHQ2Mmv
pOVCNYLZe51X1oaIrrO4HKeVOOae0IyXlTScxqJMt6lQHXviXAO1Wmtig4pHG/eZsWj1qa/rqTg0
GnPSoFXWCecC1A7N1ymSZqiPQe8ZyCEcJfLXSJGuVIvAvlGlsuI4CKoi2vap8SgtbguCQ4/9ctA1
ZxqrnImdbuSIXUSSOyZdiHcscS1tvvQDadpogsSt6aL+LI1wmmRacLTKaEfUa0VZlnpzK7zEcWrZ
UVUZHPSj9TADYKx8o6aCIC6U7TlawjVXXWqeKwECVwW7AP4WZCytchkjXymaF9ksvhn8cx1zZ/4p
uouh1DyFXa46jW8AYTFaNy6QWyhLeg/LJqmePX2tVKW3ODUbqImXzFCK8yqTDtUYj55YSSUdmaJx
GVzK61mWr9WZ3mvSY4EVtBtWQGtX9fEmQVcCCsvHTcvA2vSTFXXnGRj488Ev3BYSIjXiqhitDvNa
dGepjbrOR/DRPjQS10oJ/IsYNlXTvVxkKzUnw3CYKD6V/rJvBIKL5uGVK4/eqKSvvVFJJ5CjKNCk
6TwekaL5SXiwOsHfk1f0TBMeCFAtyVu8kvpjKGSGVxmdpXlTDm9dnFdaovk4YfryGPQCtMqgaC5G
KO1LlMYiBVNKojAAGL+YpTnA51CofoxVXY6bVvFXkwbxSPHrB0ulUadOOa3AkktA6C+7ZFMPGE47
jVtsBj7nqXC+UUpsfKo8DdB6jCs8IHRDp9c0rBJXSrTL1IdOpuNWBih2XIJaJPLWvURHmow+6yWe
S2vbFsbLuPifqTg5y/QcaAqpuWhJH+ZFPPggTF2jHsodhDWHAAEBZazqIWFd9DxmZ0vjxF+M8Fzz
IZhWseR/S0v/PKUT4KpZK576sCscvSNezJ/Ts0rORW8W9WqDK9oVaM8bfr4bYrlxI19+iMu5s9Ee
tPuQjN+DMtTaqyj6yXUh4kFJe3MSbCkNh+LHRvjf7rR4FP55dzo+lZyxfuxX25f/+z8/khGXv/lz
X5K/LIA8Fn1Dxs23nHje7Es6zWEO3eR3/rAM/tyXzC8IbhjsM8NjSPbdqPFzX4KArxHVAYjlD1HC
v1EQKOJyBP7r2Mq+tEz8OCPj7LDg4H3cl+qqyZhBy/OpLBt0qRTAdm0hfCy16UaKq7W/iNwHqXL9
snsWO/8x0keMgaMK/91P3SoRbqy+csk9P2gzugGtxbnup60tBtFJx3A/+ea5mAZAz5HLeNUgrpPR
OgyKti+yYm0G1qaLZdpdgJdN4kScOoBzjm79SteKboVv71XQcxIyrJLVTQ0Ohg6/RyB7wjYrFg4Z
SSuQ3nWmRFtRGwynlM1bgv/OaUudNBwkeLbz3torfYoXeFr7I/bcSbMu0ji4CmheENFkupMGcDpI
CxFpkPo6FEEM2r4rOZtwnUnr17NQB44CDAMTwoaWmrgih4SBRIr+oKVDhNY4KHcdw3BPLgl46mTD
cpOwcqJUQ9eQPgeAr9qJj172zbqr6ihxCjBmI2vnyhAhGQ4sUHlOAFxrOaxYbq2m0hY+45kiptFO
Anvhs6hDCiORyU+YdyUw7axBv6qkSMc9VrcOc02+hVWrJzPVt/nQiaQCWch0Gy3dMjw66ljnlDxv
nab1H5vAvI4FU9tGgrJRJ/+VGpq8c3VEy6BnbsPA0ZYLOAeCqm6K0G9YuDLxmkldQ76etqXDOLpq
UCJiTTcjMBMn1BK8cnNTOUXU+Ftma6KNFjK2S0IEIppV3hxGE8F/BKJoQfK1lmgf9pWEpUCY5Uur
kkzOPQmuOmzWAFBCV8Avs+qHJUIzXdI0iQPPt/qSsIk0anAGwSTSm/jN0SCHs0eabtM5iddtoaXV
pm6Cwr8yIWPsiJh6CYSCUD701bu5DKEop/W2roJrhok1RYi8UYWydahOvCbsNK8npt3s8+IsN+tD
02TfipGzizoPeIn6+7JheKHP0W0nV/BQiDFF813e940pkr8177uco00mqk5txrATTOAlBSGJg3bI
Z5NXQrglO150VOiZsUxfTQ/UE/kD6w4VjBZhAWpU6HmYXdaxIe/JNyhs0Wof59I/9WJyY43MaDPI
2oFcaWumhJkTS1WEnrNoVlGYA5dLDmEgOGMahB4ipUOeWpt20ZoMhvAS+dENvAVEP0IQ4rYXX5So
vO0T0xUC4lNqU5ae+lrzBEl46AmvtofWPCgjCHHOrckFOemPRKycNZLxYszNGY3h4yypZ0E0oyMp
EOMWhXzICUpIRaYvpaGfKWPt1DX9XUEOL/tA7AihmIgovE4ET53MszIi97EHG+WHUe3kYLqiHvp5
m6QXJlumIxf1Qym0INM732HQch5qPpui0rrKAHMlij1B0Ddzw76GR7VyxLqxnBqiaxpaB6Ibt0af
nBDuoTbiVyf5+aw3SK1MsvnR0vt21Wa1oyMg1DCepAJBHG1f7bth3nIcfJa1EpKfJGEXHVCzRvFV
m2rPVh1Wbjdytsgr9PsCqBEp83mJixCPUdhiwWItJIw0HddNDsbkR1z2fzvuInL75x13Ee7Zr3X+
VL9E+a/Ue/z1z71XUr8Q8U1HyyIV5rvY7s+9F/WeKbL1quy8cHNFCvefe6/G/6G7gR8fn6puvLU7
Kl+AKEMxJCMD5QpqmH+z99JS+bD30lxlwyXMC+cLQh3xY6cChm9pSaDmhcSUOToSQ2WCvt/q/VQ9
9rUCEKat2pqRI/nhhoMYW0OkP1RNfIMGBb/FrPfiMa9l1QWGGgBQBSLRXzCDLKanDgPHAogdq7mT
sfX1LDR2RXgO0A1oiVgfCKyrZuZCVh0065aQzPDKbOGu1BrvkJ0LqIhsNHzxdUY5cqMi9papTcXp
KpRMzGQy4sNVCed4Lkic2WAbK3GRdcZtLvUCA3h8Gbcl6nfeBq2cJ0fNZ9gkQlPldMdLyqWkLx+U
rIofBK3UNvSkWrKt+tQ/GaIUmHZqxtGBzcTsnMyfMyKHI913rELe5oGYOZkSdzSmjexo6Hl/mRGd
AxYjkVUm9Hm/oebQyJKozEcZb96M9cUqZhtsnz7ahhlpBitmalwKEgxXglCzaANVZP6ayYKCGkCd
mtyZRNYDEhAsLS6XwXGHvsLslXat1fwgnLdHoX9gVi1JXoLjx1NjqQtzL7ZCf9Y9FBXzYtIZFHLN
NlZA88KbyjpYG2I7XzR1Hz8qVt5cWEZjAIvSJXJsSMi5RrV5tBRyGInR4G6e50LQE1LWLIaSwC+6
ahvKUuefTGKfHxKifq4p3lJyUvUFJD3kYpRuxO+MacFceNMVZrqRpORIHV71wQxeLaRja/QHPvqC
EJ51tKCtGwEIUibQXk7MqLkPFamsT5VAEgR2h/9qhR/nfoVG9+cr166A2fIrlMjypz+XLfR7aHkx
AlMbqO/zr753uXRIIRQGfwTD/Fy2QImge5YNlhERFvtbMh15Wpj5f/xj+pIZ8y/AdD96mu8qBgLR
mXegH1QpJ/B/v+9k0dzKxlGd6tMkkF9U2nInVWyCuRlzMgvzU6TqB/xG4VHXCOOFYH5R4U9hJREv
FV+9TOrutSDyyh7HEIFOfxYa0grYxj7BSyz0jPRzwtFzyZ1lHHy9OmLTU/Yi1ANb6bIjJvaVHxj7
JhRWxSRcgPW8Mab8TkOeavoVQlcTVQmrx5Rvk65wQ1T7th4qW80Mb1GhOIIqXkBZOnYIyVDqHEej
b+HLjXsEeLzZEhK/4EajeSbwjby0Hp6tqD34FiHFtfKoBCiY23aX+zq1CTGianX0w/BoFSNh7Sqk
iPLYMTpVCgR1o3wHMWYTIoSxpskWkuIUSzG8R8mDwOpWzeyGYv9gRc15GHaHYJicniA9lYk0UqBj
DcyaCM8GbRPm8aFDXNTtZst8IunOhqFwF8f9VmgslwzCyzCY10Icu3Cebb2siVYkEsYfo1MABRXr
vCvF+o3WZJt5ai4zs33O5fEomPkx9Kt9r2cbjQBngro3XcXxPii/0cM6snEx8rcAg6uXRmhgdRTK
TWvkOdSv4ZB0NDOkCQipnzwphXpplTqpoz6nLjgondDuAzlz56Df1oCXUXVcxhYkaNG/VRfLsqV4
OmEudoU6ArStis1OrMj5qA6RmQ4osCqkYlDs3CLSnwxgSuuyGgk11Bj7j+WdLCOVzobxmXwXa4kA
RH7l/cii9Buzjjcxvmm6Mxw7T+o8402OEa4o677OOWsSXuL2I6IUxmvroiJtgNXyMinacpfrRAI1
FbILKZWUAyP43u0nvOQQ5DmT56hVfGWOL2VJXiey2FDyBps4x+JIkWp6fCXQKaT9OFLeGTYtQBLZ
TDF2OmNQN6gbNSRN01WkTpWLMYr8MEVPVnPXlk5RVsS8Bc0NxRzOa70jdyAFI2JC+J/JrNTAUVnC
EgDrfwW0DwJfPc2ytlLr5IibfUC73TskxL1yED+YcXsnDPzdoe5aGCmT2jkVbTD6i4EXZcUFDb3b
oaM9SEXaIkdAUoXVDplSqT7TDsaxXueEjjRV5zaqdSQ6Ec3MGL9YAqKDXu0yp+85Aiey+RqU1mM+
yTewRV75/CQZFGKDCx18vFKihA0zAL1aDoGXup22dCkRn1ajHIvobmU7ztW36jh96wyRDHFzpxZh
tBoFtF1BeBvNqDuytDoiWK9WgM1DVhxBPxSpz0yXVIKAMsmTw15xOxWgzCDl91DbuMtV9iIUJpXT
OCzaoiBfxcm49YV0HUO7dKy5f5iXPGB0GSfCmZ9hwzyPKpOiesx4bg19o+i9xl+mVJt4HeQKiV2Z
oqxV5LVfyPctCirIlQb1OlV00DV2p0f3U4Ap1hLUr5FfZa5ukRTctc9CVy9BBLDHfREBs3+nALJz
JmrpWQanrKLhUTpBduBegPGpy+twUDJXjKfJQ+LK4NL375WUwskvfYPnS1nResHObA28olEyUWDy
WpLejqpDUb5lIo7S3g8W92yNkS4CpZNVW8RyOp+t3+H6O40ZPAFgzvA/FUKORfx8/W0uirt2gO8O
CIa+tzAR/QnuLQnFqyFoz7Q8vJYmgwCaGPEmnVrbVAfF1UdhH1G8AjdLbuqQznyUlYabGmXaXYVh
kq/qoQlCRygI6urx7TpC3IdbtSWzOoXRnoumsEbbCw0iB4meNxmMv07GiT1hGsEbZUhjehEVEOC/
b8H/VVEK8+fPzyKHJ+yYf29eLn/450mE5iUUMsSDBoSy73Gbb5qXmozvTsPLx7D1bQFlfKFIghdD
fSQy9wKE++dQzSCx3WAArOFPQGv174Zq78fhS+vSJNXGJAzUwGyFcP/9QaTphg4K+TScxOK8DlRS
ig33zU35hb5jmdn/ddRh/idSAHLQgQZM91ZTl/HvG3sV+cWJ0hldd2rUeBcZt4IIm+yiUTeSfz70
R2zzn18Pc8Zvrrh8ojdXXASmEWVSh7oHqIn5fegBB4oBSLHMQoa6MHd9S8NFXyYljb7S46miozb6
mtdmreHFy2SFAY68BcG45Jogh5caRoSKGe61Ir0F3ZU4ZS2+9ELyjQDoe+TI5wXAQtugIYk7vp4c
WIaarcih6dUpBF+CzQJGKfq6mQhx1zRDIUczKtb+NOZONEYoZ+uOSLFZRNYmR7iBiKvrokuT052l
KUStRYSyVD6/EtnHmW9SiOIIVyc6sfpw4dNFtX2akGTlnPehYlO3b3Nxoe7GwRlwOdyQwk0tEH3c
54/9rJyPRrjpaT15UtusYeev1dLchUT62KFeDKgp64bG9XQoMF5eGS0VLkUtJd1VQb7FRq+gaKGh
3VQYE9qLuUSO7HRZPRanNFD3rSgtPJeZkrRpZ6SeSvXMEGevY2NDV70vjWg7JljaLB+pdHKcZv1O
SmmzLuUS0kllVcvRV+y0L0SUad6gqYexVHe+rLh9Uu5b0G7YQ7aTEp2Lc+XkfkUlOe2Hadx3Zs1Q
bibTJtCGs6YX7yp65qpKsHuWzzdaSusdWGpyjLr8PE9a+oU4s+ZkJ0JHgm5Pzk3S1lgORpMWYp+I
tooqoYmNG9TWNbgVMVjJWQkdohvadeoTc2NCdtiTTAcTwJTP0oztfTipoXnZdMyjJcyFqK7rlYRA
1U+j8y4XroY+X4VgwuxiSRCMLOSp7YsRYhiQ9PhCRkRrdVlHSIqE+F13UX9ekPRGjckEUh/U9VD3
KxGnWaujM5ZEWLXFFVmG55lfAa0e0Xm3adJfjlN4qfvStoZMwbjvHuutMxpajeBWUJw4qr/lCjFs
yFjBcmAVhKaBDAypbv8qwuLLkaZXqoQQ0rCwM2D9URQCAYUBl31wDuPmoBJtUGkZMAjNg0/NoNg/
a5piUyOxbOZ2UZofmZq48iBsWSguJjPgnBRx4lNUn0g75VYFMirzhjjVQh3MtXTaJAO99jrNUWsi
2FcmYZc08zXlfMg8t+UUVVzF0Kk5uvNY+1gYO1N+srr4CdPGoQA9aKNITZyBiEYAv0OG2683N9+X
mf82vaUW/XTTQ0piP9XPT7+Cwy9//HPjw/bOlqLihcPF/qM9+OfGJ35hHiciMtFk7OeLJ/1nCa59
kUjhwWCnL/O572FwP6d2yhcmfbpoLk5dWn148v5FDf5+k2A7shj9ydTzuO+ZxSgfVEdKKAlDO2Xq
Mcwe5+Y4jg9vbssvtj3kLe+2oeUKCPQgzwOyZ9/TjA9ba+c3KvL2sTui8veotL5NpXpM/fhSq9tv
TPDdGju7m6kK8FAh3zLs2tRV7HUGmlRd0Is1GJx1btQboRGv4y5cqU35IuA2sglr4kQ6MoFKBnsO
05PUS1rCeK6tlFOQNRimRjC2ATfR0dCqTABzppl0U1HbjtDKqIIYawMx1RnVRagh1Sh9ISzNh7eD
hFBtZOp/MRDuY95LbLjq1y4kQ6uVjIBDdlidSRZDgkAyT0ZpCF5q1vf0PxWP7i3ViaoO6BYGRBhy
0a6kmnoCU+EZCM5H2hN7El6IfMxYrIO+2qR5sWGYNru1X137WrpW5oh8kkBhMcofBZHoZ0kdv2WJ
cGpHq7AbzAAr7M4ucvsrI87IuSy3SmU9JqKwyctu15Yi7t5uuhgTYqnmMcejVrtSm+wqw3jypX4A
UBKTIye4XRI9tcRXA9ZSbRSdmzSIT8LMn+cDiBD5oUkCwiuNDVOIvZqjK6/l/pDCXNMhndZltQEy
Z9iFat3GILYBWqfntQ99s5nDszYSHyhFW2cS4p26CH9TGF/yrFA8zupVpOTo3Jox9Doz2k4pvRIt
1jTwMWR7V1FjF3ry2KmWN4hMfQjwQ7Pf4j8J8t0419gB+ju1UBxMUUe90R/YZE9JRAps5jM39TNM
2v0hHOptMQ3bYIzvML+w/1kD8oVhT6LdFQJCOuNxeifnza3kG8TrdKui1nfmrK2EsX7U1RYHWYvB
QWkeCr4845cRwMn8AmvJA23jwPFxlWTcl2RZ2V0VlOyUsG1as5GR4+Dl0o1H3gJ49fFD4C+cNoC1
K4GjoFFW36Yi3pjgZFSlfFyQ4IKAsQEKOAFmMW0FyxG19HlO/IskQ78EPnWfxHWylgL45KpgXIcz
M96yC8EcQVARs+zZkuioC2VIoT4b2sEcm3wXRToKjxKJh6ZfxZZ635UNoVRyTZ+9XN6eeLgSJdTp
HeBsuSI3R6tGhEmSdjmaGHK6qUvPGLYt7CSl8ay07G0Zr6s3NPoxaGVsDpp+K5I/4FqVbz7XFn2C
EIY1SOxSZ16d1T3Y22wSaOkQpRUdxzrS9xXHDJcmALtbUgYOYdD0DMArumqILCrtBNFrZ6A+eesn
l4Wpy3jbO/EMa/0SpCYz0qjPWkruUi2bbd7R+CESkbhYuWo2CPhiL4i6PVAONuGkJDBshj4+zpY3
jzJbppqWXoG4BiRilJ6MVEwRzAkNsb18Y98vv2rzdFv7ypORVBvWN0z0UuZYBF64UyrsfTo2S19H
sxNdw9oOofiq0BgoQ23y07suyS+HHlIgIR/khZHmg7mpjlVXMaTOLcr8DII/C6LEhzaGi7yD9VHS
F2ON2gWVv0mVyosB8JVzu4eAvA41UPmpeIfdgfJe3A2Wn6KvSh7VGPdQEy2pE75+JrXEq/lqZDyX
Az0AUGMNqjDIw9eJlIEExoSmQNJylBk9G87XhJI/qg+zmRwVudyQ2X4hVZhRU+woY4btfx40lyVv
K5OojUVCr7fphOlLKK8zOeOsa3ep29SEIU5Dm1msOd1uEPXiMVdbgfVXILopRAvR1dCBgQK6dQmy
tVAQJTlTYvSbPg77dU4bb83Sjyiw4gpyl17nyDBc6j9r1xFPv0NjccwtTUcRp5hbhjMhqc3GtVYV
tIJwjUB4lJsKzLvvI/2qrnV/ujZzbb6f/RyiSsc0WyPr2zYwIbYTLYJSxB1MribBCPyhXfdad19H
qbkazSmanTQaQnalsN2o9NnsZCDFngBld8qKB70vkUTQVzImMEwFzgZjl1TTjRjGXh8lYC3L8KZL
5Wuzq6yzcRp7gOpx7RZ+OlHNIIbA6PWg6JbiKqNa3Xd6ifetAIWZhDzoRtQhS/GVe3m02itf1saV
2TE+iWFS/KZKfC8lZZpJ8IwucdRAtYqbXv9YI2YZStMgzo/twi4diX+iiBrqZvX5KWBBD7ytfv+4
zqKkRmzEa//xENAac5ZACjlmpCLCuLthVcIdmD2yXNb2MFmLXS3d9GMJPjnZNHK4J0vTNuX8jJVq
r6EYickFh552qVeip4SEu1stAQT+K7hvalNeAXUmB1UMnj7/6L/85CCJDMTsGh4ZRFdvq2gt64qo
tZL8OBD5GkzXYkxGWPGDM/yP5gzr7+Jvw1IVShhGKuDMjA+/Q9ORbJIlXX8s4UOTOadulYKFQfQr
9o2+1zxf6O+FMi0ucmIsJzIEBnNYfOkIeHyFTI04o46au4suVKyrnF2pK3pKSolCpiAhToOphsUv
OEZCtKPA557LvDd6BrN7WjSseLqfkjZFyoKDdh6A2TUS4bOAt4lFU74KDC9Jue0cViXdnhiwOkWF
Wz+EC8BWxNEm1EmvlF8j1XiisqJVCP97NNIDjmoYIMYkECY0xAcxxAsyj4RPBBL94tCi0SJFwa3f
Sdl1NWjsH1Kw1zL8sg2J6xtdIp+tYItbLGN0ZRKvFOUT9hwCQWdKWElJ97741KmrTjO2rIsPpoCP
2xikzRSrD6lSh15e5oQbIs1RBNGdVY4eI6+Zi+O3cEch29QtKYmZNKK56p+SSA6/0rNYo4vMXCMN
D3IxMy9qqhUOTXqg8niZ6XpK+Cw1rT6PZ5XRHD5/5ujlf3xfLEQDmD94HJYR2fcEtTe9G18RCsJS
tfZIB+xJsRp6yGWfHnVw4jbr6WPQAOdDN+pI+uiaUYolQUkP3BUQ4iHxonLQHBBC2cMsH7TCvFfU
PFw1mVatuk4kY0WTO0CMoOx6TPnEo6rZBvRL6Q5StPiBATBiWb3EvU9TRsPLl0Wjg5u2YDegNd0y
coP2v9Kz+Wtd6E8WGnainQoDm618o8sTZ+cpAP0ouXqBhKvWBKKRB/0+phsz+PKLboyJXQ4sA1ZK
ENB47Vvx3uhrpyoUxHoTT0hpd5N8pfX9IYnDqyrSLjPDWutTew9QXrU5N4qeXuGdDcEW079Dkawx
LVAIuxVpHLmSLjwJPBNOaSkPkiLcSyHawqqdFS80EILNAmq0sfAktV6LYry1iBOBsU7Ia++qCV1l
0xzODEj2g9Q3bPO0ddL2Wlkm6ua4bVBFKIP4tVLqp9wg72XicxJSm6ANQrSzN3J9NRTAAAwYClEO
Ut+KLpJSSLbYSbyimTw9RWxUcqBBy09dwsvYC9YFObbfECktOTA08hHit22XODoaPhkYkySBwWhI
hlZIWjClIPNgEjvDckJFj74XoIIk0kBOdLskM53jkraDECdiIpxl7OLECmxMKX3oS0LlAzu3tioN
PYldM/UHPMjYl+usdDuhivELC+t4MM/mGFKShRxjkILBaVCOMWSQkBabtjaY574pbYKc7N2h2ucm
khLCkAVszQOQ+tTYqcFwVi40C60AVqCUESNRTGFhSfuroUpIdSdWgPR2tEz84VzXPIOon8E8ZuNK
n1YFQy6jv6NJw1xBPDAEJpbIV/cE8WKs9n3/rJN7A6KHJDlGTCLs0M9uyblhU0xQjcGebOqeU4hR
IJYnNYKkx1r6zdb2mzf1o5FKDq0ptsqko4tKT7E5ZKCXRhT3/nBK6oNExfL52vB3w9u7lQHq3bv9
SA4Bb+UZK0NRvCKa68dLFKl5cM9A8PMLLb3193s2a9Dip8QfikxJ/W5DebMGDQ3CNTgDI4K8KfDK
CJMvsvBrDSnkNixw8iVjf1aWEcpQPC8HswLQrMcFqK0Y0MzAv+tgff2miuYFARymzWD+VoiKE4ye
q5TjG1WP0zby1RjgI87bYJW10WMeq3dCmJaXQUdkkgbQcZ1p3ZmG3o+DhTdJSDU54q3zVjHuLNm6
KvHo00nZdUq7jRQZUti01UrrNCTBWc22TcbQWSLnvEwCqZamQxDFXVbWQKf97VAS6pyORPVoGQFx
hCClQ/BQjVaN6diHQNYowW/u6vt+CweuDzd10VC/uano/Ynl9s3xaI6P4fw8mb+xDv7u318e1zf/
viiknJGJeQX2e4VUFpXWzW8ei8+fCv3D85fpWSImcjAdNfk8IoeJ2ySG049R2j+eh94ryX/eJWIF
OJJKGtOf999iNJohRLY6HS3Zkduv7ZBxJrmJRuM3v8Z3J+VfU5nv7S8FCZ7EVotIj5Pp+wtNZMgN
wVzKR44xX9nU3Ot05buC19uRc2fn9t0WG/j++TJywtvRe8JX+swb3WyU7ed3VV76bH99kB/f+O2G
/+EAaPWRVVoBy0i7gpjuiN541a2zC8DLnuWkNM3X3OeV5KAvtkPPYtDuqcf86+efQvvVp3j7yi+L
z5unJ/Wb1MQ2Nh3vx63sYbBZWeeGzcjKDt31nebsdTdbW8dwNW7IKN5cQ/9bjxvWPXteF5DZXVpn
ruUK+26Tr5tTSOPeDtzbwu6OojOtta21Lc6GTX2Tra4+/+gfp11/e7E+3EBBbqKUhHWeSxvi/ap5
LVflteRWTuz6buhGXr7KdsX6/Ove67bkMIxOvGOcvouPgcPm4+mJ/eI7t59/qr+HOr9/3fUPAqeI
MXNNGNp0DLeWHTrzJlv71zmjFWbstm5jUHKQuKzNY7WRH2mkeZ9ff3l8Pz5VOhnWP9+jD6sNS40w
NeU0HsW58IxhOJuF5Nh34h+WnX98X5dV5bPrfFh1zMhU+n4GGMaZ2u6Hr+K4GfTnSfEqEVRQufr8
W/16jfvzW30sJoWMxV+r4u4YGsRvAOgJLv7/LvCh5lNGPA9Ar/pjop3JMX1A63fT4N/8MB/NvkJW
mrmBWfJYlEe4iatShhVt/uao8Lv79GFxa6S0iXsjbo/j8qsQ8WGN/96EvZwR/vopPjxgXTFDhmyy
6Tj0oxNB4ktGhxnw5z/Hb54u48OqpPuBMNGcYzcYdUe1cM2l7UkB2WJgwosHGZNm9Jtb98vfR/su
nQTFYH1EC4I9VPwyarujmn2r4xUoL5p868+/1i9/njfX+PDSpIHVCFWojkfg3fTvL7LsN12F313g
w5JIsOSoxKS6/D/2zmNJcmPZtr9y7c1BgxaDO0kgkbqytOgJrFoUtBYB4OvviqY4TR4+0jjnrK3a
sipFZISH+95r36hs2jSjc9Kt//olfD8f/+qLLw+UHw6MJGXoExWsY+4GG0wgx2mfX7gi+MfOT7bx
dfzbuG7jb1aDLV/1D38SpbWhDXrCGfVKYxielX+J+dsb8a6d18O0uV39hv/YWFvCZDfunbK5H7by
VL99a2+NI7d2fCrbZdjsKz/Z/V2a+J8e5D98I+w/LFY37YQKz2y40a7yIFc2/a4wD5Xmb/KdGbxU
myMhrKcP9TOXs+5pOSGm+pvdS5fb0199KH/43Celt5PWW6glAuJsg2Ul7nLjnYrgHtvW2diNwZse
RpuKjm2IEnLn+srf7NB/9xScP5x7Ctx1sxLNcAN+fTMHdDazr1aoBc5p/Dbvm215dnaEBX/Eb4Y/
7/IrOPZvf700v1+8/uJdcP6wTnIi7sy+Yml24RwCbtiksqo75P4jFLXDAengZr3BVfMC6jIow2bn
3I6bLhi3yQH80qfC/5vnIwvj/3o+//m6W394S1zFYzZUsaW0W3Nn7+wimMM1XM/pSdt8wV8ekplz
aPY09c6z7zxtXaqDajvs8vAhDWSR8Etx8O/oXs7R/2507xd/Prjnob8O7hHI60jWMOjITw16zu/s
tkzNTeAsFlN9Xfp6fh3cS4G8aRsyc/3X8LNfB/dgIJDs6Iz7kXhoEvP9Twb3/z1Yd1WMlir58RbE
Cegkv98IHS3WiqKz6qvuMlvRh1kmx0iN58z0UZ9jjVZbHhbGcqjKCsMOGua30nOO5ZSGLvD3uqhv
HDwgAOSvqxJtVWYwQNKc+lykDvLytHteVPPV9Ro1cHtE565CzPaSP/7MlBvoqeYxXcg6c0hYJ9Zh
Qw5mozIHB9UauDLxSSP6CZ/mFKBnn3ZJlBDbYaEnqtQB+iWhUatMj9JiiGFAe9eoJvVJJkyNMmtK
IXRqRrAPUhDyle31dLBkNtU0qU+TDKvKlq3Q6fMMnkmP7HuiFdFWkGQTv5FpV63MvRonElaQ7ZKF
VWVfvBRZ9SJzskbwFyj7kwNyoehQyDQtzAjbusIArNJMPVmWIs4wbz1CGUv6B132BBSb5OMCLAPq
s2tNIooM6KLJaoaDPT5C5Wc8lbdPthNfG2AVtCxgls5E4RhtJOW21RhUCq1EYaqt73W8p3k7XpqG
rPp8qUmFn5hLdaTSV/pzmU33XobEORKZRd9V2zsGBtElT79OaMnjar1Z9XLyR8c0SBbuXotB8aOx
ln7I5jwmLl5ZFfoCl0pfWbE01DK5ra8zss+HzAgK3T5kg32XRwutOUFapL7G29Ys3VAo9ZdWB22H
JJ3cE7E1W9Ld1RIfanpFUXgyDIbvbK+ndmLNRGN/26b2sIHjQZD8RKKcKTUKVez32bhrW+PiWAmm
B49sU0gSNeRyWqWNsusy5Taf6/6yQpvfWCSKo2Gy73Vbv3gMO0B9UlaapUn/FIAno9E13RTm0EMS
VGEKiWjbxz2mJVBMU1ZdYjP6tLTTEhaKu4t7ww6sQX02W3D0BmnpGqSrpR1sGubxXSy0szZLT8GM
4N372tmiCUpAFOAq7EPc4ibAb3Iexv6a0sNW7uraKdZvy0wYqoOm28ub5zyKWx9r1qmXKvmKIc4x
G7y3OlfvYRwDllj8Dmpcs8YhUsqg6QU5hErYqfqpLpKbtK6Pc9bfVHVxO1WMvunsj0jpRuJoI+tj
tZUREaUwTDKx6YNuQGasD7q9XuBO9juNCWUYS6GiMGz+rrlDB78TUsqIKmEv0DZ21lsvpY7l6D1V
iOyYoZ46vUM3OViotI1N3Ky346pjJUDUvVjjHZsdjXo4shhVyQ6iro7QWhqQfLFF1sRHDKcaNSag
Gz9a4oe1QSRgS8FmIqWbeodz1SydaufFGtpFKfE0qJuZKcV7QsTZlqQQtJaSUGVk5QCyxh0oBaMl
twYXBaljVh81itJSSktNNKYr6QIWOa0wCZGfWlKIqkr2B56Sz0xFozOEgQtAQLYJVb0tJTGEDCHt
KoCIGJImAovs2yj5IqU93xuSOGKAHkH2Ebam+rqAJHFBkzBiYdwraSWuCbdkHuOXSpJMcpAmjbug
f4cc2HS3HsgT1c7CVSoQLWAoJMmnQWrn+1pyUhyAKS4+E/4yU3rPfNQkUyWRdJWVEda2kcSVVtEv
M1+DWwcYC1rS/SzpLJXktDjgAHVJbkklw8UC5sJrTTEvA+b24IUnkvgySPYLzLMthsOP2PuSgobp
QcTkvCecA+BsJT1mACNTDnqoSq5MJAkzqP077oFQZ8SU7RLJoUklkWYBTZPy61zJqrGs+FgAr0ky
4P8oN6aTKck2fKAwbph9zRX91rLBDSo5OKCG95ARIeO4XXyYoWBHCrY/sqoIumBi4nxS+zUFoA6r
R0J2YnMOlaR90KHv2BLDEyf2uJ0lmseD0cNUnxAwJhydxPdMbUtpz6wS1djDCOHHlKgfxWh3I/55
K29uhIQBNVCB4mG+V5d6y9R8CbHJnmr4QXjOBfqYZQwFbKHcw2tCduBdmTjZdi1W4+cK7996yuRW
9xf1VPLeD+//Lf6Xj/qhlAJsaHMZxJ0MhZA2wW8aSBLNmXp7Jv9DI+GH7JPvAT+MHeguuAwJKJp+
E/+bxBKw4fyijfynPkTrD3cF2sCA6vgtkL0sbI9YAX5fSpEGpBpN0RbQRZyMPDZmnJopniELQlpo
lWuTIEdnIV/yQp9RKmDvX2IIECtOrWl20SCkF+a5j+iKIalqLRQQw2s2fQxxyjX2bjGG9hBty1nb
Cw6tEurHRqApZKTx1luDT6oZZzAquH7mO+5kF3Cp35ws2QqcbYOCsGvRGnBN5hdc6Lt48Ygb6Ovc
V9Jy3GdNt+8879Rn5B5g4Vph5SrMvWHVTWBl6ycHf4HQkUwsnZnuklV/Lzo11FX1FcugFTpRNPoN
8shdx/SfAGlCxky7P2KDnEI3ak6Druw9I9vmSfZAYmDjz9Q126mZ7yryNDe924TClvFkPLkTGU+o
jlyB3KzSqg1cpqtnFF9JUWp2i87UOo3ZzJUleuyKGjwRcd1qJQi97rNLboIcTkkd2ZKqUPhJ41i+
M9cL01B3myvLMbGGKohF8cTxqhANUrEB1XcJ+IRN5XpHDeHWhqn5xav0x5azlKL4DlOBsh1XQPtL
KTAGuR+aQho4bMI78ljLjel6b1mm3dMohacUMcQeC6MkM8F4XMv0LQeQLQpOldRFF2+ksOZBn2et
+iFDDfZIK81AT8dlm/Q2coTIIGQieUkynn8M4QKvKqZwG2jtaJP03VSGuS17bKtZjt+yCEQMCSRF
orUMGhVoyt9R556upldBYiNneCnv5w6QSu02aLEMGLYxXc+2Ih9vQLkRiIzHFcbgsSvn5q6sx2td
uy+WFvG59xSD2twiC2zetDE9D1l67lJAxAqqVd+yObpMHc2A1xM9USoGsWpDs4uM+oacG6DeSCoQ
xKEd7dMbNavfCEtOw7aQEXhpF8xmhQifJ8rYlflJMe1bTb3V9d5vLCHjaYjWicdDXzVPozLt6r66
JHUdmvZMzEKZ9n7cTx4IcEENUaARc9XpdW3Tb/2EezebdyJtFrLc24IceCmy4lUtzm2N38PPvenB
zYtwAObOLX66REoaLqqHyLO6alZ1q08o6CxoxaONqXUhAkQi70ZwpNgHVkpdrkw2XDYWaBr5tpJE
XBds3nJ+KePVxkdsWFKno/wv1ekjyec8mEsDwZ6U3xt5/3nGtSZqF3PrPCLvajPqYM/baZV1SDR0
oiswfI4uvBkbt/KQjCozmL3ZiHxm4SL0FJcKiUzaeE4I4YzyDEOi+XUEmxmOSf61NqZXcAtfVkdk
CAbQtMSGuF1GrgpE7mD3G+yBRqg+oW0eK5jMYJKHE3sPuDm34WSfWxygVTkcrArHQmiMqCafIL64
7i4xOw0oOVZQ5vaVhk5n7tatO8Ih2rqVYs6bdkIuvscKviB+Naw1vSEfYBkfPLXUhgfhdYpxGueR
YY5VFclrt5r6dM2HZl/H1B9NhlWkNnMzTFOg2q26vmtdfN9HBniefD6aZjWGndJhwVXsk+XMxCO7
pomS0P7S1nWP88QGSpOZr7lio1Ikhxj4z2ofjZrFnFdujlXQpI9m1Z+ayHxPsk4PBhcZNKrGD5yw
1F5JjWOlEmT+qhPikwGd+JLPl6Xpgzn1aOk2ysWsujslGk+lW3+iAv5YMYOIGZtiz8WV4pgU796Y
jwkTZVXAX3Ga9xSOup1GqKd1K9lyzWdINqCd1bObqAdini1vRaJ/rJrKb4mtj3wq8UGmgbIe9WXO
AtPqtsTC3Ofykq4mKtZ1IPenInEual4ghp3rdyaSh8QwOlD4NLzbdCXPTS9vbCdHcm15EBQV5Y7W
hR4Iwkhw/IwXhtfYo+bI511o9k7FraOv1WFHQDR7O9mQaDgc8Og436tIeRzyYLXiF70jGMtFP4q1
Hf2fm3uCP45p1CM51lgRea2zjHAVaYwoA09TOTdi69Ti3LgD6jwXG2+sOddUVBdqvZLhenT1yMLp
yx6m3PBue2LZ6lP+sEBshHwHVTLyOECsbHyKxrEPRlG90Ic4ZkrOcxzXVwSTKPxH22QNrESjqrri
d/Xwrfe8JzboUG2Kc14mw0aPjT3d7SfCWXdK6sw+6uQDHMrbCfO1Z9WfUw66jeaoN6Y6nJD2Rf7E
TR+KgNaRxNkRwjJxJAwi3uiWl22SPD941oJMIa78zNXbXW+lwk/NHkX5eItLI6z04Xkq8RvnJPGa
I+rfZTTnba6WE0EKbsudEM67EvO/DuV9YOcIWxVF29nceg4Db6hPwtpVbfps4zrDcawoY1ubW0M/
P+EAULeIwS8kgtmhkq7xThEaGH3P9snvo7nCN+0Ua/qtrYFRUno0WEOlElqvkzeMGAYCPl0GAlsM
ZD3pbTJmeAxrRN4VDRc2OTY4S+zXUucrYbm3OklhaIgwBtv1/KWq4xdmate+cr6gkPsy22rY9PZr
ncevddzYwQATLSqbV7V294bZPQgcXmitfENfcl8tkpPeifeYTLbR0b95OSFvY3pHNCe24kF9qEy5
iSsWTnyif75Xm/+W3Rh7/qrsTr91f2o94lG/ld0qmdhgi4jEtn7hePxWdms/8SmD+EDzYNKS/KGD
6f0Ercgl2gvYAWRAj1/4awfT+wmvLT5ZKePVv2MG/0EHE4vT71risux2cEbxuyyMTDpBnr8vu1cj
KRO9TtWr4aIWjcqVkAftUx1/JYB3JX1705G9S8QIaTXC08+i4eed7lxtknrHtgmxG9wXJPhSifmq
jPTt8+S16qxdy43YqNxL49FW6p03TeZKF6QCr6QDD5ZD0gIAbPaQ8amZq0eIgcRkemrht6SDBGQM
vEXkDZNUerKWbFuSQ7wS/qSRS6ybSuuX80ApyqVYRhfna7rvcQ9vMlKNtdjZCxlzjIRQWkvfsrJ6
WslB9rL2FVtXuclJSFbY9VoSk1HkYxEhQ7nzlHAlUzn1qDF5ZbvGIymE0opW1WATLcaJ55DJPECN
oA52N3Fl7hxSm7t+cqlr3edWcDFpyME5rGNOCHlknjK1qBmPKnsCiPAYIDvaj8qyq020HZrMirbv
RTPeQ3zrngrSpAsZK2237jFO1Be1tE4khhJjqM4XMkIsYBJ4nCzSqYdJyfyZvGqT3GrSDWuqZuu4
aF97cq1j8q0Xer9ohCE/cg/AkYRqtqAHSGDCN0PGY3uW9vSdGiVUorMVDJCDDNNeZKy2Oi/7rF92
qC+3DbnbY897FsdEcYufY7nJspq6G0JXtWQbOVm9Gyx6YKehTlGNmo06HGqXXvLgeDSV9SHLNm2t
dtRtqYkAsO+plN+LqRX0Pi19YI9WyZWZ6QuRfAYaDmeHSW+D5gjHpncpxxaYbG18qZKuRZMPOdUw
STDQ9Zp/CTUQa/8FyxDdmbz9kMxmSne6jHh+4QzAIIgt9Pxrs5wcw7lREt31B3LWDFOl1lSS12I2
3yp3JuZ9nh4gaiQQFciEMVvra9b0H5QM39YB++bkFM+xbbIUCDZCk0fjuNdPXaWk20wMxta0ptuZ
hOrA8PK9mXRvbm4NoaGYBeh4920ZaOY0pp1B9RJfcefiMCXcgpXDvaFKe9dXMy++FLFyE78VU1DF
8ZFoi6/mDIa2ZL3QygXvfLKrapfVzd1kcDelJn5qTKShNjzCggIaFjxtHtV+iWQ4p8VPXNSo8dre
pVHhL6bSn0X/VlkWNJlFqU+AyNY04FfNMrU7ULBQw5ulJFcS/CfdPG1GYWM1Ttr7canjQ54kp9Wu
bkBaHOeq+bA9UiELKBtqCBao+/LvuQKEgC4LYoe/aOekpAAt9fgnDR0e99vJov1kklOBsFLCZaEn
/K6hA+iOnNufTw85v/9lNmaCgFDRgqv0AfC1fve7/nKy0NCBGctB5VG3y2mb809mY9p3/cx/hq3y
ZIHbzhEm/bE2T+UPDR2sSlgqOru+nTuVwm0yxcZsTCa+ptgnDhXutCyE/KiCs4e37KQWJc0Km/wj
UvXU+jUto/4CBp6OoWG0DxkF6R4Pa38j8qj52gzSWliwPSWFs0Dz1pYUnbkigKrTXLjtu3K4thn+
A0W18X5i4XHxaWikSVVRdZPHjffVVZJ7hgnWNdY05ajHiditrl0+De5i8RWEZS50a7wMfeIAn6qA
qzmjkoeatdTP2Byw0hu9/g2/WfFqqUW1jy3oTVUT9e8TIOBtorrp1uk8sXMyQUpVMjV3AuB0MRI9
SDu+CSahmdM1UYih+ULeWmKeNCJIFtxRdT5ilRsIiTZjL0tuCNsiRrqN+qq7OgltCCfW5uQhyTxu
D0KGUK8Ut464cT3I9NB6TYDq5EcSZFRtigkfWmBxO01PtlLRhiGpd/mcTXpbbnXhQbSN5jdbFMY7
ZEKrRpRvVyFtYY6UEbjRIOr1XU5AmTQSWIPSnHMljTVvFzVT/JmVlPpqta7vUZ+s30gCe+2UNqzi
9Kg4dN1LjbuysLpmrzQC+5erjcsux/9FKT0s57yeoQnh74E/X9ZKQaERpxglBoPx4VTSsMnbF9NJ
Qc572pNB4b9vlHbZJKqYNhZspb2d9faDi6vlMCiD99SorX1DiLAacJp4Ku14q36MerWkq1F4nxVH
KEejGJxNM5fXzNWUoBsm8DoKfPutKNp2CMgzBJml1P1haaLqnq4qbCluv59i6ulg9ZzsaaZdcHYy
M7sgIcre8K1CY11Jm+vztX5bx1k5sXjBADmVuILhiF4JsRBPVdZBjq9nsBqEM90mUwEgFYtYEVSm
icuh70k9m4AODjQirT6IgZzBioSKtdcnynqMVmZhHJ1ZGHekDrjAm2tb+9bUzRq2EmbgcWfYgPyx
ftYZ/Vvjm3TC/2Ivrov3PwOTykf9sBNL554GXOZXVt9vNb7+E3UEWjX0CPj8JMbvV5WCS3a4p0lS
KPkR8AEp/3+t8d2fVINrMfcGFPrOP8QLaK5UIfxuJwYKLjGn8ATZhh2Vp/6jXMt0y6zjrrxc3SHu
bpnZl/ep1jivdWHqx0Xk+duiDU7oDpN6YTgXMaCaEgIEpvXZ8cTwkKh1sVtXwkUpNaOtowwdXLQ2
2bqtelNIJu9kaNHZsrzuzpgHHj+BHwpGSMkUbtD8FRrDs762m37AzImNLIempVLHVOB+1WUFUtr0
86cySeIjTBcyXpUhC/RKXehsuw1N8+XZ04njlDtUVDrHkW8km6QiTlVee9uuFjg+Bi+CkKxegfyg
dk7z3PfsNt8AkoH8JV0+njGg3c5W2TfJsm/NognzbqjKoF3XWBLy3pI5jtBATH4q58jQtgmUq/KD
vnrCH7hJ3cZa/KrmyzEdjS40m+rOqvFCAgxXdoMdr8c1Ho1jkqjOtkC/oOEVOwC08QKits1dXlTm
dtL1CEsddwb6cqAAygZaTj3drR2c6Kboiw325XWjWARy5+DO9Ni7yQy23mnh3VFGzqxUNAaUZE27
9vARgsURzaFN+uOoZ5+4ds2bsoD3BnYn22IMPCZxuw4+Ge3JlnZGFxSSdx4BPs9MZbNIEvoMEr38
zkaXlHRSibLLDDgdwiFwMzWugVNDVRcMVkD4PNgGAzwnNjCfzDsdELtO/euRSwqdnRCUKwjw2xps
uxr3Dm1xRo/oOWZ2YfLecVFK1rstqe+QwmJY3DR6nao89aDhLQtGfG+Lh4lcFNJTptzPJUke9vbV
AS1fgZifQM1nIOcboe4SDZ7OKmn0dmTfUvWHK5j6ck2HjQ243iONmUssKHvarA1oe+7bnP/A7rku
8D/g70u9+2wIePgeYPzZgXRhLU+tJObPUYMOTFL0h++45zZnguzrhj1+MV2kF9RlZPFG9Xz2BGc+
kSxpftZs7pS45minNR451o7WzeeY1MTDv4Xxz4UxWs2/2oyJG/mzOSeP+m0zJh6IyCvqYdf6JYbh
t83YYMs1iBQCzkxJ6lBM/2czpj3DmAnBmNRySbHxD5sxnRZ+F70B1yMe6p+UxbTnf7cZSwgZDBpG
ra5KbeyCfPn9ZoyGBtqDmqlX/fsCsuRaMuSq6rJxO5lUQarkjisROo5M856jgZDFSNLJLcv5PJTF
gyO55WjjgnEYIJmDNAfScOhBnOeSdd5J6nnaTkEkUei5oX0SEo7e62DSy7Y9tBNFyZpejUE5EPp5
Acq30SRgHX4RUpqFlq/Tu/sKCvtK2ehAZR+EXfs1nHYglpG05d/rxgDoFJS7lVfwVxWNr4ryqEjc
ezRlaIEhwMegEIrstQANLyQjPrOy+15S47u2B65unUoVnjy51btFEubVxrwmiHg2qmaeVphoUzWe
3D762njilOr2J13S6k3JrY+r6ILlEgOzrrwJ0PZcp7V3MoeWjQB7v/bdcwoGP2Z8S4/FaH2UGk8z
qPxRMvNr4Pl57l4WSdPXeA0ReP10bd57ydufojzdCsngTySNvwLLH0k+f+eWT5yNV3yun0pJ8M9B
+c9uuxu+s/3LstpM4P5dsP/0Yq65jmrOIhBgFCQDLCtgFtsLR2FdxJTsVJkh0BMmUMlUgYl4AZeY
AdGTNyAIHkgTiwQCHakZW9FzK9MJ8nx4tYgrEOwwm0EGGBBkoGtGfE5yYo4SOiYVYQeMG/GoEn/Q
RzQCegIRdIIRVJmQQLvbOwp7bLawtb9WsfMQR8tuzAnYRLJzXGr9O5nt22w28ooPim544Wf7qkb+
YU4uoiEdGkySDbcMiouzN5eP9rnW8oKpDC1svk9BYkQJM4T+g37dPnO6nc2p4w9jFxO4mV+0sd02
NbwKNZ8mzLb9gzZ1u8zK38xFQ7DEpkz8A1N0ktGHGu9uVZV3Y5YsITzU0BzwT3A4b5cERgdWfpfG
X0eDkTz7rJRewcXY6XF9yi0zLDwAZjkFiZmLY5bgc0w6dMge770ZnQbyuEDEps7yZYzr7iXBzgIn
3CtdOimVc683sJ/ijduVyp1KB/MeLzX9FG1OwQSrYa4kNi706COPyQW2PBUcAaIDtXWOTjU/93b3
eci5rzV1fce5tVOS/E5DJuMSxuwjqQiaGWC54UxBWqhd6GIlxURv8uKaLWwgBR1Ctscwa26TiGuz
Vzirn009ncC0DAbYxIa9vM+2HrTz/MmNqLK85YkPGkNnphyWVDlXbbJLcuVQIQIkdtKPM6LLlWif
QWDK3Yp4WReYubkejWZ40douSCzc4jqe36nkTmGk3G3SFp1Trm+82dkJBrNlU/KBPA9dtlvmMQRW
50+ksqdKFDMQdMBy9EGSeq9lhmG575LzBA4fzVXqhXNpg0HNESpRMdL++9IDjlNJOl9mByoyBRJg
2Qtm64PouPaVusowVQg+WzhEyrgf++7L2E1XQqiCPjMf1TRmFrh05zV3bIBJ1dbMSdhQkU20s+aF
Wq4+WGP0DYoKq3PiYgixHWbxtKc7PPtKCw3QKG8jFeFgAqE0Sy1346aTn5jjRTjVaSYKeVPmhW/G
LgSDcTOQJzFSinSLuvOc8Zb574uqN4cINRXYfmebZwX731wpYA7qewM0hp+uHXn1dFXjbC9Zr006
3UT2+sh8FRLNcBfp47Frp43d0gifaZauqx7adrc1FO3ADHYK+rpa2YWN0LOGE1fs0KVV4HukPrWN
+hmvIPwdffxkgFj26VUYB7hYt5rk/Mbxnba6Z89dJgA0TObtVRxVO/cZHSY+pB966koqWdDWuINb
fGsUSpgXy63uuR+GvjKBbyAbcwvtXIUZMph/oQzXZWhuB8d9mlNwR6UFvHkuLW87Z3rxmhvRAgxr
+sj68UQ49HMxVrR463Pi9fQRu/QenSNCje7DioG2jFpzk8z4ArL1Kdd02BhT/swOvO0r665TIrBe
qvem2N3L3M4nUSaIecbSIdqLBq7GtAvGbjLTvIEOaA5SeGsuh6gl0gsJCHnGe7vv8+epUATpXwhh
QmUdhO/O7rZQ0wMyGMS5olyDuU6+mpMxBstUz2B0tHdvXa9aB1iLciEOYrz2zOYzyM7thzNQk3oD
BpvUYbtc5iogjO6lzvTbutTvER8JQptN6Bb9F2Y/wQA7h6jra2/PTAnZvzrIQ6AFq6d5UZ6buX4s
UvrCojKCpkDv6sI/nXJ79SGpQFGkzi/GbLzrUI2Qrg4tzKxUymfk0LNfauQvn36op25/vhT+TzWC
AAXS1f/v/9PlXfD3d0UbNoyq25YmW3eyRvrxrkg+g2YuZApctYdy82qF023ro9v0vffH+/5CMPO2
9od9erZ2gMn2dZgcLXDZl2T3b4H7vcCVft//f4H7ONbFWFbf/rvzKx/3a4kLzlAq+egp6BqLSIry
fitxwRmCwbIdgH+2iqX6xxLXlMWvquk2lFZN8oF+LXGdn3CnStEdFN/vPeB/UuLa36kE/1lD30tc
VbURXhCRhkFDNj1+XEPaZHFuEnJ5Xa3kSN+E6qG2NnNe0XvN6nCykBZkUXExmyIPLcPcq6O2S5vh
moycWCjEoWCja1P80dCOom/e89F8wxft59VwmVftHHvmfk2YS+RKvfiJE7+Bsr1jAJ9v7bIkLsnG
pJgAcIuKsfFXTRSnckHWW+SQfdxyQPBgJKdxrN1zxTHgJrKGka3ClWqQvLTPNnNyI9JuEwQXTWex
U3jZKxQSqU6yr64FRF0fmROC+kivqMq+EkyNaBEZEdB1x/bTKdcOKBnOwwARJyofDaZIHLeX3vTk
tv0o2GzArMW72h5PtrWS+TnZVxAdx2Io4o2XWE8GjDOyWD6JxA77qZvIQYAQLjz3lhkPaFfsISK/
yUQWNlBHSEJEVJw5BQz/TnnxpPmiXptAtbJz0hEqLgdgTKaGA1xThD3gFcPE9spQybxPs1PeWtN4
NpHy3TTtHdO2sKQMXhztCrQqHI35fmFeOWcAfw12SEPDO1Ior5MZvTBpCO0Rfpw3CTotRfk5XZjp
Kio9CgahG23ObpaJt67Nxzt1jthjc7t8bs0DYZjuAKSPBgPegOkmVgmDoP6l3WALfxmnh4TRL/9O
w5SDPBja6nnkaUT0a/w8hR5jinpnpSrvjQsNCQFOO/E5ZJkCREZ1i6BeXBQii3GfuuikRPQVNjCX
I9t+NGv7XmE27yuDffbKOgKXBLIpaVBJpF1yr1D3Wyj6gSxzz5jb7NGNqi/MyIMqKtEv51+zqnuO
PY510KICHV1u75tIE0wPI3xj9Rz7yDBDw0QonjrcmuoUj3E60j2W6Qw5dShGTd0otkDzUOggSHQt
qwlMmwuO6jSvdV1uParGc2LxbrdFn/roGJkazhrI2p5QWAU5LZiehRKPPL0LWu6nds3vifZzfVPN
ABKlXMwQ5rtgj6txU3T1SYXye0amSPnWv6a2cwaWfU/QXOo7qUc4uLauu7LKOKOiDoXcUrEyDf1T
U7UP7sQHb4mYeL31huzAr9GkaIExWSRFuPejiPbCQE2jRdHByRXgNCz6DcLicF4pT0iHM2lm5T2n
bic2WQtDT1mXd1xLvQ+bN8b3xKMHpTsy3Q7U3N5CpseZVGB48Wx1l2K12S75vYIQjbIYkdD6ruTL
+zDZj/E8PeYFWvjZvYXsCXA3Jr1D6AA/jVR5ZtZQIcZ3tsk6hMky2cAYWwhwGj0proRweJTlnc91
OZq9ta0bOj9EOBmBrpjf9Lm/FKpymdWh2pLdUG1pWL7jgtkvzWD55NEvfFyMYOnTO+BFMf/orXgo
HZBfbT9ou4gOnuwb8XymogrEyArk5x96wQh5sSTqFFTgxi2U+3ZUv/UlS8K0y5SEUeep6dqbvsBw
AaPwW9PQBlNE2GezjXi2MLeVcKgYtSxM1LU7Rxp9tgoiKQlJ7qklnpu6nNU0DtWbWRZ1WCvswXHq
emQ9dCbWq3gfIQXd19ry3togwD22RjNHX0p4gU/L8rIOybVHi4sPQuYqpsaDyEqBh4D02l7d0Vd+
bKB0Qkp70OJW9+uVKGK1dt5jGo+NnRx1XlwgUmbtljo+Kfaq+eg62m2RISjsLBZ13kdvk72+dUN7
D3Ek3seFssd/McqUFACbw/jQuFoZdDmfL1CuwDUgOgpyUjdx2X1mnsJWQdpG4l3Z6HZIv/C4mP0j
ARPPuT68dC3ZGkU+vpjequ41XWiBquqMsXHmB6mbWP6SIO2sY2ZKJIQcuj57qGxjtzawyaJcexM5
SkSvyEKr8DLf9bgSGQ1u3k5/nuw70R/X6FWkJzMx7qqs3TAKfc6U8ik1Sj6aatjZVX2jNzQPm+L/
2DuP3jayNe9/lcbsS6gcFjPAMIvKyZK9KVCyXDnn+vTv7yi0JYv2vT3Ugi9w2YsGLKlYPKxznvQP
SrWSQ/NR4aCfK71z3gYmW1unMJMMcIEWHoTzGO3BSYAsVOZ0x1UeIy6kriwcv1ByHObjoFwxDDry
kdFlBtfcWjVgSbmo10V92pogkg2U1j3KAB3Y6yzOnGCpFiW62WVwqwzjEr5ieIznnrLABPPEGSxp
AVssWmh1H05GRdMQ9rb5ttxk3uXe2nBsaVqZtsDeZB4agUOjYa7YZ492kPgnXVoz1YXeZFi3YQa4
uyQxhixTjMOp4stotlR8zxai6ivPrucBQF9cqKu1W4+kmFoJpniUxpVb1fphi8kQNaxtIyU3DMux
71XOY7uYEzxCZpSoExnKiZobh5xGa9Pl0bF1uFKIrM2kUte+BFbOCdGiq6VX0sov9FPgMd4q9eVH
bZAfYUvdE3KEUF6/GmRpltjWTKUXrtXcI/3nbBb18UMfRDDXPX+pyiHllUsfIPXMO2SH2yVzknDe
0UgvEOEHgTJS+0mitWJilziL83vA0IruXgJCXEkSsghBaZ1pOaDQoEmUKejSG5afKK7Ej/CQ1q3q
WYscZ5yyMpehXQH1YF64SHs5Yugh5/QHqE6VortLazwX+/jK0IeZGRs3iVOcD0VIo3uMDjvdXKCb
Ce5SQUKY/oBS59dWpj9wuJ7X9Kensc8jEJjFJfbeCw44ZdnpdKodBeqbD8vQGmn0mAxGnDA5s6BF
on3r49jiRMO87Gueh86LZ745+gDCqnnS49uCiGgFSUrdjJXKkLljzh2A9VFs85Qk964s82PUB61p
lkhzBfE6xMq+ElowAFUvKXuP2LkrC5XtSdH5NzlsLlDV8UmnEGoj5Thw6yM3zm6NXLmDREuMSK3b
Su1Psh5eVxcw+A4l/Kocw/uSDDJ2jVJ8OAbrUi9Pes9bIG0XzZrAvvCNnBgtmTdN3p6MvT+R0+A+
1o11ESHNWGnDMfSRZsWMqZ6nvXmSKDaY+oSDUKJZZATozhv6KsoAv8njUVNqGnL+NG1NjALCLknO
NdoIM6+2EbfqAEG3vg5vqsHgFv0teoBJiuBoZelQVcpVpavZrJTDe6sjh7H75tzK4Vo5ZZstEaOo
jpMCUdZC6+icWjaHksvUyJWWTtKF5JxuzeYyYjRcr81aWgOWSJamnx06ZFtCRlgL8fhrHfNFi+M/
w1+D2uQP5VgZpEE9bKnG+LPXakxlxEuthTapLFCc9nscDrMGQzMU5q4/pw2wqjAicSxmDSolmWO/
g3fy77JsYy6F7CQzgn9SillPpik/SzEBwkFYi6mF6vA/bkXAP98odcAY6M0CU+jzVEEN/aRSGyCd
QxOALcTNoFMdwO9MaydY+zwAtvg2ZqO/pPl1RUyCY2HdDy2WyHnjrUqI3EUekEfZDNEa3TqVa6WA
JILZFjNenZTXQdraG/yFmtPt83PvVJLciFSDqih0s7NqqL9LYvBnON13PZeyuU9QbBzywswOjnpd
aHw64YmUF+elnBmzzNdGXIzMdlbjlU4UKXGAovNeNuV9C4YGPdthKav2vdRTzHS1MmHQsbKs+jSF
zEzLHPibUXRfsQy+ieshnoaRcqUZ9Z3HMGhJYLOXxDvzzAOMNYdSVJMMRiVpp7cBFpeBPqdLbdND
DgL1LBP4afDsaHSDqPaBVveqvE5k41GvkyUpyabSSQIEFruUsOoFnI0CN7/trBK5vGuYg2Y9VJZU
wLmBdTshg0cIrSC9AdY/lGp1Vo7BrQESPGJiP2OGBTjcMM/xdCbIgRtP/IAzryarG6XGW8BCv6oC
7bTJpdPxCXYuB+pkEFB0o7CTw1ABFWQIoDoYz3PJoAguKlq1huQDKOmVo9CHWhcKqHvhxSc+yefc
BgVvVmChOqYMDvh4OyM0yk5yliM4C3ujsA/LPFWXgPaXtgDYl6IRmA+xvYwsv5yFAohvtm4/NwQ4
H6I6QPxBXZVe98UFvx+D4zflBo+fFO8+ySmWJQymHneEiQf6X2UkPukFIQAv5WFiwhFIJAPZeVVy
l2w0d9pl7ZEMo8AX1IK+Jv+TykuzNc4ZMR16Ic1dUw2XOqyEpNZXjoLqfjSaNzVBV068LxU8BkAc
EpMDFWqDIDm0gu5gN+MdyRtsHDVfu1Z+KwlqRFx1N5IDWYI/xRhVECg0waSQkFfVVJPiRMl+JBWO
IUGWn9A3O4t0xO3roQdhAEWj6dtu3ts0ESyki9krpT0Ls0DF8dtZdTU1c6SV/aZ283AmVzmcZcEG
0aLwtkEbNw5utJoQZQveCHsNcwSYJHZt1cu0YsBvdECqekV1p1omHw0IeurkdbMkDLTZCD1lQNZ7
PqTFOLOgrgQpQRqANs2JJ14LBBcXokvUg5PiWbvStbU0/IhkUNQS5JjMqubUb+HM9625rWcIy1s/
ZEGpyS39RznKXx24NnIXn+bDACMeEg5FnD83Sa7AtJLKN9Um1sdkEgyHmLKu9cYRRaAg9fQwzm3Y
1KU9/FCr8psnNUddVl8gHndCKhZhLl7PRphCmoP2gCLIQ4agEYVNJIMRh1pU1vWPXEoSAOWdOot7
axMU5TdGuDLpD8ROVZCU+s4213UjuESGZFNe6necusXEHEqkS+E51YoNKJvpPAWBfVQJMpRXNc3C
H9s1eV87VWFMmX6/YTzAZEqQqeqiwgJbEKwqHa24hOSAmeW09vurmq6QgIvM497vZhgOqvM0NUo2
XcaWsM2TuGSkmvXuaRZrQgzTRWNG8q5cFy323LlyXH2l9YM9NaGqCQwBhXx+6nlKsSC5iO/KjmLJ
7dpjSbZUCJJiYxvhLa7HJIFtRyfN6XCsVP37PgUC2OgBmVa65kC/HPQMYiDaGjMCwAUgTBXwiTFr
4f0uSdLxWq80PNxNYHJ2uvZdatWoiDHlbC8CQwdKAq3LRXoZFddSmadezN+27ZVhhvZqTJt7FC3I
JfPSnaip6k/NsJAwjpd+ODqIztovgyWwxIt0yO5Njb1dxBYNioTCAgcksmt3TE/lwmG4khV3mBEL
ChXVUDJQ5moq/h4+Xc1Zxplt5KmMiYNcL+I6u28cOu85D1LnposBbNNE4SufEO7KaaehMV33OCTR
8GRNqbQOoczi3KsnFAColWiZAdZGb2/8IbroiInTOgRvExhUCAiE04+QBh43G1h0Ewq6kACb5tKI
LyOgv0FCiwHnTjo/cgeVNTJvjBr6bjp8NzLjPPTyxx5tAJzfwzsTkuekAxMJmT89VjSzOIU0dkL8
RxLXSleyohzWcV5O9UFt5pEAv+IcFB9WY3GjqWz8ONVuJdwh66D+3hXxwnHDG4K9fERbLJ0Q/w+r
wDtjYHftjNFKk6puYmF/iHsD3YgBvK1raBMrHfDyEDBcJubtTLWsh6DPqILKzEP0GfzgkNmXipsU
c0PIFqc4lszzHCOLNm7cQ7kcNiaKUnyfrbpgfn7dp7BgbVdaB563KRER95iL0iPMceBkBJJa+XkW
4YtEY9XDfN54yEMwqVhUftVlGh5hYZ7Ljfkl001wpHG/Gj3tRyh3FmcsMxJVRTbc7tHMNq1YzN+q
iMbCwOMXKjVUigFh1VH5albtKdozwRzfr2RSSpza/gAIP7QwhzWlcCOn6gl+iUyhAzdE+iQ/CgTm
Uq/L5TBiotloBmaecrQKETCYoqJIvBNQ/UJ102km0JpQ4L/7Ht3GwvbKBcIvMiVN287oNyLoAjNw
kMxbpqYKJAlcqpNCuvbL7gY+eDZJA2eadTEcCjwqvMauaRRmxUzV/avaxErUjevDxmuw5ZCdGyiZ
517cOVPEPrp5kktYfMJbm2rgOHpPiilW00OJzEmYdcu0t6r73EsgHRDPWS1CCA5YJuq8gsHbwfKQ
cvOHKYPL0GyCQELdFDnRD0vobKix+tAO5ZFDJJ8MlvFQtdYSc+4S4oGydlMtRTCo1ae9Gd16SYIN
ZV+qU7tBLVpKgHbcy7Z3TGKgQ16UsonShOvcKOGdNmF4qgYZkzg6TMhZfPXwA8fZNbxWSlhweSNd
WgnTZDXJDnWnu+3JuXD0HXMkzbN0XtR4cCCDQkshKvg4OnY0dlfqc+AAR3aRnds2/c7IKuIp++4H
cEfQBABc5lDaF3Lb3OUtW9cvlYvYSxHAG7QTzQyo7Az6oU2UX8EcRXrUUjTSy55zukxPer3E0dLU
14pdPzAhB50S1LdF73MGNfLNGKPXP8TX8I6SWVdxpFryPVqbPPzM7SDXYcfLWOc4r8pFKiNlLA8V
HsS4//DUho8OubHfmtTLffo4JuV6dPBH8crxUFXTOyrmGS5AN3kL86ciy7Mijj56F/gDO52FQlTA
TTbWUu7LH6ZPSmdlPT7r5HxtqNCED+9Q7j5EiHuGL+cGltJ9WDdnul6skwDxd4+RPi61REqtWOER
dNn7yrw3AMa5RXbVV84q1x1YlxJAv/AcafbpECj0JTXIJW48xyb2GCe9wybIp7Eht3h4hgoFqmep
0UWcjubdgJ8v2qkS09uL2KjzdjYI2REjl55llf9Tg4r52e9r0K9wb7cUoPzN3wWocgCqjCpSccD+
6mJS+Pc4kNpUxZ8T8zJTBg0HB+Mn4s1RDR0QHHNeFHDeI940DjFQyzahQxXMkn9CMbQ/jpRt6CYU
UsDYVWRGfiGC4GAYprEaYhFUu6AjbGTD3PK6VhN/GqoDmZ6SZtdBq8Rnap0kV1XjYjQmK6A+RleZ
KkjGeMCO60mha6cArfEjipl+D1aIuBDMglqVaYcW7b3TdPl1NoAgIHnpzx1a0FNgWdbUadzsWq/a
k1LGwrlOUSMIfJjUXkEnrku9S0Ah6bLBgWTuta4yqxTlJsF+bBWD/FiGjrbEpfpQG+xrr2iQMtRD
dWa2eXAWB30yxWcVdzCT1KKzv6SjGtwUjKVOfHVIF3Q5Uf6K0KNXWIIzpDrdBYMEZwUERCAXEIWs
E+ZBXW45s9jT2I3piHOABzgbk0FaqyGk3SY5bgooEw5gN3T2sWNupk5G2DL8fC03+jyyPHmueu06
KqUjPMe/sJonWcYkTa4xImDGmEzSyP9mtDqwIbJL/EhuvSK6FYTmOa7LQJC94KrWQcuAAyHrSlGX
Mj1vFY04o0lm8qh5nIZ9aq5N7DAnNVkfnbcQcwTJ8Ba+28mAGsavfNEhqOv8KpPcUx2Oic2cRHNj
4Fq59t0dqnOkLNpjBBCw8KyRqC86+xRSdjwZ3fHUyPhK67yfFUN3HiXavaqVt2MXPUguDjWZ76+j
uD8zOzoTFrMbROvgO9BlPcTNBd34BqZc5zlnZLX1VE0EAAR8Wp8AXENKllLY/5p744Wuw8ssLPjb
/ShhQRphKMK4bmraRWSf0SgOtXuBjxgOrbqK5jhNH0E6HBOKl9KbxQbFg28ZjxKINDySKSCkAXCN
y7DZCQ2IgfG6RbdvYmGQTZBTjjWL+XEs9BNcWYHXaNjBcjAiwPMYOCCKRTPUMNppa5cUBV6E6hvj
p8Gn1x8g9zDPQmchy4BVzGhkkYPKPURQGp1XA1hXxwaf4jCz0rz8Mk5TlPkC/bC3HaZsUSJfpz6u
Pa6Ow22WIppjYHuEyiLNBZckQZdTekDu40B9HtBlOIwM47qs3W8qNnhTvHKnluWcMhGLaTAb4L+6
RkYdyzyU7FI/Y+6ArCj0m2muBCYIGf2qjbJs6tbGsQxCfeogxjWVJWNdQnhaK0N2VOixclhkzIO8
GkV17a5S3DOp8xbwZvqF3gUI/ZQB+JqkXFYDjSKaSTO7iO/92FjYWc5WZ5vkAuGu4luUA3nvBfY9
kix7BnpGOfMFMt4VGHlmTPAndUi7je2etgU5SuiYQAQdvLDTluccRUHAs/3FoJAuY6wLFn8YcY8T
+HzmKfRrq0xfDp4Lel/g+PMiPYKWi+GcwPijNDOui1CRlrpgAGRFfmFKTrkYIQfgy3pHdaqdqyFt
b04/dGYC2ic+pAJJo2IQLAMTukFhhd6PCgKC47ONLyxICRg30IWHEQRV4Sls/Cd+GgSU38fP6waZ
0cctEZS/eo2ginXg2IpML1alXQo45mcEBWtjYP6JNYHDkPkdoMY8oKEgmrUC0/0sm/UKqDEOBNeH
yInTNmgcXflnEVSQ8N92cXljR4GUiQiqToiXCf5vu7ieW8gF3IfmdARFwBiw+QYrDDnsCBIbB85s
KONb1IaC6ZC5J0FpdzND6appmbbnWHAeWg5xt4L/B0SjmFVScIQyxclgASYA0nvF6fK9pcmCnXtL
WSbhUut26kk20gpyZdObJlV+xkjqtoMAp1b6HaM4lEh9R1+4AtboSOMi1iWJw9yHll1i9uJJuNTn
4RfDTr/lQ3bT+rQms5oRj2uaX8oCFEqf3taOdOumw5FvMiTTgpM28o8hkX+rMpu2kWOdl5rxEIPc
nCd8sAlShuYS1jf60dlXRj5YHIUa6l41Ldci7la2090MKr4iXt0tdB3LXzVkt3GuxACF7O+F3xoz
ZOWPqzq+7mgRT23PmBuRfZkFzncEKM9hsQ9M72nhyV5Yz90OPmXeQvhJH9w6++oW6hmIzAfGAaDl
o9KbNwzgVxXoGS93VgHgIj30vsUqxot5bGPlZAIs6vLsoVMcREXIdZIB7EOuYtw56ImzAKaPg6Zi
HRNp1oXu4iIDQSXIS2rxbiGX3dpznJWnGpfD2P4I9PDRSsprLfAQiBrvEm9MZrIgffIlOXKJQEAH
cpq5ZYH4bGFemG114jv9jzh0GGXDwslkV542JQD9RFZvdc+41OvBReEgutY99Uejmi3wYfHnBn0w
XWvuEtC3VQb20jRMandsJN2mDpdwxL/iLx7R629OVd+QJ0Fkod0gEBUytCKmkgvZAukAB3JZ1D5g
zigHBJrzraGIiCOjYTJEQGurGO2FGVQ4fFeU5nQf1sKmblaGuFSCn7+08AHrUmPRUAqCigRb40WE
V7nuQUsywwcgyRNnQOqc2iMP8VDxHSZq7s27crzKPIBTTWpTsbYLV26uRltbBx3yZ5YaI9BTuAA8
4zBnYBc9gKy+sxkIMYfP72UlKxHWdadl16PvKQcrkPcSLAh/JadSOJMsDKxlOVuaIIIVOWimlSw5
q9rvBmKL/ZiExTGd33aC1Ew+ZxRwaHrDAGysTecUZTdZYWAijhAoT2MyoYl3X4mZoVwqAJpHREGZ
3KhHegpio4dI6B3GquNrsyjqblUbA8p5KVV+8IVlcGsSZwufbjMwtIXpJnJ6bdEfzGZ6nYMsc8pY
uJTZiXXOUCeAKFUE/rlW9N5XXA7nVcwjNNF93T3NMZxEj5YmM8IEMsBO33K8K7+Qaec5Rn8hx9Ia
vdVAmzOD1cDO2DH4WdusisPGkl1ab0FfMw6XQYHNqkGbgry7yDKzL5ZkVepd1MlycBJjjss5E/vK
rDetB9lrmnAa0ZVFsKFjijTO3Ug3CsACquVdy7UVV19Vt/WocLVR9SlUE9P9FhkB+BRZBWo4iZ0e
BMh/wuUzApUZ4O/D5ZdH9M+3idoY/Nnf8dIGMCrUYhg4KpbyduT5FC9RD2HU6EDyfCtqox84gE/h
PunOE5WKKPsaL7UD8EsqqFVNthRYVv8oXopo+DZaCrdryiAhraPAvdAFHfbNzLOXJa8ty5RoKQID
KAevMpAOTJ7zqd8arigypLBf38hQUTmjY4t2jqz/EpaVGHcuM9RzwHCGc4MbtWROEysexpUNOQ1a
V502+mFVueMVSq4oE5qKfhvawFXzLLTXJSKSR4olGO5WafTn9KoutSEDGGoOnlUdtVFYad9aDnL7
vHOLtsXyDU5Mq7cBxYAUn3VhXCnzIM8zdU6TscF/T/IwN6ZGoLEUDc5csMvkWZU+GLHenVoAbs/0
Bv2uqZKD9V9kbq9N47ZBUFs4dVtBl2lncqvg4N3G4VlZRx2sD6pX3zmnifBoYPudgsOBTH9tURim
2IIbwh9cRd0Qk5kAxLy7cJK50SeH7jAUmDIngcDUz+Kh+OHb/iVt2lMFB/JGa69iYZ8HDiX8akXo
BAjvpRPJykvEoA1zHQeQPJ2EuduoYiYhSdoPPazSle768mlaFzgYtFRdwFANRAzsE2glp1WKhvao
2i0ot1Fd1ql1MyjSHVZnxQx/P4hMde2p6PtomJ95GG7P4ekFzLfEJRDqVSKzvCn1Wutnpp36l5XX
IlwJixOdIbm/0+GysYoqNXUV0SrVpRJ1RGO8LMzaXvuSopy+2Xvnzw/tOzi+mM//8iwLVVbFpkEj
WIjsmbfPcjGUhedRZZ2Cudl0DDiuxitrAv0DEH66QnCMgnKOEMYcRvbEWOsLbY6U9DT6F8+6AYjh
zX3gjaUJDjkpsCGSXSA87+8D39Gu8So/OwXNuB5iv59GGCQD5QSAxYTEmReti5aiahLQXFs+8azS
XSt8R2ZUIORpYRzjwua21fFb3WfOolKBE9R1vnDt8ZtlYB0bugwP3LG/LWKkE9WyGKZWhUZ6j1kl
gE8mUIbfz9F0XXYKzEh3BDdnu9B7ndWoIbymqkvcY5VJUaMSFDiw6pJ0xcBhlqGVNsnkfN513rHq
Qu2NUmST6d/AKw6Rrm+L066nyVN4grekeTdel61QZTsBTSoDss2XcsSDZjkF0ws5vPrzV/z+EHnx
WZNRvdUdIPOa88sh4oxq5+SJW57KbRIuOQjwESiBM0mBPzcyVKP04l/56W43SHnznr98m1KPtkkb
edVp4WlfDRdgGSw4aJPWSk+ak6xwGdKaAMgtJJiMmGY2Q8DheMRhGgMC4zgL7Ds5oBXdVtIPYjUI
tgKLVvNCdscHwyu+JR0WpkVa5M/slP+UsAbfwO9j8tfmfrOlgOVvXgOyqghZH51kWnhJC1uLny1g
hVhtyrhLQ/6gHqXsfW0BO/yEfjElrMqvoBj0MyDbB/SSUa3jRwpmGvBI/kELWJN/LWB5DyQuTFEu
432oKL88cHFd1jLK5PJZHWZ36OoaSzPSpCMVr3vGl0qOjAJ7rkl157SP3GqRIWyOMaW+LjMDbduU
aT4NFOO4LMcGteAIM/nOXLZdcxXbfX5SjtI0b2UdbNKD0kYAGpIOzQdE4EezO3RcewE0VJ7l1E1N
5dJRdYZkanX6TZeWKz3w02tO2Wbq5fmDieFq1uQ3paLnzKhRjjW94iEenGiWVUw/i65b9XnfM9/O
/PRC1sAQhTr4Gs08cs3Omded7E6TTsLCUBFmzTE4TbfeWI334CZ2t6AtLM+9IS8OkaRNUEaTLpGJ
j8+dulTQx8frAsNkWI+DZc3cgEm8JzFpSt0BMopeUkho36vABNVYnNp1wFTJj+4CVbuuMyefSaH6
mEdGP3dH76ak0ghoXDVI6yLur6wgx32n2E+R8/JXkYN2tIx6jamCyvSOwtG5VkKOXmMUECtVvs4t
8K8jX0Lt5/U0dpmHqrWxGZqqh0pZ3aE7xHmJoeykoJjrdPncjnVl5rvBReAw95USDLLXwyBjsIdU
mIxkmIx0GC3ho1ZoiWlhddmYTjnpGSxNxpIho4X0WGjCYbHyeGYBAZkUktSgLO2oFoCkOq6ilZ2V
yTxIK/vMUfNhGae2OgEgfKikhYNWffmoFi147dHyLiQBGBkD48FBSuK0GNQfMfoOJhBWhC1Q13dO
wcXiPZiW0cSNML6uDZgRKQXK2ouyMx8SDcKa9hlmHAiEmw7H4gDgJ8Lto1LoQ5TqKcI7KTPkkcwi
IM4oDb4mioFxb8/wlDn2NzP3v0QRBiBlg4W26kOCUrE9qTwWN4YOBRIGmRWU8xQ3u0/AezaowqxB
8lwodv4DFtO88ftlU/T2NCU7mcp1qR2acXGYm8m6rw38h7WzQYnOqNb7qRMzWpWz8Fbu3BsjkapV
HTnZ1Jesm7L2DG5bPXZz8inJBn1UFEk4aWT5MhnqtUz/tYjCyyDw5mYTf+3k8h5Fl2yqREisD8zZ
7TJqZph0iHCaAl9gcQ1dWrcx9himLIxenCFifmwdy4XyQKzXZlU93OaaitiXghlkJXhO9VjMhr49
jNxRhvoun3Zxd++z1nNTy91pagYFban8TkvzE4dhjmlnixClLZIH96GWu4VVCoxS3BVTBDsyJEma
ox5k2nRw4miaDsb3WrDsC8QYEzs8Llzm1kGeICVCihD61Tc7LI6YC90o0fhFkaoL7o/5g25MnM45
KYW5Ajc888a2wwg9wlSX+r8Z5cvK0b4NtZOfIa4VTwOUgdfwT6RDYO9MzQGHtFFxpSPZ5efRpW2m
BhY4oFxgqrvVoWtxlbH0jVUCFLh0YZCFGojlJFEvQhlolo2KGv2TCumXzIqmWB/CXAJzMgUifgYt
FoZal8Uz/HtAyHn9RajKiD8Y8gMK+C+Wgv8fxNmXW5xt6s08Bc4yXDSP5XD5WNGvqF5DkPjpE4H1
Ovu//dKfL/QXJTDvfD3kj//9X5vvSZDOgqoug4f6bRBGzYh4+S5oP93T0w3/6RLxhqs337m2Zh2o
hs65oTjy04vsPs7QRXv+MeUCEVpBn5Wur/P0enrDN2v0u1X48wd8Xs4//87vP4Homz8t0OH3//4v
5bmlwL/945Xgb94shXmgaXQHyGJ+uxQwz4FFi/E277V/i6CT9Oy4CDrTemQZLR6I1+/7w/PgcBDQ
cHj9+V4uhfJri+nf2RkfngcQaOgVs82eXlu2Bj9TVIWCag8XATPk/8vx8H4RrANaaDZCXdrzGvBR
3z0PUA9U1sgS2pp7uAa0Cp4363NP7e9j+18cke/XwBZcd5W+IYM28RI/fXtGqjDebSRNCY/7ugi7
Hwz0Wx2NwokmwdOL+u7dIhAo6M9YKEA977z9Ox1F+3jn05FmHKIUmvXbRaAlrcimzPLs5XZQnm9s
l+1gHrAbNAFoed4Ov6YMbAekFyjZRTW/n4tAh2vHJ8E5gBaDQCZy9U+vD2eCSvvCUJB429szYfdF
QCQULICDrOj27UBwoFJEBO/lqdu/M0Gc5Ts/CYbC0Q9+8TeLADaSFFshT9jT7SAoezsugi0UDxlB
CR7hu7DAYUAOJVwdnrPqvV2D3YODg1EwSQAh8rdHAiQe8mYxpdvPc3HnNAEFd9H+1Zmk/vog6AcM
F4ExMVt9eu3pGsjP5/UOARJurSVmZao4G8XrQ86s86ToGjnz8+mzh8fic0WzwyJo9oEFFRnA8vMa
iFLkw8EgIGXwR5+2y94eDJ+RMFkg8AwAAS9r8ctSiNTZNvhP2deDQd89TJI1WjoIQiHvJV6/1g/k
CoQP+ObO3iZMu1fTIDmhQijOx9ORTIkpk0VavafnorZ7gCQCEP8Y6r3kzFTm744EMLDIteEMu691
g7pzfKTfSmFE6YRm3uux934NHKor3QI4BOBWvPb0cVB2zxnVA4g4oEqol59eHx4H48Dg1DQUEkvx
2tcIoXzG4WjLKkcD3kjPr193hmhBOSbKHnvbV9i9zWYcaBhNUEc9f93i+/51a4hyE2zBfvZbkTr5
jJIaCCLoRAGwf/fpwVfwAwvgwr7ugw9Ohf+85U58BCdCiaA/7XjRu32/CPIBP2Q+IRQ+9/lI2L2I
kA90eq2QH59XYttSmMItgFnNnoYIfffMGVVYXSYpMn/XZROgIxVip7Ae28uS+qXE26WSsg5gwqLq
ZL6Ukx8yZx4VVEMsBeLpXm+K3YtKHbtSVdUAwz6HyV+XQrEPxNPAMfk8qtnXo9LYOZGk0UJeZLIc
vykqxWCOMS2Nx+cTZF+X4mVIsNsGobREDwWE4dPr16eCpYBQJ4bae3tKPH87uywCgtwieUTR7Tlg
cMX3oROCA3hbtN72NV5ou9fXT9UVAE/8ip9efNT3i8CmUJGPR/VnX+PFznk07UfdeSJqvnRaPnRi
5QOMMRlXKM/vtX/tR3X3XgOBgFH03zHzQw+WnhtPAu6gwvRuLzMHQbTYbSojmvEUS5yML0/Clu0g
Kg2wPHu7HXavqMwDTBGfaF3PB+OHmgJ0OnL/wM/3tfUmuoW7PQl041UoaTozyN8sAgcjxYRMX2pP
t4O2e/YIxZ69oGNZ/5tFUFgl8F6Os9/V5Uv/Y7dsQUWXCiTLy6xyy6ZAFlQXjKA9fR4EwWTHTaHR
gGQAhXf1c7bwa95IP9o2GFyjrLuniyAkk3ZcBPsAmzKTw+EF3PbhSaBNi3awTtt6TxdB3T1vtA/I
BMSz8AL9/bAI9BmEjAYixs+vPV0Kbee6UmP+ABGLue1LXfkhZ5APaDqhA6Lt7bBy55xBTPA1wd5+
Rb3yhP1aR5h0pfCw50lhA+5fCi0EZHY8GTQUaWTcSl/a8R/78TSmBHFP2dt5nbb7ZAaLbAvgqw6+
9+n1YTuIakv8x+RCvPY1UmjPD+ouOYNJNIT+DfTz70Pw/aZgKWSU7ug57eum2Plk0J6iIYZTIv14
9+lJFhRTs5luvyzPvq7B7sWEBVxF+AJQPj+/flkK+m2k2JyfLx2dPTwdd08eDQomNMWJhc/FBBv/
3fMgSAGcnMA+97XB8NID2+VIIALQbAfc+bvRhHIgCFPUEXubLOx8LtJlgfPA1keK5ulF0Hn/JGAH
jrQb8mz7ei6+HNi7PAmi30b+LPosT68P2wF4F3I8yMDu7SLsXkbQg0eTCKbQS+78a4xgho8JC+jY
va2qX6iNuzwJQshQuG7ShN7+JMhsB1VR8ILZ0xD5QQrj/wJkgDALdIn+8tPrw5kAKQBqiM258e8v
wr8RR/8mKE/9IP7+RE0OHqttDObf/cIrJ/fjz99wbp+Yx+9+U1CVn9/8J3X5f94xl9WnKunNT1+r
pqd3evn7l4/48c3fvdnr53r9x1XwWG7KB4QInljBLzd6uklgOP9vzP++b35lDIuWz+u/baFZvy0c
/nx1/IYeXy/0k44s5Ed+ftRfONz/9sWTzfesfL3Qm4tzuO588UlT19tunJvb+drTTbxp+Uqq12u9
uXee992vj5Z99eErpZVJi+oTLp7W5eavaVbV296CRGbnt5g9xn+dZuXW9Sc87nz9efzXLCt5eF6v
9Wb9KWB3vv6ifKzSbRcn4O188WX8mKav13lz45+xXVdNcp/F3+uPl1c+Y8MeJvljGWziLZf/jC17
iD3Nlkt/xo49eiy3rLkYEO/8fR4FqbflIBAE/Z2vfbyJtpxhgkbxCZeuqsdta/IZG/Q4q/7639R7
jB+3rcxnbNGTzXcO4Nd1+LmNBBNz57U52eBK+HqdN9f+jC0qro0T7ZZbF+j73W/9Mf2ePQTbTi/B
z/yE65cPj99fL/RzbQQOcPeLZ9z763XeXPsztulJtnVNPmOXcun6sXwcttz5Z+zU002+7Wn5jH16
+thuPuaOhiwmsDt/m2flhiPg9UJvvs7P2KLn8ebhcUvuKLpRO9/5Oea525I7MX7a+eKXAaljFXzf
sjJiqLHz9a82DyUlQVpviaViYPAJb5D+NXlEpHvbG3zGVr3aiDco0035fetBJqhan/IpZsGjt+1D
fMauFR9iwQ54CKqHbe/xGdtXvMc62xTNtmglACWfskrHTVD9dXYfVPm2z/EZm1l8jpNN/bjt+p+x
n7l+vflrsinvN9tyBiEr9RkrxXtMccLYcliLVvRnvUPZjK8X+3mmCgLr7m/gb7bWhPqnbGp6GFuX
5lM2c1BFOAg3r4vwZmE+ZS9n8WZb9iB6vbuvOolJsu2Z+ZT9W2/wK4o3TfV6p2+W5lO2rmizbInD
QhJ+56W5fvQ325ZG0At2v/gfncd/p0/IPvsbdvCnxtkfPXF2vzgNomRbX070t3demT8bFOx6839w
29v50r9Xcf7zpbe1Zf9GvXxs1r6qO277s/e9aPEbD/Hjpvyf/wcAAP//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_xlchart.v5.15</cx:f>
        <cx:nf>_xlchart.v5.14</cx:nf>
      </cx:numDim>
    </cx:data>
  </cx:chartData>
  <cx:chart>
    <cx:title pos="t" align="ctr" overlay="0"/>
    <cx:plotArea>
      <cx:plotAreaRegion>
        <cx:series layoutId="regionMap" uniqueId="{00000000-23A4-4707-8751-1377DCEC9AC0}">
          <cx:tx>
            <cx:txData>
              <cx:f>_xlchart.v5.14</cx:f>
              <cx:v>Amount</cx:v>
            </cx:txData>
          </cx:tx>
          <cx:dataId val="0"/>
          <cx:layoutPr>
            <cx:geography cultureLanguage="en-US" cultureRegion="IN" attribution="Powered by Bing">
              <cx:geoCache provider="{E9337A44-BEBE-4D9F-B70C-5C5E7DAFC167}">
                <cx:binary>7H1Zc9u6su5fSeX50gsTCWDXXqdqgZQsz7MzvLAUW+FMcADHX39bdpJtDc6Wq+KHq3uUVcmypYaa
/Ah099eNxr8f+n89pIt59aHP0rz+10P/98fQmOJff/1VP4SLbF4fZNFDpWv93Rw86Owv/f179LD4
67Gad1Ee/EUQZn89hPPKLPqP//NvGC1Y6FP9MDeRzq+aRTVcL+omNfVv3tv61of5YxblXlSbKnow
+O+P7jyNvusqj+YfV98jf388mz8uqvkHVze5GT5+WOQmMsPtUCz+/rgyDPn44a/1b9vQ7EMKypvm
EYSpcyAdQm3CbfT0wh8/pDoPfrxtYYIOkEOZYFj+/NrzeQaSu2v0pM/88bFa1DVc2NO/G/IrVwH3
4p//eg8elvdiefcDAOLvj3d5ZBaPH27M3Czqjx+iWj/drGpw9fJC726e7sxfq/j9z7/XfgH3au03
LyBev7H/7a1VFP8LwoD+vAWM63cAWRxgQBkTzp9BhqdkHWRHIEkoc1ZBfpNS23HeHGIHqDeF9gzt
83nxHrNZHBDJCcMEPwNN14EmB0RIhmwBj8DzIvI8m3fVZzvGK9I7wLvy+T1D9p8UlsfH9wCXHwjE
BBEOlU8vvgVcAJ87a9i+QaPt8K4PsAPC6yJ7BvJRViyqaJ6+w1pNDrgkwmb0lSmM7QPbsW0bc+en
wX45kd+i2Xa0N0bYAe4NmT3D+5+0iPLFO6AtDhxJbQfb7HlOi7U5jeUBh5dtc7a6YO+u0XaU1+R3
wHhNYt8QzuaPunoXhCksyYgIAHDd6eKcEEmR3DaR/9lZoVcAXpXfBeBViT0DWDXGvMcMlgc2BscZ
vTaDCT6wbeZg8MlWZ/DOCm3Hd1V8B3hXBfYMXVenTf0eTpc8IMvACFboV0IncoCQoI5k9iq8u2u0
Hd81+R0AXpPYO4Qh2l8iXJv3wFkcICykpJRvN8SEHGCgQWyOwUS/dLhc/Ta9XkN7yyg7Yb5Fbs+Q
9xbph3MN/Nuft84MH3CbgRleYr98bcRUDOY/oxBTrQVVb1JqO+abQ+wA+KbQnqE9ST94ugJn7M+j
TcUBJ9KxyY8AWgKlueGSSYlhmm+Nrd6k2nbMN4fYAfNNoT3D/LaKgL0d/jziDB1wCtw2t51X5jc5
WNJhGAz86rL+BpW2I70+wA44r4vsGco38/yDWlT5vHqM8veY3uwAgyuGBaXb2U/MgR5lSPK1VMbb
FdsO+Svj7ID8K5J79gBMIQP0LsA7MMsxkGIYP8/y9XV9yaIIG/7gNSd9d422I74mvwPSaxJ7hvDZ
In/UD+8zu+UBXpJknP8gRjcylRRcNe5QunTiXnrob1JqO86bQ+wA9abQnqF9mC7y/M8bbQqUCgGb
LAlkI1f9MwjCpMAc8tWrEO+syXZ4V8V3gHZVYM9gnTXZN50+mj+P7NIdEw5mbBNZsN0OpgjSW89L
+Cq+b1FpO8QbI+yA8obMngF9lA/v4YY5kKckMIP5j5zGhjVeliNIxxFijUrZVZ/tCK9I74Duyuf3
DNmlP3naRPWHi29RXbwHyDYUEhAHSyaefe0Na4wOHAiigfbe4my/UbXteL92jTtA/5ronj0FJxBs
/flFnNoHlD8lPJ5JErQOPXjbSy4VQ+C9uorvqs92vFekdwB55fP7hixUJr5HoZhzAKBBDQmzXw2k
HHgPclnr0O6q0CvYrojvAu6KwJ6he6Nznb1PkoNR6UCF2I86wC3lYRzbDoNyz9WZu7tG2/Fdk98B
4DWJPUP4dJ68QzYDAifIVWCOoKbg6QVR0nr8JLGNHcHX6jx31Wc7uivSO2C78vm9Q7auF+9gdSF0
YlAlJCR5hhZtzF1wuOBtJpy1pfl0vqtGr6G7Ir8TvisS+4awrj/8kweLdPEeFpgdIJsQKn5a4I2C
MCjxZRRKimCaL19raYvTtyn3CuJbBtkF9i1ie4b9MnCYVvP8Iaof9E8T+Se2YXAgRhDiEBJvd7yg
/IDBThRb0C3h1C+NdnH2t0O+cmG/htkB9O2Cewb72RwSlL/uyjO3/GdQl5xBchL9SEivT3ZA3YZ8
lsPlGlOys0Lb0V4V3wHlVYE9Q/dm/lBBzX5u3oMnEQc2hxJfoEmeJzYY51WXDB8wufwDEfWW9fxt
um1He8sYO0C+RWrPcF8+1IV+l6pBfgAhFNQdiB/e2haKRDqMCwjEttHdb9FsO+YbI+yA+IbMvuG9
qB5gh6D7x/dQ8gOKHOkI54fx3ljGwXcXWILLtnWOn+2s1ytYr8rvgvSqxL7hrCEH/edhhlpBJpEE
9utHLdFGdhId2IxAHTiG2GwlAb2rQq/guyK+C7wrAnuH7ruUkEBYBZtsfk3hjUJQILUJAe8cFux1
cHfT5zVsX0jvBO2Lz+8fsmZRLd6hDBB2uTvc4Zyi14hPfOAA7+nQ9b2TZ1DdvatOryK8OsJuKK/K
7BnSt4tw/h4EN5BksC3SAQbllUIwCKhgrw6G7TjPjtkae7K7XtuxXpPfAek1iT3D+XzRzt9lKzQs
xg7hgqIfu3I2yFAMKUjYksPkGtG9u0bbEV6T3wHhNYk9Q3hJ/5xBx433CJ2fgijOYX/sK6EzTGYi
oCiQrU3jNym1HefNIXaAelNoz9C+AOozeI/EFYVN77DtQjivbYOG3gc2bJR11vnu3TXajvOa/A4g
r0nsGcKX6fxh8T7boMF3XmL8vNl5M30FKzZfNj0gvwjwlyHU7nptx3lNfgec1yT2DucGOl/9+SAZ
UtCSOhy2WP3wwDb4TgQbbgRE0XStFP8y3VWj1xBekd8J4RWJPUP4OoJuUnX0+D7LtRTIpvRHAdhm
BRgwYtBrCqqE1oLlNym1HefNIXaAelNoz9Beuh5qAZvo3sMRg4Jemyy7HLxSFQYtDhgiCAq717zt
t2m1He8tY+wA+BapPUTcixbBewAOPYgwpCWhD9Fatgp20GGHCthi9+NRWOXClnd9Z51eh3t1iB3R
XhXaQ7CP9bxs3isNDWgzAhUGT68t0TSRUBQq5XO4vSXceoNyr+O+PsiOyK+L7R/20PFCzatv83fp
AMqWlSXLGoNXODNgvh0pgDWDJidPr405/zb1XsV/yzC7PQFbBPfyGXDT93kCwFuDgjIoGn0tf4kP
oDAJA5225rPDeg/3fme1fof86iA7474qtp+oV834DoEaNP7lwISjn9nMdVMPVDk0LYOitHUK9Qfo
O2r1W8xfjrE75C+l9g3xcP4u7Y0gMQIdBMFzo691ACYH4NYhAXu61pb3nTV6BelV+V1QXpXYN4Sj
RfUuZhw2TTuIwv7Z5xqTTYINHcCbYOjFdiduZ71ewXlVfhecVyX2Duc6iQbd/PmVe9mzikIlMPnZ
Bxg4ltWSQnLgQE9RG/q2r83laHedXkN5bYSdcF6T2TekdTp/UZTx56qDlyUpQJgvyxaeXutFhEsL
zSRM5w3aZWeNXkF5VX4XjFcl9g1hM8+jOp0370GYc9i2g6CjhfPani1IjKDllg++VgMOJx28QatX
kN4cYxe0N6X2DfFls9j3SINBExtKCBzF8CPY3vC6oRBpOes3ChdudtboFaRX5XdBeVVizxD+otP3
YE6hnzeHvhfQUm7dKIPV5rBrC7qcrBrlXRXZDuuK9A6grnx+zyC9bYAfeY90F+yKp2hZMfYjd71u
iJe1oXLJkNhrDtfuGm1Hd01+B3zXJPYOYWjznL1LI35+IAU0B4SF9xVnC0GATDAWZAPj3XV6DeW1
EXbCeU1mz5C+Bze6eZc4GRr6QhRM0WuNnp8mM9ShOGjN33qDSttxXh9gB5jXRfYM5S/NN6CP//h+
nGWnQAzdIKFY/+m10QYBWvJDCwQBhNiaLd5Rn+34rlzNDuCufP7/AWR/r+LKBS/POvvn573dslP2
rafUQeNWOEPBgRTV9tV5maPC0NYEcN+Wo4LjxH6drPdqfP58uN/GOXUvZVeu8fkSf39T3ucUutdP
qPt11J83N/PJ0yGBLw6p+/27Tw81nG24JvpjJ9MWEH/1YDx6/PsjNOWksI8Zfvfr/MHlQCv7oP6z
pfTno7EquQDy+++PcOYghLwEmpQgQNSmEgEl3S1+vSUcAnumf7wD35dDa/gQTjKE5t4UQmkw0PAP
gb08Hz/UuvnxFjSkYsu+kbB/XjAqfh3keKnTIdD5rzvz4+cPeZNd6ig39d8fIfH98UPx/Lmlvjay
OQdWBrQD6oURYsM3FQ/z62VLIrgR/4fGbV6Puu8u+lQglzVRMaVtGE+KuHUz3ptpbSU1Vb3N2i9d
nJ0UdS8Pwd5wxcoocv0hqD0/F/g6CJyJJexMZUPOXQdF1gky49z2yXguG7PonLKe8DgJVJH6N7Sx
nLO8TUM1tLScFn1bnkNPxUkchPcm7CYdyqNpJMVxZsgxq/D3pB/uuzA75iy5KNPK45jMZBTGSsZZ
qKKMFl6c4kCNA029HrHaDWQTKmY7i5izu86xviattejasPS4P2Ru3w29gt5Fj2U2BCpB1rlBbePh
Kh9Ul3S5aqXzbQhZ4kk488hNeWtU25jIawZ9H2b6ijjBxNFVovjAGrdsTDsJqsMmOAuiI6eg12Xt
nNHUX4xppob80sFF59EqOc+lMx37+FNWUuUT/yHM7dvW9kOF4u9DwAovSsmVqIZBiWZEkzao77Rl
iBoaU7hNGqbT3qS9KiUtvcoZbrLA2J7hHZvVAsUuTcNqgvKGq1Gz0c0iPLq1H8uJZZzaYyaYJSGr
VWbRw6ax4msbp8TrSapVPLBY4chuPVtb9Kwqk0hx3bVuInBxPFrVta77VDFLo8Omr49shCOvoiaa
sia2Z40vh+Q+DywenJF6zD7FtW1JlWZlAbevHd2eOp1q+6ib5Lb4Xstw1oftRWiqxKVZbfiZ8U0t
v1b2GD1mqeaWJ3EqZxHD/tSuHXzBUdS79SgbNyBDPi1Yp8+ykUR3ohP3lYn6GaT9vyZRn7l2W0QX
HYuJZxVNNSWDuJV5d0Qz+7Co/OYwHXE6qzC+sxofew3q6KT3x/yw7fLgOmNZqXhN8os6l16J4F7S
uj3rw0HfwhPA3YJx7cZl2l9CV8p6IpquuA3K9lsNhWUnPCGt68ThosBh745sQJNI4nNLaN8o1PRw
623scmmaWdX41YxUTnpTOmV60Wqe3yZkMF6Bo9BtWXGrhfGMcSw1NqNRQWTPeidPVONbsRvTRiuj
h4vOSN+1aNW7WaLlxI5Id2IcLKZD5DvHZkDz3i/cMuzuxcAKl+ZoUDooYi9gclCkZ9aRZcnuaxJ3
ncrH0vciYfLDvtDJQ0LtepY2XanGUhwnXdjP2tGISWXkyLxqLHzl2LK66ij2T8OAijPRDuc1lGgo
mVqDy3UEMzNrq2mPRO8Zktdnlhi1qnGCVGL34+TlYacra9yDLoYqCsIf59X++vF/bnUG/z2dfvqf
Xy6Pu/3PT4cLvTwtsl7/0NIe/frUf05QXa7/v45TXbMqz2fmvmJyfvvmm+zRsvnk6/boucR70xY9
taz8aYvg/FugX23HgYTKhi2CXf6MUQd64tnQvOU/tkgeQD9yCrEkkTbDkGN/aYuABLKhXhJYQEDU
kW+xRWC9Nm0RtD2HRgIQvoKPRIGbeGmL2qFrmWG8uzB9m7jMJJ90O1xz3baTVAYXGS7jBx21uYoG
eksNjd2WWv6N4N13K0RT4thMjdQaVSBKWAJToTIepJOo8r9VQYLdPuUVrOH5NZNpcIik9g+71j8T
cNayFxb8W0OjG6cdP4WZcVySmkaRgrm9DrNZwotjWtRg3TjYHCrz6ZiSG/gurzO4UVXXhB5pBqxi
0cSuPzpnJpF3sHcvVHkSPMa1OGOVf4VYfxEG9UxzXKi2Ha5IiNCUCdqqmLWXPeF6IihxFCd9p7I0
cf2AqHEsXVo28RFiJFJdgWc49LOpNLD2JBFMxmYo6IQm/qGTpJXSNJMzv2C3lQSTNUivoXTSFDVS
ZWVHbpQNRyOOmWvyUKgAjfe2fMy071WkP6trMLGt+dygMXKLuO4Vo1GrmsFPldOCQbX7YdEifdRi
PuXU4kqi8D7AWaCksNxUpKViVQYr1TiLCb/oIn7OWeAGurrXlv2taYYTrpNDKxk9h3K3rPFR4ydX
ZKC5CmznWsAd8iMeKEtX0y5Nzysmr50IfUv6EakeSazA7oxK8u4uI+xLLOQ5KXjnmjZn06LBtZI9
P8GxuLVSmrvOiO6jNk5Vl8cnI/Xvir46LxrrJKgSqeo0XTAr/Nq31m1Bm9M+7K8N2GfkWJ/BOD6k
MraVbQ+tWxUBWNRUiwmpy+98GG5QY0WqZPIMYDrtYu6VVez57Dsu7IlP4HK6ZpwWXNceYdGNDuOZ
EwutUMAPx5jbqsr1V5o7X8D2DW4+9HPWdPB84bJUWQBrfGv0KW7TRx+eSFnRzGNEH+LUOW6cYaYd
89haYK9JSG/tOjgMogiMhF9eYtQZhZO29+B0qFBV1hB7VtgINVBRKCST+9jATRpzK1Z2WNuKZeTa
OMVEFtlsQFklJ7XJi2M/6IJz0uj7vv6SlkcU5tyXzERKDyWahQH4BqNhd7ocwquhq+SRn4Cfo3nd
H7LWj8DQdcxtShxPhia0VWQV3+0YDNVph0uTX/mhHw8TkyXleNfaOkqU3failirwE3aT+7RIXCug
9xGL9YTh5gaaGYzKH5jqc2Z7smu9VMSxx3N5OBRd7VlYCM90VXocgXWeZK2PJ0VHv+jWjifjCNMt
DeGRzjvjqLCv3Mi2qWtFmRcI2d+IoneUDsOLPhwfielVVAbCi6JyirrGa5IMT8Ye+5PcEaGXiGCa
cn7eM6ZMEbkjEp8iO5+GwvaVEeHUMeYoElRVaPDSXl+mUTMtWsu4o1Wf6KIulNWaYxbmwXma9HcJ
c27g7uLDUrLzOq4u+7K5k4mcVZTlbuB332qH3WtNP2eIp4r4pRunNFNlOY5Tp4vu7bBnSo9Z6MKJ
Iued30qVd7RzkzA9Rd14CL8lbh/FhSqN/aWwnEKR0ppUNPk+jOVdEfP7oozO0op9qyAYcFHGLxwj
j51GI3DzQ6po2WE1mMBykY+/oT6+FiQ/BfBK8L/HTpmE32Vt28EMoca1OxFOShF4zmgxcJ/lqOKk
9LSByTTA1OMjXGdIjuqgbVUUmuu4gVWA4GOE+YnfmNPETivwkLhRaeeEym8zqWiUparhIvZYhseJ
n5iFFY5mqmUZT00jI1UU6Dz3pTVp02aYkRwfj4E/t4bsNEzGO2ugROF+eLDaMr4Zir53q66bFTXL
IWSRiceD8qHTKFJWhQpXZ/ldJJyTsCgeopEbcDlRdtvn1czKyR0nTeb6BaCRcn86NAnyhC9g2eiO
eFb4nu80syIG61CYB0k6puoshWetzprOVikKrOq4QnhoFUqDfMIcWU/rJ+eXPDnC/+sRPUXoy706
r3tEz4eObnpET9suX3hE0CIYwl6IfQV0E12JzhGBOrNl3yOYH5ADexGcQ/YEsijLo5bgDL2V4Bz2
CYFDBM1xoCk8PKFvcogI2nCIoNUOglNCgAyCQ1+WtREvHSJd2GNiD359gVJ6m+j6htT2Scbqq6Qv
YgXeUngcINVlmM3iAdb5LEn8qd86YA37xleoLCCOGWAF04N1jdg4uuDmYNUxWATrEV8ZVBLFJIyV
cx1O0rjARzKoiCrC9KbieQxmQguFdX9mlUirLI8Ltxtby7V62/e44fEkbYmlKtOV5yjPbqFzhX3G
2zE/jQkxSjukhCW9DiYk5YesloESre5cJwwhVK/y2zAX1EutDCxTVR+VhT31hQkmdYKJ4ixbjGV4
X6HUUimxZ5paN9aYYOWX9dk4jq0a7eAbMG2xKu1mcCsNoWV1FONTHNDHNpxX1DUymGntB17XNkSV
YxPDHUlSL0/7xCNjXUyKIZ53oy5Ub6rHxnTH2BQduDVwQVXrH9WVuBwsXkAMP7HG08bg456Jr3bs
HGkUMyUHG3mS26dVUF1GWQ8eUwuGVvf4InGqFBysZoIFAkgor5UJgvqIVwyp2s+uSdCxK2mFDz3J
r+pcNCd+SlM3wiGeklITVfMWT6lTNZPC12aSJksXI4G1uELilETh0dBETNlV6MUiv+6TOlZobPCk
pBl3RQ0cgiOzfuIgXk6C0rQ3gUHU9bH8FFg6VhCbHZYoPq4TfsvkOMdWkB9mQ6IMMpO4DaWnSZio
glahKlgx61BLXMeUx9C4F1yIqjyUNIvdxMc5uiyYyW+EX8IXV7UqEn0xsuoh0p0+Iq11CQ/4XOpI
qyoO8uMwwZ+rsj2rQtl4lmCxF3V00XfNogXfalqbHoxVLfwZ7+1vGUxRpUEVN4mcZBp1zY1Ngvok
E+i4jeMvxShPxhJ4DluHh7qzTsthKFSNBJqawMdKJ36nqro+N/EI06e9DQP/WxlyMcup7FVsZTf+
SEPVk+ZTSflRUgJLImx9DEVxKTg8TjYVdX7kBPZdFaLwuDW5o5J4vIExu9OytVu3l1pPTOBUbh6N
kWqrPJliuQSvp4OLHN/xsM8+1Tqu3HZsGlXXeX5ck6Z3e4tzFQ5RqdI6BR+hr/XnAPnBLA/D6jJ2
bKk6oHr6fMBT0WT3goyxCkw47dsYq5posHy0yCd+GjeTOkoimO0GjGukQ6VjJwS/vjlCo0BHpQiP
OPbTQwd0UaVDBwXLolEiqy/r2IxKl/mMmXIWW44XayAc4tjEbpFaGGYaM66FSK8GFnJPAu1nGM4V
h/+xmH0ZB1Lpur3DfXxiV82xpsO5ZNVNy9tGjXV2GFp+ovLMHyEgwudt39xF2s5VOoSXGWuukgDY
iQQCkGz8XPuMqwT8X5Xp+N5pgQHs0Wyo61sjHIhimhwpBP4QMAz9aVKXE44qPc0GUStS9Wd+Ra+S
fEgnfYcnnBTHpGlyNdTNd2b7X6MAXzAdn1ttcVnGvHRFW3/zfbtXTTJ+TkMgO1kpxCSPs691xgk4
ncDNGQJcTMhOeqvQ4F/AU2Oe6C66ZL4i5uT0EKrbyCTU/bG0I+39rwl/MuHst6TGc6HQpglfSr0g
2KH0f7mhk9rQ731pqF8Q7LA/G0N3QoyhVEmAu/DThi9JDahbElBGDj3Q1kkNypa7gcG2U9hLRN5i
wyEfu2HDOUwibC93pEFXrmUxzUsb3pKcmNKSwwUc61hPkZXmk5qhOlEJhcXyBCjb3lawhliWa/t5
cdbB6oaAprRF0qq6GhvwkJF92ud9qdqY5Kqp2TG4H8hNB1pPCTby3IFFdgYUenFFWFUohxnrBFht
+7CO9WcJwb5r2eghL8Hs4HC8yiKdKL/TKZCjbapowC9GkbZurlukgoInLqzao8IioKqJgtzNM3KV
UCs9ajNwJjLfnqAqtGcWB2tnU78+wkmTCyWd3HajIrlmWCy6pLzRbXRaZF3lVRBQH8W91R8HMk3d
0cjiAjXOVyCWrmUJo/g4OYO+ox0EuY1X93nq+Z08QwxuDSWp6oP2CiXjfdYUdzIuT6Kw/oqAwY6L
DJQdO+LmIj5lNlD64GGfjYV4HCWwJ8OQwAQn7cnAtXb9tCtdqzGZCp1+KoF7T0JaK1voqQ9UCrfK
s5wUn+NoSf/SwnejMKsmnT18GyNyjqMKfhDFdRQGqYtiWorLmgprOLQayBmAywRsDQK6vKy0J3A1
qQp9SHg/RbI7JMicNFhOcTUuRiGiic3bk7y3IcypuABrMABR1NSFy7I4cyvRFTMZSK06wj4VTXrW
WDTwSlZM2p7YXj0sfO5MCCmMS/xgPgz594YH2uOJncO6POopRiY9Eym59KsB6CQHgvYiLq7CapyL
svYVNlbghql23IoBCZA7QOkQcx/H+qpBGVKOA06QSOPpWE7tNKvckOaHDXau+i74BPyAVCargUQx
qddaWTsRDjyuooYIOEoC4/FhRDOe5tFEZzUEp4FvJlEp7ws/vkyyoATixznxO1F5Q1kDLWxHczSM
AbA4es57Wrl1b0VebfnjzDeaAcuWJJMiYJHKSAOrPx4Lr2cBA0MY3HCfwzOlKZmRLIMsgu7dJgd2
x+9HCyJ5HirK2ElqdVfAx33JOfVV3mdiAkmF08whMzjdybhtIC/6vK7BGyW2y0N8hAJUK6fARtkd
mIA47S90bx1V2lRq6JKHJm4+xRn9VgzdZcya3sNBtoBF6rwiQQaUoDhvOxtNYiEq5dd5eyqH+pIW
9DFmEbgnRTij6fCti+U5uH83UZ7GbmaPQLYY8A4tO5gKO46nRVA1YGycL7Uur0gQpmCUk0U8tuVs
IP7h2HQcuEoLHHpWp0oGS6op6GBSR+nEKpJPeac/4SoET7Bl8wrFX3OnyQB+bVSh/UJFmp41WtzH
lXWCg/ZYyAxNUG9PnBBIIG3HbqMbtwXiVsXS+mLK4ZDH+lRXEI53vO5UGPDPZgQ3IgmonLUFlxDn
ymzWYXjwylqyC5JoYXnlMq/z/6NZfGnfbNiL/rug9mUG/zn7/5TGfZL6aRExnD+3bLqP4KBvG04K
hQF/WUTYILvsM7bMLUNctGw29cMiMijAx8uekWhZdgBniL+Iapedu2FA6OouYNMVGMy3WES8ZPFX
Ms4SOtbBuR0O7AWgsFF7zSCakeqibJr+HDgqOWlhakG0RGOwOgnv2ivHsofjuG/zZIJQYr7A7G+B
IqvB/NUyLz+9uHtbEuDLs37WtQFjCQcFQcjOlqeArZpnlg9FIsOmPSdljs+DZMx9YJm0E7o9OKBS
tR1rvvC2AK63yoSBhSuuIIftjzVnLrQJyh+lMegCxggbj6QpvhttS+DDwbH9BR4s3E9/rzHZyNiD
PwMdIOH0DAnuBIQ+axpHPARsB3NOezsAjq0f07sW9lbQqeGDtoHx7zGEU9wXauTOEKkhQfQQMnAD
9qpWm8ewr2vsAiMLhsREuoWVPESt4pWdBJNAx+Fl0sjjDBK0tQdVSfK+DsuTJO3sfhLVkLaPqrDN
Dn9/VZswQMMkxAEIB54N+nTRL8oQ+GAFnVWk9XkOfvW9DgTE/ywh8GgUedNfdn0lbwofp59//7XL
Z+3lswjMChA4nEoCzyL8tVTrxdfaqIeEex3k57kY8TlOwuY8r4EcFn54//tvWs9tLb8JUmjADMGh
kZIvfdGX31TkDKjWKtTnokBsXna6Sg99IwaikiKcoLJJR5eiQUBemdpd9t8emnUvFK6SLA8yZODa
Qh3F+tfDvhzwWvIsOudlYs+zuLHnSbrUwR6zeuJUWqsBAfSHXVp2wJMkmi9MKuujTg7stHdohVza
xTpxY55nd7QqCPVCMQyLAgIpD1kjEA621Kya2dQBp/X3d295tvEaUFDkBssGJPAJW1alr94+5DR2
btu+dYYbP5tHlakDha3E5ExR8H6C4y6Mkm/A5RenPXBGU0ezPnIJbvl3w0fgtAcwUy7Efe0iqih/
bO0i5Me/V5I9FcusPE6UUXiIlr0FoJWfzaEk7yXITiUicIwNPYtZWfgSEhIyHA9701M5NW3TuFVf
oqs2G+xGhWHI3QrnhzWpisOUFcRN0jK7LlI76xVPwc2Ceht9NNQGLLVdFndOnQjPL3MfLHIcRyqC
DGin/LjOz7vCqi9Ka6STIMAyVtbo55lLWshc2o5Jr0kcXAZDTnuVNrw8N355awiUgHgQXMONjIb/
y965LcltY1n7VeYF2AEQPF4OD3msrLOqVHXDkCyJAAiQBE8A+fSz0ra6ZXW75++Ify46oh3hC4er
KjOZJLD3Wt/a8LE2BPO2ZcSikFY8TN4qMgcnHiX0ZqvdkuaW8EDnuBzi6AFP0Zldk62gNvSKTbpf
+tFMTzPxUG1ZPcW7ajTzMah8/9lwapt9FXsUnhFvqs9I7w8Q/lvjvc861kXfj/6x6dr+SE2qvoil
h0PRM908ibRycbaYoD4N1TDnK67DngZ+emcsdK3ADmZHqaMwiMOY1vliYf3mi8+rUo9sKOY+veOV
V5OC0m46YKvxbd4SGWXJFKuPThN+9oe0fwrZFO7nVHr+bow0amSQPeUIo2PbLVe/x3OOfPJHZb+N
dd+HOeodMmdt7S81cBzZ4eGwtlzrZU52Q1fxQk1MH1r8KLqiAA1BtOglzuQopZfHlY1B1oB9yIJJ
VTmbvFbvh6gp62BeyZWlCAoxQvdErReYaccmm457x2J3EzXbpqoHABmTBlck1NoOX3jFfX97G63n
YtBQ6YClvPvFX7Wc2JDN0zzDGpka2G1QJ4TZ9guIrOqoB4FCVIL9eSKxx45yZWyGaZeqKoPLB5Fj
4xq2WltV2A8n1VhTRo2tST6oiVZ33KCH7g7NGlterE6l0000Tgx3lK06Otp8xl64izwuq7sFj05U
5ybpE9xwrBn1rlViAB9ksHlVpVtElHsVqEl4RBVpg7yDQqpz6IO2ghEcK12OFaqCXdjWesuTLcSK
2foN2CvNB09lywgW7X4UntZlV4vkmzcvsSAF6fxpL4JkTm5Dr6qrU8sgXKOubd1otvUwIns6cDQX
PNZlNS5oeNJhBH62qkivBwJLvM9Df1Uihxi5qv0gjPByfK3+q9frjRaA+Bpd4F/i3SlJvBGXvG3R
G6AMPjK48Kps+BQ9bvPE2E56nU/P3PIxhnzGfT7tq2Hp2ydsxuwk681vdnOPd1B2k6q3MqFuS/NE
wua86GTFre3hURmKitL5NLAwVEVdsXqGF7rg6xTxiPqk3STbvqoGR+gVCd6ALtiquTlSIoJDLeIG
gEPTGFaITlTFBgs+zDw79Om9rCzYACaM3DLdyw0YX6WCHe2rOsTbTeO+pCvfuiMX1NZlkwbcZtef
y2gq0ha3T80M6DoBDmNywnsHUAf7IRN4jtBEb7/qo8kSeOx5Vdafb6M+XbuiTc10CecWW1I9xg1+
IdUMV6sSnLZvoLVafjKrVm43WjQSZzrV0zP4rvBT6CpdZQnFzbubWxezcow2gTc/U6kLxUwz5omt
SkGFeVPWorKQtVyexjCyn/uBs8MS27oqkyYkftYmFf5OqDrpdu2w0NvN9Sx4GKeQPqNnxk/YyBuT
fKJr7MrF11IcBuf79thCCvXvhBenLy0x15tTSjPuYzXy8d6twZTkxFh8Nxwogi66EYvuGTtY+sIS
grtbY5UcIBykrjuCg6v8eznMTfPoJ20aHF0g7XyZ3HQtPvnq7sPGi1zZWY2X7rqrGeJ8PW170sTX
D39962DZru+r1/Q2CFt8itmEuFS86ZotT5sFj06v4OQ/tEOMR36YURXU+H9YU33AIXeGBuvQZqzn
AD64Hdx80R7vx0yQ2TgAXTFh5boY/7po4GHK8YmwgLiUXuvkqdUv4CDSU7IIkWQJD6HFuLWOPtmW
4W24Qa6PbHIEMgLKXAlnvG3kU4LdYj+2hN6atDZvgI8ik/GAC//UJWA6zxXv6qVYh9jAbo5Xtu99
XNYcFsf6S6Oa8N7NI+kOhqxL82ojDdxGV56G1Z1e1xBhFFCdCGPBSuGvfNz1kU5fPQKgRtu+hvIT
YJlbB8sfRTeN51Q3MixCH009lr0QyvTC/fRlkN5Sl8pv8ZhsXsXSY9B21HzVWJDXE859x7Nhryt2
KUMPV9Qt21Jik7HmTIfZj/IqVdOCnZZBc4sHI9+HdEmfvRVl+mlLp4F+mcZ2BahJabwchYWSVDoN
+S4PbB3VR2j+3OZec6VJQUhNF7fG6kkuo8mSeDwE2i3hYbMRvpyG0HHb96rpuksbueDGm0jQldy0
ejnXq+0BDoSj5s+oRMYvJG2xjGDpHJes4aMFUGOXxGAXWM2Tqg0VH2m3sQTuGyqw9UM/MS/FHxur
oeSx19Qnr+rtZ14TbwE2O0bNUaSEPrirmrMfZjOKUmwzblLhT5Ldu0Zt4a2OeqUy0y8kugSUBy5f
Ud2MpeU9vjWbtKLOhi3WAiLTqErqmBuKRfnJsN8Sg7u/CVwdF2u1khHO/BiZVwh39FnyAfcadjpo
T6qG0dGmLcUC6/ep3CWaA0l185sPhDOhWdMs8YfQb40tbFhPwSWoVLI8mmpMB2zuuKPLXrCrIkbc
6m4Em5ruJh56zu59R1R0rFwH2EE459WXZvBA/OqxwpqBamyeLkpVeP9D2tS7kScNL6wj5LiaAM/9
CjtZZEHF48uvVenv3PzvLe5vzPeP3OKPGOP/Cw95Eb8M3dh9m34GIv/wh/79qEmGGvzPGYG/jVb8
UYT5nf+/Bmr+xgmEaRRispSP1AaDAvI3SQUp5wCrECB6HARPUrTr300GjCXCEBr0XZh8ELAYPc13
iD/CqfE4SSsGOY6oAWyLf0VRwTjSn7ojTDcMrwNvrv0dUIXrgR8/9h3jvIYhtlfvNg5hxypIuQKO
Z6uiNmuh9O2aeD14Y8ByyfUD2P00XwR8AmuwQK5TVyg5HbeBohKXoBdJFHWZb9eqMCaxKETHzyi2
X7AjvvfEXNaZHSEsJFD21VAGHVqQnn2o02GvqQZTjHbD+dLkoWG/RFTkSxzhiWTkISUe0PqkAvom
h1fi4m8ugA4vbf+kffkhplfKCrtPNnvxVurUfAzmfi4E7QE2eHYnUXkXpvN2rWlmdH/D3jao+4IK
9OQ46xPfYiuKsOqAFthQekXlgvdeLd76ILGCLTvlqNUMNuUEjttI0ruM0qAu0t6HvWzTXU8Hea0j
dekD+s7NysolbG3WePJ+luuUpa3KdZeofCbyyxTHXysSQGcWSZix6VYtH/yxi+EYWrRL6QyUaO2e
YkebjGr/XarRy1w6+CUUmiUfu+UcVeN4MqT9bHwuB0AJvCMlcEMEGSId+A+mqWGa8jgs7No8E76U
TTyv2egAHCHk8LENuhct4u6u31x3g8zEmqP+KNs4vWN1f2xVdzvSca8HvlNpfAK08REqBWC4hq3H
LpIomAJypADcMo7PjQ3K+XkVwfUmamM53s9rUk/itIDILHtcPtRZlZdXlum7KiHP4D2Xne6xcqVR
fA60mMAOWCNemtHzVTkooMgltcll89cHMm5NRqLRIKkBjnLoyVMNBLYyqDG2gd2ZOkWf5R9gDTyE
Mj5Wats3y3zgZBuLZarh/uo7ly573/krEhsLzBJ887bPuAzRa2r5GsbdM0iWvUUgQHsboNRhPLi5
fu7b7Waw4mnQ80cxAaB1EOWl4n0emXDINsH2Dmr9Dhqpv3PxehO1HTnjK5fZPMuvEoDdMuC9eXDV
SsZseIh8lDBbvGdb+O4P6BxaAvoPVg2gs0eNPvW4hlN9w7zgScz2c+uNaEmfh5nSPDXpQ81l0WOH
bfvtNET0haTSwnOX+1EMB7FKsDOMXTAE513Ptdh7cbTrpxVBBNODVa5FTr1owx1qP6UV7UqibbFF
2y0IjTsOHhEF6bkbvaKjrgD49Jn1JCpIJZ+2mt9ZGryawd7wkL4oQ2hJ/HVnUHzlovFuK5LupW5v
Z5DFGU/bz0sV6JLZ6iZFrZCxRZ2Vwo/R9GynecrsoI9JPd+AijjjJ7fSOcZOaG/hCCRW+TsqphUc
LnrcRw6oys+8qH6TwkcMRAKdDsm3zRsPjVjextTubLqUa4K3wJL3KWkveg68HERDweicTxM7DHX/
cY0hM/jX4I4NopvEnx8TalRBnVX5MLCPYh6OFkKe8pYq65Lggcn6CBHswW9Tka/bcgkXC4k3bPdV
OyTHdOgPvIn3Imlepd/cwPn5ELc9ydDOPU48KPxeXXgLGZTMr40OngaB70L3yy+BxqNGhotYfESo
9HysV/DgUiwH5ZuzSf1H3CSnbgYcy4fpDtXAbok5iOp5+ah9U2w8ULtlJNjo7dlL6dljBOiL9Y7B
GhzIEOymwRz1Zg92Afe6NTcunfaT2h6mpZmyWJsLY8PZ9bhlE/iWelQf0D6/N1bcBSY8TkPwdQz6
E++iI2X8ZRnFU5iMzxihqrIwqnZLCChkST43BPKLnlHNQnSq/OFmndpTu/l4wqi98K45i619d4o9
AZ5nGcQFcGGG5DIiIH7FDlrHXai7s4iTb/8nFcy/X21CUSv8eW1yvmbw/r4suf7S97IEUdEAh67i
0BAK2fzX2uOvTg8y/vQ6NiuIcRrUj/hihAP88E98NXsiDLfH3/teloQ4uRe+TAxcASd9Yqn7V8qS
63z0P2i2mIsPtwiHhWKoU8RI8JMaSis2rU0fh7d8Qzjpg59ypcESrJoWnHsIVSVy9MVlTBr2se8i
Z/bEqgfY+jnoSygWg3CTyKeYVFG2Jtg3jrobtmKNFxZmczhKdPpjdbJMWZBOqtuah043r73Vj/B5
3531pzxm7HaNWlMEbSjKLXYiqw3/3MU8ynzS+td+GxlE4uVumvdpK5tc+81aWDY+cVp97NO252eA
fhtQbq5r9wLZfESqboaIFg5N3xUoO1yUdzOel0vgrdFhBeovAlHtfAAHJZlagfp/6T/7cnuvFxnl
U6SrnPbtbkQYDqSxPBjpHUCbT2iK28+EDXKv0FMWW6A/iNr7xb/07XrpkEVER4nLozagBqp6piZ5
0KgY0nXZy+2BTtEHu4yvUVKXQTuY9P+mlfh3exCv57T8swfxvxWCYl8+/fwo/vZr3x/F69z466mZ
CXS/34v9vz6KmEcZwz8ljP2MEmNSBwpEFPQBGCb4tT+0CDgxCBEouB4RxtkGqf8vPYvQBH5+GJH2
wDlTEB6gS5L052xV4mqTzgmf76SY+lOi0uAytO6ctAqV+jy8RFoXRk7Noe1itX3l3Wi8hxkA6WoQ
m4AGqR5S3rcg/deHqQ5O3ai7nVGjyOgGjj1uqLcXagmyoOe7uln4EQo1yesepCE0hJrn6WLanY57
NT+tdf+WIk2JSiCGqAiZEJShD65pcd52CvvW8Spfk1WcZtUUwBy8w+QN3+q03eBbkmq/0g4OCm3S
o5rr5aVHH3b2wYZeEtbCIBBP/cx4XyZ6JSjqE1Esg0eKeEnbomMbiGMl/MyPgCMPKGOaeJhKU9M8
nPxpF7r+NgmxRS+sS3eL2lzmVRN0R97aw2DHWzqOKcJT5m2w9c1KbcmR8/BHH7hSfbbbBFpQ9sC2
oJcgDpbkdh7nssU3DBLam0q8WP0N9FX0vm5yqXYmNDyDcQJNm4/0kA7zI2/YUyIR4j32EfemB0Fb
c0BJmbeGRwcTrmP7FE0kHTI+V/GSsbgK9ozaBZGeKvzWVLM9Xgc67oHBNMWm2/tVjrcRygBU9LeG
+Odk8nbdaE+ejopugx5hWuSPQdCK/ott/UcxpW//2cUhBSBICav3z3fxq8JwM4vxv+4+i7Hvfl5E
fvv174vIr/s5Wnl4+5hfjTzmH2SG68HbGKyHze+6jvxNZsCuneJ3cBoRhGLgHj9s6MFfgCDg1wiK
A7COOAPhe0z1D8JR/bX7/b//64dhAfg7f9zPQX4kYZJi/SCIffo/WdgDEMwRgYj6rlY1uOOzCPj/
YvMi//iH10iwpiYYTcRCcCigUX6lUH5UMjTtSNqr1YHEiI8tn9MdtHU57GLtLpD8IguXYx33WHJk
GXk92nU6JeGTjxwWoDtE9y7g6WBbt3VlLvPgwQ3UM4vMJYo8AsMQUkldkJ5CYBgtKbvekh6BeFhG
gxeQvXMwx4au9kuL4Wf7gQemHDsr9yxCM9Au0T3s73rfw+op5g5xf+HVykfuv5PevtWIETy1w8a/
wXhbdoyKapPA8IlXpmoNfImdG/9V0h4RphJuKmFPQOnQd/XGmYfJ4V3AndttHoUb4/hH1sMocnxA
N+6ZrEmbI1vMHoLKjZ0jioXTu5358hI27Nmk49PQbDd1u7xEoW6zJDJd1ojgxgwBfEVzw7k80rpu
jtCfRVG76GypyhKik2ypuz2y9eDqkNzbuvWEpuytl3LNlYqjjHTmbhCRPKQtv5kd+cyjZkUyCvnN
oAo2YIL0K1BCVaxpWq6QFbIpxfpaB0zvJufCfcuq7WzW/rxU3t7pBqu5qPdahUMBOTWvt740Vly0
DVlZsQCREd7vt204VoN45KFRe9kCbKy95jhsXZXVSI22owNiyfVTN0xnzhCX9VYS/QLRf8zXobY5
jIOdg+abOSrKAIMPMi9pCwQDj643FxugLKOS47LCmAmTBGtnLcOnMMC2xFwwHwDog4usUh/AK9h3
sk4XEyH6AqXruGAcxb5T5GsQzV+oDpM9pA59ZqmGIMWbUDz0baLRjwYizCnUFRpT75Q2ku4xpOGX
xuPHLcLECRp/mLi3VxwlbrIOSLUl+czguOvkYWnbXYoBBnKoypF6uY5sc0A/vU/s5BeG4cKHbQz7
cnmlG1j5Pqyvkc/3LVouHZlYJgZ3ChW53/BHF4pOOuHZFtD93HuwsulXz3NHjIi4Ydhe0/jFVe9d
sp1ivSW7UNblEIcfzEYhDLnPy4yZA1MyQeJpbuCF3teVpDnzmyirmvRN1f4bnMa0GCy9SYO2zm1w
Z/hh1QHP+TazLIRoHnPvOXHjh6BZSlc3rgh5fR8sEN+IQKGhF3GeuuYI6Ell20Jfeo8/J4n+AOQe
OSS7i+v+G1yQk0m9E+z4LRtldDIy3atIzVfTo2AdhQ40B9NjYOUJn+8cSvKOWSMS6VcFkaqDEOaz
Xt7qwDUH52n/rbNJ/HFMOjHAnFqrD3qqmkdXId/inKIlUttD5omJF8bDXirVBGx2WufM+KgoLB6L
m6UPxe0cbFA3FRJDYz730fUJw7E0HcZ0YC5IYqrk84ayvOBh9OKNflQuY3QLHKFCbKMHgRWkI25m
htTvOqvzmgDOrf3wcSJkuIYvTVEvPYJYVJ6XDiM/+sZm0iKztIBe2sGD/RhFTxLffGFmpA5jN7an
hKnoUvXQDN3Wi6yJus9BLWUWIbKLRw4KZRA+k7pvcB3XZl+v9Y1EshK4WPXQTN3n2aW5rGSRSGS4
Ko88VRG+Zda/j3NTbp08LHL6Fg/2ToWb3NUVgkLMqjdfzjsexe9Xz3dORmBc1GjQ5kifwtBKMglx
bazCYl0FYqxxKY3/RUeT2/cmLGS7vC2s2iNs0kOUm9/HCaHuAV9zY9FOxa+0HV/gEr+GtNMIessn
p9abNrWHyUAz9ax8rfkKtwyPqHOXpdL7WlcobVT0OE3bHYjfN8fD2w4WdxIsr3YbcmoR9Im3ZQcO
AYsFGXJ8G0j6Nu+bETC/ZLQPZBhmThmBeK841qPjJXBooFph9EQ3fGujgsZbt/GzWcRpYtGUj4K8
YSc4mwqsvSfaeyG26dDJ+jVcDWQ8AlBKsxLLTeHN7sJafHrN45tkjg8ADBFCC9/SfikqsEt90tyx
MDlAeAIpXiEk7jefPCC1oRUHgGMWkZjqE5maE651ITbXZoAHT2BJHsae4G0G4wlYwmEIo/cKMs+y
QjVHGAwxmwKmwoY+FKi5Fvwe8wm+gWEHggGthwQSOs8mLmmo9gbIkG6nrWja7rDUoI8BCq83yF0U
SPrdzIN4j6ruTAaGTLrfTbtWE5p1QWDv4Y/wLBlqVjbJ8LElHDgNSe6AxYNvb405jzQG+c2d3mF0
xS8CcUAMXam9j7aPcL/A+y9XgjkjLBDqCySBuPAZjDtI4v4FFEX1m9wEH+sflzl/RM2uJUgagAWM
UIVgRAVgRJQoPzCBtAmp1m3l3Ur5IWpemvRzEO5/KAH/QSX1v73EtdL64SVW3MVRgxkut8SAy47v
5v7Oyft//hrR31VS14+B86NRGzJYVz99DB/TKLRNRX0HUQWL49023Tj37HnFP3+ZP4o8v10tmN5I
t+C88QCDpP74UYCLrixulvpuhvJrJEdhiOfQfJiDe7vQLBrByoe/gXb/vy3NfzcdAngJboQ/byVw
fvs/6B+uv/PX/iH+S8J8zPKCEQjY9CrtfRchrlPlYDSSACFn5J3gOP7VpsSwMaSjMAIswIB26HT4
Cr8LghAhIEqgHYngef4ak/oX+geWXu+5H/lIwOgYVAh2F6IkjlT8mY8cN2z0czhHtzWDH2Nw9wIm
6RJugsJDxAf44VbNUJw9P+IK5XwVdxeMpED7PAu5ZnwKCUItsyB6yvwar1HnI1m9oKy8OcCIKzj0
CEgxuH8YkGUnOYOhnLXXFxupA09nTeyl/XEMBjhg6RJG7mGWSPihMOnqXRwOXj679hXen8iBqx2m
9tdoDgZ/mYUs2SAw2GSuvXFXzeRZtj4UlEgh4IJM7koe21UM2KHhFCFWce47fW5NdUOte1lH7L8u
RuHa9xrl11HpGoRdjcoHVbUA947iVLnYZiLBJIy5gnG1uO1Vx+k9xVCy7Cq4ezMyY71rkZQGg1VY
nZxAVn3xQZcWAmbC5EKW0VqdtSDYSrr1fuzadWejJcqjGTOzqsVMOYs3VzRTpAqytlu5hkOIFsAv
STivBcYwmNwmyxcvcIjLiDqfUf3kuqJfHIZB5dBcd5KYg0BFnmuqbmTi9zliUS9ziIlq0tgb1AYI
i8AMQYXAntBS7Uw8+7uqqXINMC+rhqo/BhwQkwu6W+l3j8bYvIr7s4CdxZ3E3LXEoFwGgjOrzwGg
twy4eTExki3QghSHG7T09Smo0Cz1SYQKfcMuNTmZDaprdskaezuPTSCVNrrDOBx5g2DRHo3P69y2
yCp3qdizlYkCLtS9iwdAF+mUYyjJaZnRAxgyvNbdijuxCc/rSp+mGvlppzCgx9FD08pHdFg3ImQF
OKsZMalNlBWoQOSjvQo7d8Vz4tJ7EnYxyj72tVN0PNAemnHYdrchbac9R1vUsuYD6IAXLU2GOMQd
sKoeEy8alEuYOZNfg1dS6RcbJ8WKIXkzYW+knxHwkuF+serJNSF63OvuUXE4S4Cr8nWUC250n5/7
fgCUmCKBxa19bWOg2tKfXl1lX2gwPgcjGpJ62PYtT+8wpC33ZJIF4fTZxSiVxtYC3IwbWO0NLboE
VACb5qdKwrztJJ3Lbq1RAgX1wUzmcY62N/Cx7yYcBUaMrNd5fMIgOx7QPCDzh0WQCNNoAoSSI46K
vDshBPCp3eC+ktr4ud/RpzSMdmIInvuR7D3W3VsiAOUI9oTtJikSTjQaMu+25sFFxL2Xs0bsnFCv
IojbfUvXT7reHCjU+jAvQ5B5PEnz1mvagmGK3G6a2jfZmgXXR3R4yrbknIKzx2w5ssfwo+HmGinX
FrZv5aughMoSZRFoAzWud6ADvg4KUmA3mNs+jjHupuKnQTNVRtR9bUT6iCxXnEUIC2ZUOTjz2/rN
LhoUwYKhUhjeFOR+Eid5P050r2J7DSHOT1EFgAEn4CDlTL0ONwB8e4PsBgB1fmhq9yniU1tOUduW
Lkovc2gu1Au+NgDJi86pIBuaFTcUKOvNI98GG5zrThzWrUO4DdpFBNAzZo3N4dijIjPLLnHeUvhz
9Bg4PzjWE8Y1bRJLCfXlBe3pad34Hl73GQGNB/SbZ63kkU/mqeLm2+TSsWgtDMGuuoPm8twn1xFY
K9RNlHLROcW6iLWxw5OrWBl3s93LpnttO7i+scVgFYW4YVhZhCdrFMZisS/piNlac+fhmW57/HHR
vDnM88Lj6HbNjHyfTliXpwAad83KX3371V6Bc0C7omzX4Mwj/eZWXFGazk8K7XBZLR2QPIAtbPRe
kDn6yusJVWwTE0wEC49k7DCHJXjfBvJtobgZ+jZ67gd8YRZnBRahmkYsEa3ZGR3fLxIgNsPcgGsm
JVNqATfcPOKjFpjydbfpINiFiIjn9eJhNpeKbxCSuYYhyHHuGpHPVeKOgYUo1VcfeZxCUFLiq7aI
ylWBBXJit/YwNssHdBBbHsWgwBFvWdLxNzHtP1USQbjlz6uk/1a9aL/+vc56/a2/1kk4YOpasEao
QVAwXcXU73WSjxl51wIqxKy7aw4O9e53nCvBceD4B4dFQw6CTYp5rd/rpOQvGMoGSxWWJ7qHa67u
X6iTcP7R39VJPobg4Q1iDH+APBRe6cf+oB5iK8E/qDuPmrdaTABdsRnSNTwqCmlPYqscMRMEtFdG
FiwCrEa21NzaBM91ZTWMUoGeG6VKPlx33zokO4Lt2F735QRPKMKu6w2ZqiLyoCEIOr2I606usKVf
1bZ88YaDasZPOnJ1NtPgS+WLMe89DVUidGeHEqG51gpJA+cDcnUZrUuY0WtFgaloqhh0eMVOZviv
18oDIzBhel6rkRZliQ9YrfBRqMzXigVU5Ud2rWEAu37pSHRCeApbz7XOqRdUPBqlTwgJCRNq0vst
pa/LtTqS1zoJJrLF/CXUTvJaRW3XekpfK6u4OrJ62iHzXWUGuClgNvey8foyxe25R3HG8Zkw1wPr
lkYA3YqmWOpalw1Kuor6z9WqJhg/s8b0FLBl04gKsG88bJIoCjWDcFEl/WtyrRcjstZzjXGjRtRP
ky/7dzDeL+sWYAJnMt71DAuLoujApBneUeIeRdvsdW+jLJjDLgss1MaZVX7Gq+TCa/+FGQygmIW9
85ACLJtm3go/3OpyS8FQ10Pq7b1ufmQe/xKqqgMBV+fAt5pzF32a3Ceg9Lugjz6NK+v280D2asbs
nQGWePeSUt4+KaL65quoty/W8ceNYc5LPPdg1pqBJ8mngcrbCvf3Ea41ObjJ7+78oUrvAl2NpxVT
RoMUVpaNo8M0YK8nnIicY4joLZMbIDDRabtHEufVthDqheYX5rqvoHP9A+nq1GQD5qdt/1nnfgNQ
r0P7/3yd2w1fx3/UD/466v93bJViXYICAAYjhgP9a2f3wzoHNwc9Hw4HwE9cQ8Lf17kYE+WRXUsp
wzmLf0wCh/CrkRuOMbP6N6r1X1nnwJX8vM6hsbxytUlMIVNAbvnjOtdohbQDurzbyo2nejLL/7B3
ZstxK2eXfSI4MCNxWwBqZhWLgyjyBkFSJJCY5+npe0G21T79/+0I3zvO1QlREsUCMr9h77WLu27U
Z9sDGFshrShWmYUYWwQXv7UXpbuuWsvfmowuiSka2kdcLbMft0XqoUbb1WPkp0vEaH8Vd5TgEjel
m3ywxpMbY5WAzAr6wwLBOQLdzrMzhQFw/lCgGxn7UktvnVPFj2kq9y5XdeGEPRqyFoiTVC4pnGtG
bUMdNLkSvc5VF9+HYSzt+zibnXurEG2MOH/tR+w+Q1ZrhblaPNlYq7Zh40K1bmEIdvj02lj+6M28
xbaWji8pyhjDb9NyD886gVyHnAwPznHsrQcrYkAYOsUPdcmeelOiXo2rT11Izqa4/8DwIb2mS0Ak
Gh/x6kVgjXWxe/3FnqYffcz2wYCHpAyKr+SA7iLJaWhWleaLeQQeVDhmoJlUWKEhWDCkb3pkPaLa
uyYJ7uBZkb9013lCgvfFMFAGbc4PxRLdjeqS8xniyH7kz6cXr9K32cA8gexsry7uiHSY1Uqeiac6
0/RtWaRIkfG5baZE38cc2cUwNH4+yoMRMzG0GH1ucKEw01fTItBhKwfcLUej0m/hytoDz4Q3x9T3
ZTprlNQUt+486QeksqzKevWXWrq+6NscD5kVopJF9Fq471FcnmzXObWGu7p6FYXhgAsvAtgJ7ubt
FCq/oBNuM3U6cC9cogbj4RA2ftUs9p5xJ+OssPruSqXZ2HKkNVfyzzF2J3+Yi5880owh3MHZA1xJ
tzxeN+avHTPi8tKhP96YS3iPKe5mUZ2z0tIewgrKS5+hXVSnxmJ8PLQezxtbgfJnn+igW6Pu2PEJ
dm2/RRYgd3DXFzqFugyWwjzkw3ydautFa7uL28mnhH2JJ9X2Rx7FD6tHxq/UnkJ2ha3YbICGuHmY
nfBJHdXbUve8Iho0ZiQLCGOlnIGdh/dMG/ZzFioHeqzPplZiXzWrdDdbIaWz5mbIF5CGRFa7A3Jv
+liClmNZOdcEV9e2FBZdRl8YXj5kjEnM8Wyl2i/kFUfZCwqBVt7ZSdXgGHJOCBK0nQr/hUu/5tYy
QZpqyTu0xXE7u93VbcyfAyBfD5kV7fac217cG9/5jCgRodVDv1Rex3h8WQUTzlo3Y7lZvI5SWl9r
amWtrsOIiUFLwZ3N+rLrHeentZbiGp/wsFbnWaMf2JcbviHEOV4reHut5dW1qh/r5Cop823K/Zyy
P4p5tsfYgZhHSyBz915fewR77RZG4KJ+vXYQNa3EuPYUKs1FSJOBeO0T4cChHhlayLUPCRX9y6Qx
adcOJc/zH/nas+g0L/PaxUjamZK2xlLK2YKigivJBHQ/2chWReWgwFdnDMz1hzGiX9Et7tEVSLe2
hbYydYjmy501LB+Nob/WwjX2rlpMm8p17pd+KJijxcI3G5u+1gRLi/DmE6ZVe1Cd7jEuuszDkp6B
fi1nyAcso/PYeKts87HL2YyOGFW2mK5HHzNa4idVhYRPqpeBqiFILeNrWCAMF5Z9lyT64A9h6ezT
tMBhoJjgSDCTbnJ1NOizRsibvMkaPoS9Go7WRU4WpLS2nnyh6LFv6PXDWNjUGcLpAg27VCqLic9J
QnEzZl9ayezPSVzd5c54mPPwLS+myc8V1Mm4M5goGTytSAI+badwNpBmlsAqwi1r6HlvI4c7lJW5
TWNd+rFjZ1shlnzDecgcJKnfGmHh91N20RjuCHmJb7GCIRUyrQs5bFQ3bpejRVCKcmNDZLzZgIK2
Tq0dcDueE0dG2y5PxK6tB0iDgDSYts3zMe77XymAvW2MSeqoVxCrrWrpg3SKin1cFMvzwhzPpwpU
tpaI0EMVfK4RpsKN1Q0HXHLrRFEsXmZh1MrcY+guJ0UuObLFqmGqttxwN/k4Vx8FCvHz0gIPjvuF
gdEw31d9/FToCBdTVijbymDU1cdKA2Cg+7RrpPM5UrbdJDq8VlrUwUlC6qRl8X0n9XvGaqqfQtve
VdVyMrrwDJrQh/h6PzRtGhhJrfp6SB0rnebiWsmnKPIPOn0ATI4LEx6MByQd61gaYg5COxpYOdbY
ClRmUH36XqbKfdbIxxQOIZt61Q6SRrM3jVl9ZYvzHeUqwmfDbBGBmvyRUi/8MUOTgLt3M/TyErp9
icBCHfyxbkKvDNMTC3d1n0xJ9KNmeCzH8NXWke/rvLqYh7+bvHu1DIVmortUA4+y2eWfoaW7Ab7V
FLdp9gMMDnxjCe9aV5Tbolaqr2TyTqugGpUIoLOGSmTd6FswZD2YY18gi/dOH54FiRIoKOZjFq6J
AamySaziJZ+by7ROpO2Z0WfDzpEP9Fi32gmi0i+lEt/jpDAIgpCIF34ftsmXUIZt25fdrsVn21b8
6lgqP9RExYR/ylmvNL1zqNr03e2TD8x5HlxhdZM0zqGX4frUCEbidnNcWiZYuHxJxoBcklTtaVp4
niXC7q2um18G/eBGt5xHmUR8MQf4kGtn2WTaxqRU90BIyB2V2xsV2EFOSP2odPC42MfFKnM23PJq
12ITuuOLZvCHVxO7vDA5pfB6d0befZoRjEnmiV6VA9J08vu1iNEMLjwXAY0VM1achXGZUvncjOh3
Gf5JT6nq+0q6ZxR/ro9q56FXmnHDzFMjR4HJeTkt/qCj/MHHgz+CjXhLw7eVIa9OsRgcFg3L8YFg
DUyzQxBTdyJOkYFSwP4tzIapWHwc5+Q71iy5jUZxnbVkVy67ljGVjohjLtBsnIWSPsXZwN7WhHiA
5GqXJAMAUGaEqAc/DDGCXY4+hC3Ppt43lBxqzIdVv8OoXG24I4bRSh2aE6/PUzSDssRK8UOrnM2E
s0q0TSD2RpTt9RKiWpf6oTCqW2E3OaTIQtpjINniKC/xUJaqN5GY0BzTv1uX5G8fU/nb0zTz6RSq
JRXfXC1P0W/3k3DTY4kJZDOt1igVj9TiRpgscE0pTlL5xWqkkmbpI+TofaZmP0MBTbkQA3S5OdJw
tCbQPYpHfBXTtjXMb3g3L8w4rU1O4aWEstsCdD7EjvmOTPN+kvj1Ywdadyy7nE0Gb0iaouCxRrZ/
2J/IpIiZFKYqF1vLlcbnt3521Oa9O28iN0afRDOeVaY/dc5l6OTV7Z2zBuJmU7TJu+bOPgypMypT
qpuy+uBumQE/Zl5aiOdWSvPY9erXAhoArDqz23kQe3Po72t7QXO64jdoJTbUNaNvh8WvZsxJCYmB
7anlssVqdDZr+BhIUorOGTwcDOOec/fsjsbOmS0uO6ttGSzzRic6fyGsVS81sxZXxEB5s9ibpUp2
lU6162rpW1pLz4yvKaqKxGK6OBkHq6Gjd8VwUdqixu/TXXMr+UWyBYoBbfbGWV7KSL1YtO5ZMVxM
HfZ2DsGj9ptGiY7A9l9gLhy6WL52TvdcIWJhKa4GOF8n23mcIgQnbX6Za/1NEg3gtgonYx4dltlZ
DkmfvfENPscSpKdDLRjESOVOnApvZl4OL/kyRGA/k9OEK9xvB0gWc77cjcOse7Wt/awGwkOS9DaO
xXtaCeClbceTgOTHKvG/xi854JX/NvT/aOj/7XoXdErf/g+VuaWq/7LgRWWO1lPV4GbhVjJX6emf
hl7HvGFh3qR5N3/rxf809LhENHBgAi+DRW371zSpdczIcADXH9pNxp3/weCSTfP/29Djgv2dTkX6
JLxTsf76vwgbpjGMwBKE5jVdKoeYCbvMjY8hpny4Ynk3oPMpIFb2YgX2KX38OK8Iv9Qm9KhYsX5a
aMsNBKI06N3O9FuLG10duavFigTsYQNqKySwhxa4rNjA3ABR1bT2iYUqxAHYgsnKGFxhg9WKHRwE
XnOxogilS/gRM8sQoyKgwnFFFuLHyvzYBsy44gw1R74M8A0lnEN7BR6Wk18Myw5XBqlFKxIxhY24
gKktYSUC2yPUYMUn6itI0V2RihK2ops0N3uFLfa5bnNM6feQH8E3rkhGABMFNVNWUtDX3wbcRgiC
HXtRJ+jmr3EFO8K3CYYV9YhT5o5VzUtVRKACVxyk2UL0aYyx8lKChTZGyTxyEbS12jCdjEUmgQ5b
shfhtsdYqsGc1NimIEnetQbaMhA0eoLrtGP+5zWD8dW5AIcYVkC6RuRjnIt5obMCTNNHVJ0xxPsh
l0+iZ42VZdU+hw02lclT5io+K7Vb1agnTDwejna4CFZ+G/hIe/R+sANlU+w6Ahm2wq6OmpV/FG0M
1doJz+rgnqGUFJ5JoWQjUdObmzYh7nlLGkSEQWuUUXFTlm6ucBND1YzUVP2JTh59kj2kn7plbNHD
sijX+0+3jbf4tREbCn4Zk+VXbWqtl6BmQkw47bs5vphFKAJlnPA3dvH3qNicnWJ+xcf91C3TTRu0
N6OpjtwFr6SEuJ6NxDlwIvOX1KfjqEbzWxbXKfd3hdaVOBExNAMBJCCSreYGwmHvNEI5w1R6miX/
LMwNiFcjcWWghWsiXr5Nht19jC3WSm2Xld6s7qlvtaQ0AZJ0P4YOGkVemTpxFvoljVxjZykS2BH3
VqVZTNIH6osy/owovb2sn5etQErnJXO005X2VQJ+LXlt4J/S8tE5biqnXSBRr8s9yAvTaIbwuJX7
OVR+Np16tCtDYxucPJM4FsGW0R1GHHCggVXBUthTMxLe1pVHrj3QjpBv+hpzM4Lf7zburlVuvg9t
eLYzGNTpnFyErp4qgw2pXbqnAkzPhki7AcWZw9peAs3shnFXTyAYutjQmJZk70UqXhdybpD/speL
Xo3UqB4XhZwHNrcAqnTr2VHixwmsPBKxn3VsykMVu4dlqk9hJKoTrNaf9hTuGG8+KrZ9iA1xVdz2
Fqv2V2Uulzxv9mnJs7nYMwkMWtFTdEQPw1DuUsAgUS93TRK7dGFuseHtsd/aoT3ECBcfQjEQJldk
23waT3ZHo/N7RPvfnZzxb3dy9+xK3tv/uZNbf9c/d3Lr4s1lwUauuE2U1Mqf/HO14a0Cmbfy835v
6zAN/JNaqf6Niwa4nUm4oqmtgQt/dnLs+Fw2eS5GhX84sv6Dq81w+Nb+ql1C5KavSz6MFAQymeuv
/8vVZoLPQ8Y+a1eLhXO6l8MAJk/U6V0SZp65tDfe9peQa0Cvu2w30v4oMgbfErP8LqOdi84XNO70
3HTw/oySa4Ln0TXVUx9Gnp1PzN9aQEx7BoevZRSRv0OgTHTVEje6KyXEIeYOLrGH9OhpC7WEZ/tX
ZsJ6Q1GVAkEQrw60kkAYSrc1x+51KUGw6lwlhjXcy7EzgrpQuA0N9bQMjK14T+9WSij9evajUKAK
5I36Jav2e1z0X0KpkGz0aew1+vSYi4k0mcl8ZVDx0iymjfMdFz92OGD27qWw5/mkmCm2S6xgU5Ev
mwnhMPoWvjBsv62wN/nC9hMoka/pFP+JLjFFhhx7sLuIliuNTzX9ac33MewmZsDE84wNeUluzPC7
a7BjjrPpWak65eAQDIOEPGMeD1TWnfuuSTMcAjk1OTOVgaJ/KtI9zXhNoAUNdGdOVaCGXBp4a6ag
1UW2VQFDHwx9aDTPlpzoczR2N/oUjX9Y1twGeKTotOiJiHjhR9WGGF4aU93EdRKRgoFMJ6/tn+XS
gIPq0xGVuCkYEXBedGvaEXJagABuaO1sZ5xvcEDMDWQN1YdD4eHELo9YOBFDoYu5Cy018YFFtMc4
Gpzd1EQzrSqlol8T8MCZiBwavPa37pZix1CdqMmUcADNVj4GcPh0ui41A9KLjVYT2AGhs9yz9Ply
lRKXbA2Vrqh4VBsYUpnatx5E3+xeGFEaaO0aY6DMMnC1wtyZmQHOa2itHYK8r3zS3B26pnhTA1e7
d5YyOvKTI8knpBUQGGixgEt1DwCDn43KEKLQ6ZgNrQNmAwuTzW2jFLCRC/qLFjdIa7UY44TSnEan
HE/R2Dc7oKmEF6gChhOStIAPz4SUbH2j7MFIOMffqF6M3SrxY2K+5PC+3YoRiBDmh5qvG+AQ2t0I
AGMT5Q2w4cocAnKrNJo1ygvU5H32wTsHPDDR1f24pEUXxImgeZoMAQF8sJrkO0Mrtxeapt/gN9Xc
gk576ph+NSeDcKdGnZ7IP6AiUzPsIIabbsus/jEr1B3qQqJjiYw5aEl6ZJj/qkT1S1YWJFUJF19g
voAIy2FrJqqDfGVOfmhFSY3ayrfZXbgr4yg+z71gs1yxYl76GzGuAls+rLmycOqD29s4a4a3XoWB
FwmIBa7yPSbdqiaTr4aSHDMTjKE9wqEAzepRt66HiHvHj+LQp+53yXsKnhxHTi6emGTc11p8pLBY
ty3lhYH+p267L0OmQK9upvtuAYYgmmZfLu0jSZvP+A3DQO2Ilqr7JhgScLIylPPOIITCSwrEjiIv
TiM9aCPih0hFTuhEIbNpuGsnS11oHlG44SjcE0dxTJ3wKozxTpkItJhRX/OmsIQveNhWlGHBQN+V
H0SZFG922iX7yBiIIDXxj0xkYx0JVSauzC5b1Gr5h9vSYOdqXwS2Ud8T+/FoE8eB9iiVx6joeZXJ
uAzSeRR8S4RvzQSgbsn5wrJSjtEt11zU9Lwut359eRY1JAFv/Uu7yoqDJJTuTkW3+ZBFTeULHVQH
J0wPUd9G32wRgluZ2hwsSYxEvSdlUA2deTf1cwJDUMLVc3IzcJeEoXtjfYMmRDlvLgdEVlcVjkRu
JGerx/BljKq+M/CwBwZl8DY1W7mF98LmPiSYlFlcudftCWcEJEkZQ5ULpdR3ujFx1BPOsY9z3lp9
REqfFQbUmHhdr1ScUmodajv28NHNaiCB4eJBypFo9k5JUuoyCpxNDTwdtj96Mo6pfyBb/1vqqDS1
//+1PDao7n9TH/Gb/lQ6REJj68bpqBprSYEU+0+lA4XbIevJ5T/acvya/1LpkDeFh8r9e7KUza78
n+oj928rChq1Eit05zcG4j+pdFaY1V8rnZWJbLOkQEpOJOj6/f1rpTNUUwtjMzau7WSq3jINBy7f
2tcSg0g7u2YGqjNR7OYXh77RbyPzszHEuSP917dWjF4y4UbumvjUjeTHFWpB04+NSSzAnKZ2uEzN
GkTsNqVXlv3H7BavsYwC2I4PqZnsirk76ob+UFfEUiU1TivwTC0+bf3Mlt7aRIrz3KZu6WVu3gG4
C5/xIr1Y7EC4gJfJs6f8akXGVRvtwK3Lo0N4YWotMKtY7Hp9qlOzxNMO0negi+obu/pDP0bWEcfo
jqHch5CMF9uF2MMc/6Se6xtsbimrsxxBKZkQ6oR+iqXtj1Hr39JpML04jfcEJRbMsMkXZXvWbDpg
OCRhGJc0r49ZarL/aprveog5lZSSkJ9MXGXeEKYV1VfWwNVxylkhM8PHw5fjGErjhqmCGoVE6Zaq
DwWVSWNtLt+EWaSXwXQ+F8kPt+ICvOmozzdx23zFWMLvEobKlqvAnNOreRcXrbi2JCIHzvqKNz03
bLO+9ul6AJDEFBMqwqEg1+PBXg8Kc3KimxoRR8jcMOKMkBkVD0eLsR4ycj1u1DlL9sZ6BCnrYZSs
x5KxQGJeDyrmquU+Xw8vwvY4xtYDzVyPNnM95NjC6LuOhNKg4ATE1n5aOBHTQjt06xEpc/GNZ9bG
JcbxqawH6bweqdp6uKa/j9n1wKXPnwOgie6uW4/jZD2Y3fWIztfDWoX0+YBISVDCcZSzJUr26nq8
/66SWsNQbuhOzE2+8C+t1wtB2qq9FeslkazXxbxeHAr8UICAXCYMgMddpMdPs97e971aBLEi5k3Z
VR9l1kLDjG2kpusFVbmMehnqwlxf1h8Ra6u3sbWS5wJY6qYFprSfewDz+sTCggkIzYSIAYJWC9Mj
fu4bo1H6vRiRUsUsTEG69vJXutY3asLodohyZa92ULusLAjZNFH7IFjI3QKTIGbbjTCTfqMko/Ab
4GyeDWzktmjTLZn6B3vMU4rfBCJbpmcXcMvdHiLnd1csH502xNuuAlyUuRksI+iKHmZrP2tq+2DP
oJ9sxRl2IizMB13pf0i37BRf7Xq68FifiIaQffWJ6yJwFoVomZi81ZYqcqfI+UlTRo2hTWR7TH+O
BXOxYBxJynWHHnpDS3IKgG7mUlEgi0I54hnYS8N4Hkik8uBGPOV1cnSS4p6wCU9RnLvWegsd/dSX
9vCTJLev0e7Ok4m0o0C95ouxH889aN2967L9kw1lYpSqZ52/LQblMgysNCDRetqS3aGL0DYD3tdF
ABKXySIQ++W/Wge6OPDhA+amG9ELZwaOkK/jwfCLXDBFkBptzhBb/sSCYwMcjWkHX160iCid1rC2
88xHiO/x2ivRY4azVi3718rkeBAqpj4nbU5y1N6nFDxamxqAq1scKBr6CA2JT52aa62Fd9JZtHyT
kT3OCPClt0macxTznoBbuo3cKQ7CsvjKToVSlqJpqbryRJuxB1pZEB8e4tbAui3dboZ1lqh4yl2/
mxCWhfYauCp9uNH2K7iI3ArKYiL9pvssTYz3vfUTVqV1kDmpH83yAa8OjnRJ9ndsZdtYh32NVdTP
bOcSJ5wybokIqKFHpOvYDKW2V2o4ONhWafSgkcvxBnfgnOkt4XMy++iEu3cK46JF1U4xa5bua59H
Rmmm8f/WeyykxEHZf7fSuQdI3wW4Xg/dOl2kW/VoNW8wfxXuAuRZBlb0LrvlDCZJTX/KGFTGdsFa
lsllzwgzk50HcJUyM2xhdjHmZOV1lsgeVOKNW8agKIS/wjXDh3uMOJ+Wak/cyzzNvMguHlQMLv8d
A/19w2H+W8niY/deyDZ77/+XUdD6O/8USOrfDAoQ27Twnf1eSvzfAolR0Cq9NsU/4r7+FEiGoHRy
2NcTmElRZa2i6X8WSA6BKFjOfhsimQlR0fwnBdJvWeJfbWwqnqiVosVkSWVI8tcCCeetkTZTVl77
GRz7XaJXVnKB75PoQdflNMuyHpjrZ9bFYqHdx4JtOOq/Rs+fBi3Daavl51pvXrO5PGZt8SBz6XeK
DncgIY3csu7Ypqde4XDrGOhJ0FucY3V8wbHx5Uqe2XLQ2fxj6EZZtmy1nBjoeCEcFwu2r5v9xsi6
5K7rEdvZwvQbYyi0Dx0PPITDKKOPHAThRg56kCMG/i7aYUJBZcbpzPYlR6RCh6SoBjliQ3VwaGR2
tUMYcCYW88kIO062MB+T3nddLDnnJpHtazKGvGyDkevb1UXFcd5jJmG+AI3UZZLMZU1MgNuKJsFD
RT5oUDeRWge5tTJ4snH66O21lc+KF6ey4PzF404MIEUrab8TfRn6zlhzj4ls3Bp9eSdDtfZ0zOHE
bsmgXtCqxa4RlCFSMDX8oTTLoXOUh8HJvWIYQekV/qBwTYzW1R3seSMqcq8y/QFP0HullCdSERQu
9P6udwqg7Eq1Fyy1GZpoD0OvHEimCIqwvoiVQEB5lyvjHqrhEbr0HtDIGTDRJdenS182H+rcPkA6
2+uJ/Zy6A9o+Zx9q0dUGsLmps+oxq5aNU0g/q9TdaLUPTSd88BUo9kwcf9A2XIIyRXvMkrH3RG7o
QeJ+FzAezcy+GGMfjAyCzGrxtLK9C2V775KSwyaaYkH4laJB/4wvTP+upHNsSM0m0cTct5P+sozl
HeqJDZXshc/Sq5JxywTmkoRQQg0iNLm46G6OicVC21bfdAtCsuzuKqP7iEqRBOtHHznuE/5JUuS1
nbAnEspZCPeueumRcM11cmlssKUzcaeL8mzFxiFjgEnqROkDTTm0GiBwhOxuWH+5ZusNRfbiJPFz
qcZgFpVtWFlnwxRbJJ8XNSGbzp6182gCoOCbQDmiYT/XziSiH5F2eE3cnSNH2ypyOiFnP8CkAn49
N1+Noz8M7vTQzCl01miwbpg7kdmN8YXl5N1s6fm1ydTkwBmPllDqpYEjFMXWxprqq2pbpJTzSPXr
zGxoFTbhY+VXrftrjqYLM0jUE8YZ0ddtqjvbnxiVDoBSfKOu37pk5vEzbEItwt1UDzNmxBDfUXY3
ulO8FXn/xNYtMJTV/GV2baCX5IVqKfsaIzcdT4mbaRX1IIKNtbvQNB9M/FVceVhek4lPnC3VfVIp
uxb5ZMW+fl/FKXm8rZNs60m765J+x3xwzWIhywPnLE8Hn9Ya88mM8R7/GmHzZnvSDdAH8dyyOgUU
GaZno1Z2mjEGuY3VTdfZw9b5J6AaPoxF8XXsS34Ssl+SHXTWTBxI8zZ8uDcGeZ4ke4bLRD5o0nul
qrueHls0b7I65xI0R9pBL9HLn51DIzTr+eAp+XLpNeMO+c8vpjeUCELfhxXAlQkN9KZIhgcUdj/g
+RwJQtsLpc+2gNUrD2vgneVq82YwOQGgrVSeW7Hg0esQqZSs6m3Sz+ey1hiQG/JKxMHzYPcISePp
KbItnndCSAoK/QGmQkiKhRfXOWPLJnl2B+iEroxdpkvKeGYmnZ3AdaTef1dA6GUt/AD/bi5y91X8
Kj/l/+ZYWH/jn6tf/5sgJABsNoMHRtf80p/ZiPk3VQdgB88AaB668z9Xv8nqCI0glTigA1zvqyzi
n1c/5naLQQuiB8DY/8m1D4LqL3MRtBU4v5iIYNfEtOBgj/jrte+AfhG5HilXTWHV3UnNI1L7Kxzp
4FILo0FvqFtLS7bNHOUZasCqeXBxCtx0Z13pE/hSOA9R5OYcf4RV+H2rNS+hkM78SWJYx+gOsoeu
z+YuqcH5sKdYiMKg525N19wxrmmgQ44INjvJVLlS3G2j6T/BR6mfUZ3lXq1P1baMnQybIpFBMDrs
TVfytYZTm/QHevPGSIUdbJQJsLODdRwL55gkDcMJozlYMaOOtld2vY6vYCJxeSCvioaw0NnJwrBR
5rs5IhEtd6wgds3hIgoYPHkDKshdR/jNzOnAO8qQKJ2Yiwva2dlNAxHpy0YPmypYjNHHqd3eJwgO
Nwx6stdBWPOjpuHlxZjQKulF1lHsMwW7JUuHlV/XAAAkiObA2fJ6f7YS7Z2YI/gl6M3FYFFaiGnZ
daC/j4WjWOSRyumAPVYNWqsGzYKDHWr1pBLbW4kVNVQpgHEZ8liRy3q6JCIcDVm96jnSoZxui0ic
HVdmepsG9VpWcbx3UyQelET8JtJ35BaIRhES+VNkqLzA8OybkFjGRXcKF/ixKfxWODgGkhg0KMjw
KnzEflLtiKqu1IAHuziQLDLs8raUx9BWxJ00R8q6zg3vUpvfXNxpAF1uWh+/ksTE9r2w3yM8dZux
BTZG8tRrqhGSHnbVt+qSkYMC5ZytPnBCYq6ZmpYc7Pl3vFhQoqLuCoVp9nKHy8VsRMotivteGexD
M9TOUbcqzWOu/0gfx8eU5zsTGtrObYSnTVbPZmIedXft70e+gU7vIYQ1w6ibd0RoKUfgH9QhRmbc
W1bLmKzBD6eCTrIMyrM0AiifdWcGNeDSeNCuZL/b2wbi4ck2y9JXynJXNuSNsZPpd0acvWWD43fq
pDGtxxI0TuDasyHSMNyGAgNOvlVy9xfCh7Od5Ley759DxbhrK4eJpK5UFxwr84FeD5ZXuewVC+Nd
3lnZk5qEBLyIrw4klMwc0HXOeY5LN6D4QJ4wBzZiQP7N1EzF2crzNzLuT5Ymzzk7WE/2VnhXCJzK
jFsImYmjRxJYogM640OTDPu05kOiYDxW49rtMqrZ6Kl4j3rk0Z0tr9NAyN5UuICkuiEnNRDxsJ0d
3M5CxNe8541A5ZtqXim+CYHgaMm3RF1sK/JSVAYD20hXHyru37hKQDWbJ6xJODlo6gFiUDRP2bPI
1CuV/7M9qEymmI7a15C0gmMolu+q1h6spT+s5SEKrADWkuGpMWwshTS3YXiPbWPH6C9oI7RGiSXu
27R4EKX+y8XZj4dn1QrND6bCQCivqzuAoFslpXzkMyZIDr2j1rF/G9jwQq5mbPC5zPMTsY5Qz9Lk
wMjxfimnay5SlLzRGpGxZ8TpcZCm6NrVGyp+xIuzh1L9UIRrGjzyo0XZLX26d2zcIFWyt9tpS4Tx
qg6Rn7ZYTVnVXuldL42dYK7KK6xuIrvVcqd1VLgsZO51xF1yiPYTDIG8VM4DpRgZTu91r+MLn/Db
59+6Ce0eVgIwFS/sMrz+X2XYP0ydwxNJ4jhyUjli9Kkdv2XUTTeISrQBeodG0xSPLQslEyq3FU0Y
692nLFl0H2kqTJNR3eVm47lIhDbrpMJy1C3ApO+5lhdOuO2My5YMEN8WiJWiNj4Y2ryfluanqnVI
rMWjbVc/4YE+rIT8Pv9FTOVXraqxR4bBxjHkVtrVFuGOn0bmyh/1IiO+EWN1Vw7Ggx7mbE7xJjUQ
/VB0Vaq6V9xhL1plq8aExKDd7CztueE7dUKM57ZVgVAZTq3ab3kVL60rtsi6j+gd+AvrAHsXOfVF
68M/YEln6p+Y5X7yR5lYqBjRtiZzL1h6vkMkzVyM723RokhSTrjgDgv6tnJmXzw06TZWuCTAntVI
c2f8VLaz0ztkqH3x1tUwUSoHTLsTVDGypf/D3pntxo1tW/ZXDu47DXKzB+rWQ/QRUihCffNCyJLM
vu/59TW2nE5LcleJui8FJA5wkIYtMcggN9dea84x86baZA4ioYFO/GS6ay3q7vpKvc2r6CJXtLVn
DGi/W64d6BfamXZjcnfa687szrM8OSkmumAKhIDQ3jiDd/D0aZsZ6a7zNIDmbEOyNlwR2HMsPBVR
PTFWvQP+wD3VteG+gJEyVmo7F65z7VXWeV3Vh6w2L9rBV2eOVl+2SLu6gr5/NWFPNpPTxPR3iVOq
7GP9fSUXqimnRdmciMrERhHwZPe4L/p53cuiB1x+kV1XxbhDE3GiCHTDKMm9zz6j0MsasbRMmdtV
Kj4skBwIxXnxRM80Uq+jJrW3om8g2tnNPWLxmYANHeXM70Pt2UrphTblHZbeLVXbgfU2JLA7Xmt9
fUJ2Fs8lMq/5pGr3gVkXK1ePr1K0kLNyiNexrh2jmM1e7BazLO/1FQPxjUdeWC+UlOCenF4lqdV+
j0lgFIs4iZZmkB0H31pH3rAbsHEXCu1ztNsN02AJ0OYJIJo46uxl2/pg7pRsjm2JbQHRbbTrFuiw
Np3iPHeduYKbtkYHsQqhdWZ5wfpTRwNWw2k1MGgeG/+kasyr3KSti5JmnhF31IQx26Ze2WWCfoBK
DADdjErLt4nS7Celv6+r4ql1qqUfAe71ErhwBqr9VOX196ak/TPX67VCJIDFYh+DlBah7vsKsWHI
U7VhphzUdBNG8FLiCwUs3u8PIola37tPX8tQHfqopuoGpa34MJ7DAcMG1dCUw+B8rvp1394P+Rdf
h2z5Jxzrzwret0eSn+SN5Cn38lGbPI4knLPAkI16AlqmbW7dRO1DiPb19ydm/uzEeJpAHhi4mj6e
mHBy1KtJ7h875aFpT0r/KUuefn+In50R1TLFMofRfxhtepY9qO5YBEfGdlG/hm+9TJCgpP46RNAo
mrPfH+4nZwRFgk0LXUxDaB9Rch1uNjGqTXgMUcGEOsk2kh37h3NCDv7xfnh3EPn3b76lGqY0OQ4c
JKoYPFanUjT1/3Ya8jTfHKFrpqarMo5QFXs6ITCUrjw7/MNBpNf7w2397jQ+3NZFTFZAl9bhcVD0
GTgjNzwaEr9o35vh3KoPAkXUPz8tnGUwQOgymkzb359WHDppmDEPO9rlObxBxLtb+x/CBOWKYGDB
h9UAUhAv/YdL5+E4s9AMR0ck0LRWoBfn8z65/v2J/OzSIVh0OZSmo3j+cJAci6odhhAEq+I+s+gV
s/dgMXC9y6g9MVCx9d75748o76mPX9bbI374shhkkpiijdFRHRQsnLfYC/6wGGjyQ38/BKA6x9Rs
A8w0VgJo0HK7//amq3MoYcGgpcfotNo2W16e+3xuLs3z4MKcZ8tw5cyV1e/P6v0hX1dWFu7v1/HD
IQNU/kNDT+3YWTXbZLghyCtFvvn9UX5+7WAzomblzjM/fFvWhP61SdXo6JU0yrQTx2n+cO3k1f9+
6b6eh0FYMlQH18Un8uHGLkjV0MaazCrorLPREVSbDyEyPeivfziXn12xt0fS339J7IjzisSB6KhB
XHLOTe+ynP6wvP38EIxzAL/wJNkfbrVQizvHmPz4mGUHFFM0CMUMktUfXqo/e4S42f4+yoevPq46
oL7AsY9h/JRgxdSVJdE7JjC7uDkqMVCTP3xHP5yWAMeBvu6VzK4ZxodSQbgw71I7T45NtwYNg1il
nC7+4Y324RD00t4+QVnnc0GDMjlijp9pio952vzDZfvhXn49hO7w1FDw0Gd7f4hoGGjBstM61smT
Mm2t/i8v2C9hrD/cyhzAMRA2UdJAK3klJb159bB02r2WTemROi9tzTkM8xCScOa+vF6rf9Vqkm31
a7Xa/DF57F6qn2nz5Q/+3ZWlwUo965JFoqv839uurPqJQtfUvvJBX6eu3zgyzicTRb8ExsiOLkPb
711Z+5VTatCVJdBdJp/8k86sLvu7bxY8E34Nqym0UOu1MYwf4P1tmPkO0p7OyQ+qmvgb/F/rwMce
Ven9SWt3eCxbUZ8OrcjXujrpa3doj1lkIFrCs14ZAuMjAWTJGJhLFwfx3O8tfRYZQTlHLoXiWenF
IkC6PLMxlS5wE6VHsupuA5MRSlfp+hwY+Qm5waeVaWyc3KUjoNBWGgvau34+n0ry76oR0lIed/Ca
m50vsY+xYe4mCXLxDXtvCePaNwvU6qFz7vZ2vMiq8LxRq0dhGtiOTP+mS00iG8MAyeaAUzXupr2V
2VAdAd5run7nJjnUl+7EjRmZ2cmVYqb7BufYnCjb66xinqVoRJJ7/Yk9GRewMFear9yLcJj7JfgC
dkNAxYrTws7vhMOkMYBCEJjDuiMlbcZN8dgQXjDLBiThCoAGeJ3BjFiYZKFXA7ZbrxzpsGUtWvRu
JJWeCRuWNiLS9U0Oc2E29O1ZnwAz9adeW5txs4oweA9xBxMh1tgRiumoe9aTaIqruAVcCnlypvvs
LA1rNQbpNhSMwOCyH63Wvg5Kj0BCY7yzJNEm7M0Ca4RBQykLcb+GI1BBYa+bCkDCkNkrLUh2g5a8
BJOcEDbi2goq5oeJ8OYYlw5sTcVZ4tmbwfEvyzMj2FotdKveObHGKJoLR12FdgeuqyS6tpmYhOos
21Xr3AUW+rO2lD3yPFwDZ8tmcZo/xbaVL6JmpHwotVXiEEyrInFsRqL9gIymafS5qvQX5AwvaCT9
jV8aZzLUF6KOPxvVLl1GY2Lc6DgeALXStrY9qQgvdwzMt4mp7c02WFWOD5qDEHXyJAdQmr41rp1X
mFdmts2y75TzsOifyYzrK+zOZOzAglxPtLpJjih3hgJ/szSKjWvl5GcJ8AEZs48FlOCNUPyMzuzw
CFr+KlTzRVenyMDJ8+HW5T5yb3O905mdQRFHjFcuQxdM6ms25UiELeKqVltiNYQTaSYXLiIGC8TQ
TA+DbeZaDHBrbZbGVbRI/Ijnwk5a1MyFttLLHCALT/pKSfSEad/UnowiO/eU4En3e+O88dILRzox
BkLb6dlwLkFDd0SBqlEb5FaC9DzkOU8KCudhRggQ4AHzNEhVFUt+hNI54gJm1kPTaLs6Pw8NgzF/
5RwJGiAYwsrPBkK7Zl3T71yRPxs1rp1yjB5TIy2WdlzHC2VQ4gVS/WjWmyW41pLYBdmu1Mc5+V7C
15879mDRltiQZZjT1yw9boMu9R5HGdItxnLvTbGGlUC5HApjk2mBgnowuFH8+CVueWRERiOnKOiF
uJD8lBRWsQ7ClRHzVZl5X1ya6HPiOxivJPbayDPCvrDjzJRiklOfMjtVxGDutSy9UkLgC0MHid9p
7GgJi9JbDLS2YVQyv/ArNUdn2O1pzEFSsHEJJG54GVTczabha9sqiYIloF2UIx7DoXiczkEbw3Od
sPLVaTfNi1G50MuqRXPJgxVMtPCYLPRzYodIFkTsTsewMUjwRHtioP8f+V2tXp6nhn5Cjtql6qlX
nkl0iyY6mtWmWOrTNDAJyqsqOoAvre7iV/2I9aolqVGVtF/1Ja9aEyAfGalVCFCcVy3KvzXB66RW
9qV+XRNcvQSP6SMvf3b0zbh9/u//+qrtkj/1d0GgfcKCzqvHki/215iev8e0+idKBORRNFmErcsM
o78KAsa0KLpQTaGcQoxlygyyb2NaF187EygcWN+M7f9AocVG8WNBQGvH1OSxXN5Vr6XHu9I3oVRN
+BiHzg3ieoFynbcrdBgpMG1RmmoNb38oLryo0IUOUo6aS2GqhkK1wak7L3RdW/nReOUoebluozQh
SRkldG6xNKN19V9Vr9OrApa45FZZ6Ohia2Q1F9zjPfMUyzulZ2Zto8FeWKXQ54XdVXtT6rNMxMSE
zGqfG8xxqtc2m6LPzqpXbS7uFlBT6HVHdLu2FPCWUsrrx4h61SRDwu1YSEKl5NdvadGOLt71lE/l
DDEJya2y0aRUOJKiYUjpz1omhhawA2O7BlkFkxS8bL4UHDc6c0CYdtrBE0xYBylMbqRE2dagwBQc
fpKWnArHP0fBpjNJww4SyXLh4uFJ8PJEeHoA3ACD5OlvMkGJgO3HkgagvOlMUGo06k2IIFZ+AqcG
6bkFAomlYlxPUohR4Sly2hKT4avNyFGuC3xHLv6jIlCdrVlOx6onjZEi8lYv7accz1IpzUsVLia2
v0ez8a78joWr70mDx+9U4XtS8T+hOasXQlqisLbZ6yLJ76I+2Vm4pgZpnxrxUQ3SUNU27orcugeT
LUUhLVfg8AgmkTYs1GuIWROEcLr0aYUho5RYerdYoI8OZq5YurpAa0rvjTksFen5SqX7a6rrWws7
GAKpeU59uYx9WOGjHwY0mcqbXLrIUuknGxzLX9RYzHIpy2bMrsNHhsmZTVj1gROySBvtsahJj1Vh
wi6ZNDxhFbvrgvg59TNj5enac+HFEKaGoNllgEQ9xdFXRJF0K2vQPYpPAKAxt+u6VWEgqp6RQmPT
SBspDH3LCM1do2qI5jrd1+3ABHKMrIUR15/1AiqP6/X2Uot47bUWxtCsYDytgnrn2S9gKMfJKmTE
jXLBndmV687LkGeECV+CCDiYFh6MWMSICAwIqESP4EJJHg56522EmR2DITtYsbNVlHDVii2UOa/f
u/zO2mguC1S/c2u0j3Fq3dpuikcAfFSvwwDzogHJIuqLMgSR2dzZSaAu8qEBnxcV7rK2gSLkbuPO
mihb5XGxFwLflpJe1367jUv/tEmLdKOJGlnUeBRJtzFa2H52jx28GphUJgJ9mZrcB3V4ZlqEHlpM
0bZRaZ8KNz2DBUA6p476oAaSkscxgD6rIe8n0GhJ+Vq4baPwVLThqZYW94k2UHEixJpZmneNjfm2
ZY4k0thYQ1xxFwPui7kZGFj9MznR9XFOKm2z9lHpwarA0KKM6UVvebeTx+cri7aWadWzqeHn0Jkw
G2HQWUTx1puqlzLTjaWYZNHiwlxlCI4UAK23y2VlgvQKejxveunmCNtRasyNRdxVFiNs9Qu6mxMj
DE/DAC8NWcaM3glOxWh5P1n6lQfial6Bd5vjb1aAYTBVdtx7jUp/RpzDuVAwlGgTI2y3XSP+k2A8
x1viyjivgnbtZeKqC+q92ilIYQpnF1Ygczw7PU/KbDHYobILaIyGZpNhLBh21ujgd8B8SyI5pMQS
4I+V9fEyMYYcyn2wJxGKsaoHpUOpki/+5F2VBazgURPIuULyw4Ygeq4K8+DnGgFATj8tpMN7nll4
rntfmTaNA8Ktx3UxldP5SKj3UukYKcWufzno4bIVxGIBC3bdtFsZRbUDvBLwFmADVpYpFsjeYg5t
5ebKS8c7zNNg6tTHkkzX9SACpJt9B4kzvRZmdwrvgB8V5JB1xkoqZrrcOUEgtIlqDxMTN9G8n1Df
mmTQjbb2NGnF3vRZswdUrRZVWKlVL00U7puhfJwGf2mHPJ31CFtZ1+5zcs1IDovZY5EnFasMQjFt
QkA2JHgXkQ4rdzGzQ3Q/ZkyC/TDaV0Ub7ic46XHDQhnqFvKYRIaJjehQiPxBCYjcqHYPlTv5a2H0
Nwn3LTAttMZ2DwOpA8/Ag3ZemR3wB+zBa5Qfj7w7q2UeBrhQgjFfqrpuHRxHccgvN8W6qqu7MNYu
TXy58xx3qcb0EjeiBysC8kONjgWec6GxgmirSTifdVDq68qtVny+z1VEoF3m5M+1h9jZBWaywAqO
vDUGt+UhtOadR6wbf9fj82hcHB2MLeY6+t6lm7bPeB7IzrDLZz3I4Ju6NZIeL543nQfhzWpnhj8G
KzdHsusPCIs90EnyKSuBPRNhTCgZks4ww8yQr/LW34xQKJc266QCGK1XsssxB6IfKtFDbBdPgFTm
7KDTtecRrSWlNRCqLjUptiml7Iah+BZ+LK/iTO5apTgnBHE1txStPriTsfCRJ8RSyuOk/YFgBgw1
qHxUHSOKi+7HUSj7VZRA4OG0pVKizfFRCcVSLlT4yp0qBUQVSiJW8xpdkdEF6wCsmAJDJHDAO8du
eZYnSR4A3QtVHxMVonXw3ZpbBqf/1tGvdbROt/LXdbRM/lxVj9lTWD/9JLdH/vDf5bT4hLDRdgz1
NXZbQufflNMabTKIGH9X2t/6a/YnUrxsQ3W//9S3ctr+BJmcthhQp3+e2/O+yUt3jcMzg6EFK3+p
bNa96yMTIag6kVdNREjdlo43a9lnvrkwx6+jibfJoj90efmtWCpwfAhwVKrcM7wt16fCs4oBMA2O
UwUJ2cokq6820QP8YVzx/kzkYOT9cWRT/k03mUelKKvQxHZXdHOtok32/PsTQVL6thP54xE+zBF8
GAyihXRzEIONRvnaxoKvjHNXgWrXLTEazevuvmg3bXhsoNNr4UtEXDJqpfy8yS79npA8CmgTMg9C
G984b6PLPg1QSKR/uBQa3dc3PdMfP6nsqb65FnpIqHFfyWtB5uaUUlncth1NJs049Lx4WLdm4fjF
xkha8p+wDv8wAJHUsR8+AGN+01L5WtisfZgdZI6vNZ1qjwc6YmhpNbdKTmNSG3DqFwZZx+5rADIB
yrtqqGdm219oCYK6nu7IvJNxyRUr8EwUrdrJN++ud5u2WifpnUj1Xe+pWDExvWjXg56S3xq7EbhK
ZLZZRBlt0TuCeCK6coWObtE1eNimQ2eFyxQgWV4SXWiR20GQTyqOGFJJfLqrWYP9+qr2nb2OWKZC
qtlhnxXQO3XTnNu8eEYIizHqlAKOhEWRNZXU2mATW60lJCRdgvEay7uaimlkyF322Qkb0fMo2kdD
uu4ykV+nJklCJFQvcwBVBpU4I5tIenPN0DcWRliyC3SwxuZxct8oKGvSqcLk4QE3842v6/YvZy+v
05vvc8QfHnzjw+PShy4ezKGeDupa33jb6bS51dfOtjrUM+202ZRzdm8Ldz6u9Pmu2qWrfDHcK9t4
1azVtbUPV9HX/PlffqD3u/ofb1kmFG9vWSPBppPKW5aUUDzSZAxQkpDZov5hOfrZnfl2Ofqw4NGT
n5Ig4DhKNkuuhudSSkDnwGos7w8PgSZv8u+X+OspvX0IPkwuXP5xpROWewj0eXQkE7Ud5pWP0BfT
z9w/9H86tZ+tgIS9QR5wiFoGjvT+EtIoGOi26uLQR/Typ8+dcvz9CvizBfDtAT5cO/ilNoNHIQ51
t5Bgol6Z18OfJFB/OsiHVdYd2BjRFReYuU6mctdYV8J6+P15/OyV9PY8PiyPI+/qCsm1ODCbxJcK
PMi6cKMzNxi+3mz/05PHffhU5XX+pflf8jc/5aAIQj9o/vf7P9Zf/0zQ5eKxeXz3B5SptPPO25dq
vHipmTJ9a7DJf/l/+5d/NQWvUJv+9389PqOPgVXYVOFTw+vlY8NQ5Wv7dXnEuKKpHv8zz+vmJ81G
+bN/V0faJwn30illiBOlUHpTHQn4XzR8KILo8kHH+LvZiB0UgZxADCOErZqUUN+bjTaBh9goXUGP
8Ku/9Nu1OH59NrmMv1yUCL549wzLZRI4GeoEyaTlf3I6+nZZclN7cjM0p4ekC0XgzasyV3fodI1d
BpoCTI6VXo+RzxBnUE6dTKaxmdC3e0rzIAOcpDXR1eA3J7EzXHbqcDp6WoSv0XJnbe+wcQinnRs2
N306ntkpPNnQovPvES0sA2YGtsoFBqeB1J9w4j5NIRKA4cT3ZrtsnnT9i+4A9+7rkl1wGI/zIsRS
WMUK2C3HWLVR5MwNyFBAL4L7kTg56PnGuMQzni7Uqrgi4Zq9UasIxnQ+u6lJnY99w24J4n2VebeJ
qy0aYY3zqq4XZth/tsiKjrwyXdC2fSpho895r95ZJS9xPL9gzoi4LulOKrm4s3xj7dh4GT2EpgGc
wplepwBvEFWzQ8a1SFNoNPCew6f4TP7Y57QZDmpO54AB4n2ouuE8NRCtxsMWkEK20gb6gFWHCR2r
5rNP3bEYtOyuAHpFEw//Ps3WF8sTSJzj8TEE7H2Ct9+mlBCk6PkWpGhHuxBwPBZGTpRfaBpgRQBK
rvs+PtHMsmPSwMgXL3zVrPKog0tts6snqBJ/mq4iaB+mpRMw8PDdiWgf4M0YWBwyF9OuWpEyXSy8
hIKw4W6eYewNQGjkDPDU0EO+XkPmVfNkTSOxuaRvMN30UxcscjXxgL4l6n60UuKe+ji+z6tOEFts
W3eM5tKLutLKY2CJcOvAcSJaE1k2Mb/5TliMZyTIOjoF3EXetJIPpPVOCdFlKWLjwQkVZ9GbSrnN
hHpOS4pk+qAvrkGkGd3aQ6b5oGDh/GI4DOlSRG4Ea44g7B0HUrAoCY9mat1NMiqjCk+0WuwbqIvg
qpdksZyCPL5Xa2S3StmeVUHWbzyvGVa22kF113OX1M2gm0FoOzMa0azKVJ1HdtXQ73BPPLDxszhB
75NRES2szs0WkyFDCTUnXNjpqLIRZ8K3FOGlrWcF7AQr3ueu45yACulucFo5Wwvq7ixQVG9N+jux
WUr1ZRAEnuMqWAzOGP4bTft1+iPdbr9ezE9equzHF4D8mW+LuMaWFNEyOkt2k6+Mou9bXPUTuBUI
xSyt0u/P+vpti2syFsJkTxYjo5yvJIBvW1wD3DEJRqqNNgiVoG78EwmJLUvH73UYazjESRRmLrcz
SibcGO/XcFsrfFULpubMBv6BESykCHMCkSzwzrlru3MemZv0q1ICZWAQR4ayS2unlUTGUET3oSAi
4xB4eVtuUa0WhKG2Ua8uC8Vs7WNhVFV/zPrirCC78gqmPY4qWlf2KqonwJFJED3opKifjxlY10L1
hLb0wcrBZcXGEOLpn8CzlHXtL0oT1s3W8JQ00pli2Ul9TxR2BGJ+SCYBHl+nUR/WK5ENobZL037K
L/1pjJV1CB4ZPkHug93TfRVAGRz+ocO/XOV9tFZieIm9ZIZ1saUt+6Gc1mpsVTcsQC3Bp+5oTUu9
bkdkZMKFa5e0ulXuC9tTwMcbhUKeSDFZ+3asA7zeIrcuQ0sasUi0ANifjfVaw6ncXMZ6UrlLyyiS
wyCsQKxLJgfL0a/zu6mXPMui9OOI5mOQ21vCg3R1+Xpn/k8XXP//pUfLxsyvH9HFS/KfM95KLz8+
p/IHvz2nQv/EexnRFkNdahmHDcTfrSgDzhgiZgy2f4UcfntODbBlNHBM1bLtb8HTfz2nBpNiHlLS
DC3rNU9M/JPnlCrw3WNqEIjIGOJVEMxoWf1QajVeG9XJlBFPAotGjcNT24/nejd+vUV+XdM572s6
zkTKTakq6Z8h3DY/KsoUuNOgmeIeWyMUZdoLjrHERLdLYXWglfEZ0vQ2wJkmP7hje1rGxbUtqlbm
vOLNSxG1xJUWn3SVSZBFjjpaH3HrKCaGFpJQ7/qauN/UCXC6SaZYUCeXBQeciyI55ipdZg1CxMwp
RbkgEYSyCxwWvCrnpEwH2Rip5pkG8YHVFg5XnK08q1sJInwXLRGJRImR/mMbt4pj712jdfEb63eB
kWDdGcxLdocXSjqcKYp51oRqh84pjGaW424rtzvrvdTnNa9dg1omQMLvyI2VIOe2I8dKmVa90d66
TvVC/PaDn473lVRUxWAzFskYHk2yYy07DVeQWjaW61XrOqj4hqrqOrf8TegY/pyt9YnqGp+zPohX
XaoWvNmJVEzyoQBVKcFYaFpoy0wPWoqrcDKig+FQO43MS5WC0CViylob91oNGHdI21mujRd22a4p
+DeIqBTa/nXKB9WhVTQZfDZhXipjQWR1Q9KT7T64DWIm0kKYPFO/tAbtLchKDph8vr9ojYzpiwMZ
hC2fuSezCAdaBvytxPCi2eOZAMsxYHkjGUoLV7GWHEsW8BXzozXZsHvfZ8DeaMba7bi2QQ9sUbHM
blGU7gO7hA2YvAtmxAy1p/omtLRp7tc4Q2kpXdZ9u9XMmFwJXX1SE1zOfj/eJGForgd9oqUIr7UO
IpLIp+pZS8Sz6BMg7uRS54m7BTKrQXTv11DyztPYYaiWW6e2jgnOSrKnKSruApuEutTKr2CpE4BT
2vGmb8m5sPu50L0VECy3WnKLBaRz97zohqB8zLCVVavJUYjzJTGdQCIVagPIXFH59cbomd6pdr/S
cGjPtLIadkliop6n66V6SIgM/blX3S1N11U3oSjDe1l0NwRHSS5XrzGcMkOJSB+0cBFHYqsjidJA
3DVSL+eUjyQCXGix8uK4fE0llO+cuxESW8eWqW7gofaLvI+1rZKaMOX67tQhBnyhsAnCIob9r+5C
KGN+f29Fdr0c/GLvh6o3r4uBFAIkS0Z9yvCUDmC96fvmbvIQEwwkcHeRiqEmx5DNI6tn8REuOZno
ypbWkMFWIQiW0zACO+wgWPRjOot6UBhDq10EjbUe8uaFGMJ+PkDhybBykn6cXtnbwKhOoGFsRsuG
jKo+TOYYz0EM17MR77Nx2fU1hLh2VxDokkgLeVbNxQrtGob7Bn2Vvux1Y9MJfYUCAhrfVHRr3Y6a
laphvvY74yEzNEameb/wFOxARl+sWy07jHl/D6sDVt1o3DSN6uwLJTLKK7mD8R2j8ja5IND9T8vo
D90t8JaaAUwfXTCpFXKu8XZnXNcEyHijNR57oqBnxtrbDZf5fhs1M+UxuwXOuoUHNvNO4Nm3C5q0
2zcvuL+26r8dK8jDuzbvHaELxhcfirrKa81Osdrp2NlAhLauCgNleFDydPbPjyMQ8ts0sZkeqx/b
UQ3vrHDopiOG8YBtbpK8uP62Z1L/++O8f/vJl9Lr9eQdqKl4Y1476m9a9iViTbPVAvVomSeVRbgs
8j3j9vfHeDUefK+E/zrIm5P50PhqA1WtBbGzR4Kobsi6WXYb9ZkYdiQ9e0gp/uyiWkJAWonN9Zmz
SGZnHZ3em3rpLc+jXT/bsP8+bRb8wwXG9UW+vPn95xM/NIG5BobAD6QjIEN5/uHzJe00EQyhakcm
nmfeubpU99otbGo0oPN2Mc5299p6mJ+Vq35D5y49ISrjnD75qp8lX5u3/xaS8gb+dSG5TP6zyKvH
55/MNOUPfiskNfeTVPmpSAB5c77v2mmfNL5CwrKFpX1VD37b8LmIB0GsuJYw1B9ILjwABo07Nn3I
zSlaP3Tpfte1w0LyoZQ0HX4PK5OKQoLxpvbhPip9bzAVrasPqpHf9NnI+wkotULpC6agro7KBGU9
42V5Z6K4mrtmgsTNVlDVQfWmj9Blu8mHThtPrNHIqm4RB9uLinSReYE3azXJTNA0BO5EUVTNG6PN
l6XndnP2cT0C4emybXif0w4L6ODZ126dbXmrZCsLWNTMNvMdz6q/qXR7C/Dllqg9iWotLqs8GGeW
ErobTcUha/AiBOkPrfQMiBZNFd/TZmoVaavRhGlVkP6a9OEatP0kJRcn6MrvvUbQMycTLujbSxWV
zcovLaRwvaXOrMH8bNEd3DQNm8pqMEc0EcOLlVsv7MejBRBT5IRlt3cH/Y6JVbYrWpB2uu08ii44
D3LGYXzMJzdDsmXCu9Q7CbWy8vxmILRkyTqKeIvkapOYapiUKz+H3egFCg7/9MVKtOUgI63zpFgb
hFzjYEP8FPsbWn3OLO2YjMb9NC0i8qyWrTIcIA7ohGyKm5AA7U4maWPEzYGwOohFCuaFEYHbCQw4
3WoeUpnEXerEd7b0TieZ0u2o440Das05DjX9qqIZmIUmvBLd00ApvkwS5+8xoVzWESEGOUIlYl2T
YZ2GODfKMHK3RTmCXojFNfRJaPYj4T/CCWZY1vT7SYW+kCK/aq9aK/HPSM4pdpOasuMNlHhTmPmy
j9QLDcU6RYbDbhnrAmFp4Y20NABSBcBCoEO00H0ACgVT8oWZA/dRlPzowzSZWTXqHEu9shV6xn1U
PbctG6PE2hltxiWmh4ta7rYww2dbT0892N8omEocoRUZY7bSPpJCjHDd0O8VkTxQXhPj7tvr0TVy
WtDRRqgYIuy8Xgwt1A9BfGg5OasxixGu2QsAOKeWZ++1lpBBcHOX6ZR9UZMc6VbrQD43R5iksY8Q
VImeSCy4MwVs1GC4SCC3jZ1yhU/moeF1ySbBnZWtclIO1Zmqe9dDFp2MParb0hM3fkryTlB5V95g
nwBYq2eF8I2VXlC3xg75E8K49+z+2lK1aZb4STQfFEpqO1Q/w0666KvozCcuk1BBmjp2d+g140If
OZfUC8+rWttajjVHLbyT2bGt1Z/QtoHC0NzI7YqfmfCWzUMQThu9SgEMhGx46vEOOI6zjnwlncUh
EFH200R3lgROuBIK6w0M02kj3VV1utPdbh/rYhuo0w3Zog7Xw9Pnpd5viwp3MzcsKGcluYB3/LnQ
U3djxwl6W8sBjkGfB4KpA+0nBxYHI2qVuyQ1GVhqoiKNtvRX5kOtrRyB/k6uuKxSwAJjozvmjMZn
omzUVQtFxFdHMoGILlK5BKxJ5/po7aPWfaK/JmODrGthGXvdKBGDtgiiO3zyi1wucRVSzs5XL4Wb
ESoJn00UdTqrgWu7mplsUlSrWtLg7Ekba04z6rad/EtNNT7bKQxWXzj7uAu8te8rCh2v5EKzYSjS
5YHyI+zPIrTJosgSUENWsRx1BahUCMmBlXQVw4Ctmgkjc0neQFhpV1nYZbOWsK6nIlDOrLzrlnnN
GhGGt33QIVcLNqnpfJkogZcNZidgIyqw6xLhVVibCjlf9ZTeplDE/f0kyNpoyGEhPts8MZ3qysW9
AsrXpjk+5Q+Q+VxMRp0+a+LpzoMoOLO7+rPVKOV8aiv86clZ4GsH3fQehrr9orUtyKqs2tGKQ3Nr
JMu2Mc9bEKGtS4i4pVY5518unWQ4VYEEon/O1JmJVoFKvr3SB8jHHqOjPLqJOhBgMWk0fJrpzo2H
fV2ON6nZnxd9dOR+4CIM7XUaa2eTybSh8RHedmpG4jEWq8FtLjN9PNOseqcO0YmhDtcZPUfPMI+W
Xy8Klyxwh/8YjMBe2InFtsw0eMlZNNvDqInmmSqaGWvsAujWJiuzTRU1YCvTmmXHIqrC0gFoaR5+
Gs1L1hZgomly1K0S99sssgJiW6XgcWzEFgBzCBQnapcEdmbLWCWGtoc5DtODNgExEl+L5H+rMmmX
+HVVdhHi46zD55cf23vyB/+uyoxPhi4BG3BruXsoir5192SD3rYESUou4jYagN+78ID3ZB6BQwMf
hK5uso371oXXP1FZ0ZunX/gXee8fFGWv6oPvew+GtCA5BNFPdOMtgTZUdunfbHACIceorf5/2Duv
5bqNtdu+ynkBuNCIjcuzcmQWg25QJEUi59h4+n+AsmRJ26F87yrXtmurqBW4VvcX5hzTONdFVZXu
SWNVBlnNs/Qm01eeFSfIqAwzIbXPFx22Py4loZRwF0zX7EsoWOllN6t3hmzU9radm+eOgJvVYDT5
MfO97JZTf7jsRqs85VFbvLYBRi8jG5JbSwz10SpiL1+2o/vmG5G1KyzS9ERcI/t1QfJ9pjXSPQxO
hMXWKLUsL90mhhhWE/L/l753xLtmRhPrQwe5iBeSFU1ZyRBNeoSEOtVqNGKcVXqcLaPQTa6yrPPv
DHAdNx2Hf3irx2xYm23qimraT2XIeAK3hWRQxTQwMHhAznPoVb2wRA1sdZCFemaVgcC6ZvyiL4ra
sFb+5PT6hcNXErpuVMWftJjKalH1iesumbgjSRpqk4GF3YMFSLrO3Ft9Rog4fdfKRdo3A4lkWxL4
kNuEwfe1Zx/Br9bPfhw5BB+FXCNoEkGkaxUs3aWKctPcKtHEexWy1lwVmGAm0fTuzuhttnVu/NrG
aXgoHQBMZxu64V5WMupvplhSptY20b3LkA/mcM48KJ/a9uOL8N+JoPNF/OsTYZu+5X+ylJt/6Ntp
YIjf0N+xenM9EkOpUP44DgzjN8+UFv8wcZ99XH8cBzR2KPa8700af/TtOPAY9gPsYI3Gym7GKfyb
Hk04P6uV2MpZaE91lK84uSzrw1z+43nA0sjFvSQ9/BI1CHtbTOW2/oiINLU8NABPZY3/maKnvkYR
QaBkNmdLToRMEh12qnMvIX46eUmoVACuLXqjDTbKsriaSjMd5zhNgGBkEa273rtO5PAOvS5aEulI
vLaBZt1gNouxw662OqR6CbF+LLWdFqUvdg1Ez42LUxAP18kMuXeIKQtwUrg6mntIjzBlhyVBCRoX
qtqy1LgwSFSPDJQWwwzR73S1UzNWP9fESwxnH1iwva+l+1ha7n6qh1fylc8EfKb2nPXgPHnYZdsZ
3E/XgMhHzugtor8RatAwgPmfqK6YKeZLoxc7jqtjP0cCDC3hAImp1SSiAp5EF8arRXWyaorpIWv6
s5wjBlCDERE2xw4YeEtCi1APsws29RxNIOrAXcekFUhSC2hy+1VluYyBSTTISDZAQHLLUXeJqYAF
R+bbm2yOQSD2ZT/MwQgfxHLBeHalD1aPzY4AhXKWYnQa6EpIn8xf1XVmJ/sGH/qCGMYvKuslpyYC
/rrw6c4YaZqBekZZO+D8Eu+toR0Evj2ECKd4Dnjw56iH/iP0YSD+ASZJjGyESIiRbIiJjIhMy4dH
fp/H1v48Zc6ZHe0SPy3ZAvFBd/zbYQ6bwGoWNyummCjgNSPv2GtGCcr48qtMnmQzNPNjYLv7tJEW
CdJo6iMpmWmTPuudDVIrD25S9FsDZw8moBjapzWDP0PSwG59Yha8ZYqtjx6qmJxdb4N6pf630lUK
U24rVMFd5+a1cXJROj7IwpE7bSL/9L/jkIqF+TJLvL8+Dve5+pOJ1fwz305DYf/mzCkBTIOkiwqd
Ydb34giMMGWRwSrz94Slb6tP0/3Ncjg8Xcc1UahxTP1xGqJeQLRgwy8xmFr969Pw52k6y1VoGub8
HOANUIWZPL8fT0PwqKUAjddeZIkTbopZGTAWmSXRDRj9REB95IXc/msLkFFIpd0TTGjDwxRU3gZU
xqWlIpjWXL2VumTiYRPqLrvBrun5R6ci0sNOQ3NLsZFhALWsNCJTVfPj3lhpvlfkUMydzrpyu86r
85VLkIl1HG0bdO1SaFXcPFM91NNERwWlgeD6se49lMJ9WG/jpvTOYaWH+4D0J5TPg/WpKvBaSdqW
qivIdbKSOFuJauiPQIUU1MEov3DTpLshxnZ40XPbLhkshcFLb9XjJm307ITcp8AQVvgXsWZbG4YM
4Y7bjim1HEx1LVzD3zddMZyJHBguoEe2q9ov34tBEkU4Gkb9TM5Is0xby+iWoW/ToNtxe2cMVQYg
Nbdf5ZR62z5MhxORScTGTRHOP8u8IUEwJUIwqADb66O1ggY5Luy21Zgy6eqiZv62SVhVYxsThM83
DYOnBeyuF35N6KZ9na5HlGxqPS80PptTOV2FE/EO5E11xgsZcPaxw7e5VxxIjyaRxPjjDZbepRes
JhDyl12XvPKW5vvKc8StAJqYLmM29GcL0fbCxm12oUhsxkVkY2GMmmbrEeyzjidPXkxVZO+yKo+X
niLmOuRofbWcMT3RiDb3XVZ0gAfinBFnZJyxQZP56IRNslGY4figVM61IF13E1V2c2VGZrlqO704
shmBH9okB2yCE5s7TW4qW43vg0UWgiyz4DAWkcVzi12N+AZHZ5XesJEuFIF1bds5p0rJfFsGZOBY
TPgWo123I1Blzz+ktebc00I/MOE0ToYmy0uevg+Fln1rUxjWpq1r/VJNIdtH4pH3QZQzFmBudraa
Ut2EtRwgWAzVWkXduA76yd80H3Ka/07WrycrR9Ffn6y7LiPo6kv7v53nLHf/droiLGFmr9PUffX+
c/B+O10NmlJ2WiS6gLREfMLB9vs+APUIxiMG3fj1kfDOCPdvteYH9F2AGZj/VqxOdKX/ovX8dRtg
Sc5V5F9ozZC4oOb9+WxtO8KK3MIerjr9ECDZVTdF87UN+UtRyVd1yh/t7bxaQytM5cydQJfL6/35
QQQjnzhOmvLKHNBwzCmWMzI7NI3cvALaV1FZFc6YXE9F5EDcxIb7SO1lJNdSt9UyhE5noOcsEdQX
+yocTxF5v6QcrKeIQISOJkqp9MonaCUttL1qPFKYittWZ4GtQsidlXszRs3OVxVa12zc0AGLlW1V
B60cLjWZvKQqedbISevKck9e1CNjb7GcovAyIKdCGuARQzBcYqzf62721EfDKqUWRFpmdUQ60Oq2
9rCrehLmOzf+5MpdZTZLXt5j4Oh73WO1Ts7GoRrzt7TxQmak8FpV9uaXgEhkVgKN10fS3Zp6Q5D6
iaiZYSXzeU42YOotXf1lbPKDaWlcFFZOlg4pyYbxqR6pm4yofUgy1eB3Hl4bxzooq843VVye83Ac
Vl7lmqiTfXvpF/VtHYFPcK2iXQfKPGOkZz/TmNfpQKjr1HePWmyisnXHNZ0RVHWjfY9dgM2SoBAm
AQXqI+uIC9ZiOFhFizSpIFTrmHTKlnp5jIkkjUr6dUHIxIKklgeR4RGaXdWAIm5szKKLzEjvhgxX
rieTJ62qLXxE5d5DCn6RtgOpFFpy4ACm0xbA+4UMuIFezbjYkAgLQGEwltZYNUuPwBx/AmbqV3iA
i0AcatnVq5Yg4cm1X8uImfCgaihY1qtsMJLJOHqXGfiogLphVbXeHaufdysaPtz0nOnDkkZ+FxoM
GARK7SLIrkgbehFxrC9rq0WgneT7NErIQOnbTSTnvZGJisBqWmKQNd0jmba74rD+1AekDWsp6EYz
rKHWh7f4aivGAUG3zH2m2qgisXi762muez0Z3xrmjLVCDzx6/UOiT9C3lfOOVfezzZWDlgbdgzkm
MGZIOjpTpdTLgJCRJefKp0BVt7lll4cwMS+D1HVXYRFiSB/Hz30Mp78cKhhDA++H605PieOjgaEz
6slUYvTjbPpa/5QE6acmgn4zagiM+6A9Z6723mryibw/Rp2kYbumaBjk+MzgybpzChSVJlHS5Yd6
YrDqyt+VvBseMqzqzg4GkoCdhE+5lyafEsZue3uC0+mYw11VGVT35VvG3i9KyhSAVPlFtFXVsrgI
mBxLxEVDe+zqKH6wrJawNYLGG+d+DhnYqlDFp6yg5tO0m7qLvbmHSysS3bIaWhPkKs3FKF9jMFo2
Kabgic9vYOKKL4j9bmwQDrVGh9ssS76bMyfpoincx1Dab5CXqwXHWsWiS4DHLsnLVEcGBc/a2B2B
TgOh6p6CDic4Z85NnYs16KabQph7kpdviL5bOVpwbyTOUyNtxNo6wPrgCjnDlcrw7TftBrT70vfU
l67X0kXoxqukaZM1nPRlAlLJbWqybqS9qcv+wnWLdV0l6cJk6xdG9kDgMovJWGqQLrRL1db3WUTK
hG80ILXDjVGND1rzZnd8EnvH3ZgWUZJLPx9AaECzYDwQd0rT1nqv3Hs36MdtVdXGMg4gaNmybMuL
BJZaVljQmaZq7fZ5gKo/nvOBksIqFUUyBLkW7uVSpnS80szugYJs6nZ4HIb0vqm0J/Z75rXe2dMV
F161qdPquTLEPqzNL6MvL6tJXXgppRxhgmyHk0ms8F7DjohTcORTRsBSJtU5yMLbKAheYqPWlkPS
pcd6UqDRsxbRTA7y3WrDp9zgtziEd1FUxGBZoNv0zWMniumWkLJs489CKHIEGkIKuXuWXsIZ0Gkp
pvCunC41oHZ3TmyqlVKwS4K6sHO+5c0DUPhuZbVutuPbLFdV2q4sBztuL9ph6xtEt5qkZhMvDJG+
TyHQBG0S8WWnshwwhOyYElzh0LhpLIKjHbGN+7n11/zXiGR1FlvijiHGYy3G28CunT0ixcc5RxtX
yeT/A4N57op+uXTRhoGOQuDNwHsef/3YNTlpVxrSqLqrQg5rR1zG8s7hWdvMYeJ/Es/8XEXMFzwz
NEeYYo6b85AV/PxYTQOFxBia4QrwhZ/cVwre/T/oX/7pIeY//2FEPqSQMIYuHa5KvpgKOULYf7bK
2x/qtz8RTv3pg3iM8FxqK1qLXx6kCTHUxPkwXJn1XVWcRu1C6/d//xD/+2vhrfrhIVg3/Pg62o58
GGGNwxU5Clm1mZhAU4Xk7nOs/uGRZiHHzx+Anx9pfiY/vGNp2NuZAyPuqoLCIHKyoIxDl52Hnmj2
w5RNX/dPf1nmzU/814cD7WtDymQewG7k54drg5gYh1YMzJYeBR2M69wF4VFl/01xfjea8GH7617j
9Jy8/Umfwc987zMM0GQ6s2QhmR7r8/Lre58BmsxD/mEj6p4lRPzRH7oj9ECG7sICn3dfP/QZGAmx
FrKbQqnkmIjc/1Wf8SesUveDo8AkideLjO2XzwfDaiwNVW5fJn0aHLUgq/zbcYRutMO9lWwHywJi
4yI8qLg82eqme6umKrM7zd4RgFPsMxLUzgOiWmx2KWTKOXN+AViI4joTJ2nPNKwYXFcS5AfNi+2z
O7FJGlN942RIMTipN94k3+y451ZQQ7DyfWtiEhsGx3wcjnGebjQJPhxfS3eDlHpv9KPzOSWkAa9X
6K0HEW9TvdhNVBODEdxUgvw13cH0Rbpwv8yzetdO4sJrvDfX764jU15OldxzON9GktuqaB61QJZH
IpSOVYjqPLSivfCGR/K1llILbzPD/hREAGHo2ELmQmbJhCN4YsKwN2W5jnX/yfRIGQWzsFA9yMGk
7QeE5qjUyfVZmCZlZF2XLolb3rHC9rdIaoPJdXpRpYTDEEJzrjLruQ7byxa9CqJwe+G1cFqLAVy2
Xx4yN3GXWUE+sofdnlPDEwaD7AnkSmLQ10CqWJmuOky+9ijr8FoNpJWEbbzvAsIuKreZ1p4CqSlz
dPjCd4gaKHZMlZ4S7D3MTuCYm/W0CRS52UEZvoJSrIEeCHuVC7VF23VIA8/cZtK4yEts50Obhquo
ru9LP7TWZv3eOUrfOYnjrf2gQmppOytMV+9EJpHG43mXVdrh7owodnq3upO11E6al+7QY12niLZx
MOK564tl3Jbu0g5yyEF6oD6rHO5VYH1xmTit4x4HOoXEk1WXBzuwPgO5va6oF/paPA2lXy/qNnzH
l6A2CLDRSTTxReaqXYJbclFboqHQGt5GSQ6hJuxgGZbBJja6VxUCJWe6uXH75FWh3y1IGJ7VOZHT
vPScrCdmijQE2TwTb+miyTObJ+W8fmeXfYzPIUYySu/ZCbmL9iNqK+M0WIEjpDYm4TCFTsU7PjG+
X0Q+YlSs0RvvI7/Ln6O88jnUS5HuNfFluFZz4FeiSaQVFMYwlIyDacbm0sJDa85BYdMcGRYHgYmB
lxgxk0/bAvYE2WKJUIz458AxGgWixyoCvaQkjsydg8mKKGrpvIeAaNV+M7TZq9SDy6rH4sAhdTbB
xoJQ8q7ZcgGBS+OLyilhzosHRrPqthZa8pQLROVGheyCSJqVmEPUJPbKmaOXrCFogBhBDTbOoWsm
g1bSpQliywyikN05nE0MXX+RWRa6d4LbXBLcEpLcEo8Wp5vD3bqU2t+Impea3DdhluyWoarmTmcy
m5AHSHL2QcxxccVHcBy9+GcDQ9zCzqmlsFg6C4gUIDXm0Lk5zn6jlQTRTe2kv1bCeIyzzN8Q+jqs
h3qQ23zCPZAkqb0tsjngTot1zGZAncQcesdMMFtMln+svHCbDsNFxDcKKlZ3iMFMhQOvWtdsmMXF
kfS8bZT5LZAMEoziqWZM6cnlGLps3WTHb2hKcXIAoohDtcny7Dq0I4JwY9cjY8s+yqADsUD8amQn
Tyy4t53W3E4JIKs0ReEVItbPRXJuupp1YZdhA3brrV+WO6drSFrxw5XNQnTF0p4vLK2JcZZjdkdQ
TXrywv4KzhcJUBbaoaxAARkgCGSs/KCcHFNKeex8+TYWhqDhyw5tMjCQFOMWNs7XIu6/tbf4WyHM
Pivf6ug5/ZMq4RcdzOxJQKD2sd2mUv9WJQgHcgC6ZNoFuJJoKf6oEhhhmqDuGQ/yg19xA9823wb2
VmkDSvK4lT58c/9iGinMucL+o4qclTDsvg2DtRaWWOrkXzoJN6zqfNQqdR7NEi6ySHS8XKWLWexd
n6bcZhjT6i39vxnp7rQrnCQZcgZqMT2OYyU3vhHOszN/2NWid9XCdIxXgvkawIj+M860WzJbsyuV
4E6qJsfYmLYAy4fO5lw4zntYSnryDE+8yJtoEyISAXUGaLp1BrBGmbBPU9dkey1PWwaCSZKr5ejg
LYrjoL4ooVLRb3onlGLJEU1ZvmrKQW3wws14owR9La6vJSazeoHg17uwenVI7Ogki9Y/khibbBKN
6oY70CAu2HC4DBJ0yKPnhiuzpVGvmAItBZy1VTXSM1eyw4RkaU8p/V3pjPnBDbs74YCF9DOrWOUR
Q9PAU9pFHTuvQ84ooCpcsYUK8D7F8WeyI9EzWr3I9oPv+qfSitWnOmv9FYfkOWhMtrlh/NYGk/HE
YEy/nsg12/ROSuAZiYzRgs1txdPNPSinvlg7g64drHLUT3aUt9sIA9oiqFlx1K6L2zeIb5mV7odQ
3WklbPXCyq2tLotr1wGPjGkO3jvqLQZYzHmnxGUXpw/oA3DxnkTYodtVdWg/9WWwJ7jMTI6trwTE
yOxDLDVxT9aXIb+73kiS6KwEU70FXEpKBYS++uAtpae1lyUxhNoCeIZmQ6JTxp1mdGlEsZdMh7rP
vcsIASiDoEniRfJ4E/xLzwe9FEZgVnvhJScDfKUIsukWQAO300dZ/9/pJWgY/66/aZq3P1HtzD/1
rcPBWUEUA7IYXE0UCj+pdnDbzv+3/J0Xx5Llj00KDRHrRwwPgrGTx7H27ewCvgx7jb+RNgeZsyH/
zSaFvfYvZxduJ54Y/0t2Byw375cOp++8USsLZ7hUg9m46xAKMKNC11OsI6NwDXT/2E5JYK4V6ZPJ
vegEchQIAFG7L6doRoU7U3JqmEhN63g02gnJf5kXiNZz8n9fR84gjpCy9qd1G9QUaOyUd6MjAu/d
0zPR3qqmYYXQRq7lr3yo6x5Z6wSPYrbVZrd65QTGhLchGVCtTwDPaNK7YBRrwn3raW25AjWOLz82
m4mAmwvrYlv3gWV/SgVWhg3yZdIIBOUSMFHgzXCkd6Opuvh9MOUINpr98DoIYmYa2En0XZiMwUHz
ZfoSIeRZefgeQb6Xql9rKdvwfmY1w6kOF3qmMZJmIf/S26yopylj1KgrLaS0hJRiq/DdGTScwLl8
p08DcJkF2dot+TP8fMhvegho2D6HYxhg75BzSRhEoNs5pjEU1lr+glU7ocZsk3qV8V2HtqcRdD6f
/kJF+g62Pl0UpJBnIefF71QEh7LW0itLkfsA1MbbyjJ/S9zJ3pL6Cqc+7K1tU7QkDIJop+mEM2/Z
XXqV6Iz/KxLUs7JHNVhVAxHC2BwCab6FjVbs7DrhYwFfGfmMVa3rInBx3GovJfHlO2dKO5BwJN2H
df3uDr6/LQ0aPDejbV0NNcLttCXhoSiy5oDJJ14ZWhifec7QaAunOCRDD7Qr1ld0/BSs7qCuPc+3
t4NXZOtmdnUUQ5bQTFmEr3Z+D3K55mlK8zHNE4OiLQ7IBSBoAAJysCjwaC6IhiLBjQHmVqROdc3G
gUM5GNprN6KfmpSo2JYptgGspNPNpHvjuumLYdGAN1mPwu1g5qP+9sc82YkUhipEht+xfv8dmxxK
f3NsXsLZDP5kMDT/1PdjE6UOBxMLbUCbX7fM30s+YFGcisY8JLaB2jMj/jYYMn8jLnBeQaO0FfQ7
/NG3Y9NE7AjUQDJI+vdkAybEvxybs36Ivx+ZkWfgSZsxVz/OKRmTKwjjun+uPRGSg5Am9N+d5x+1
sdKPudvwbdV01X224vAQ+eqJASoJDKhrzVlmqw324O6cMM36dWXqMTiOio9dHMXBEs5GcR/Us1qX
0hblbj6LeDkx0PMOs7TXSv3oDR2HTx8+q35tPrjEzFA6UVJS/0VxRZxHYyBgq61+U9Ux4cLKxU7h
JWrRoGzzcMGUiBNjACXklNfvmgzQxCTZjC70McIb3hdfsqd25oNEM2NvQ7BzAMOYr3JYE5zaUbtN
xbGx9fM0DdfCnE5h781RXCeCPfYiCPdj5IPtd/DHTUKzQYv1HZB3K6Ric7Z6qV3FfRXflL48tpiX
lk4gc+q+RpxyAiWWhgY/WjlcRjWnJWSX7nJsm0stYec8BHzVlcWWvMA4AoUb+laK0aNcRqaq3xOz
vY1S/Za+IbPZeLT5lVbh6zAtPH5VuQlKJ3wson7ptnLpN35GxGiKb7xgQtKgJzBKF+tbIRcd7jlP
mdktTIBhU8p521eRGlzX2TaveLklQfLceRiIJtdZGSIPL/tg8HdRGXeMTZpNO2rFjTMwsiJnA14z
6AAP20lpYHCJtDPZHFSmsPVVV1qfGjRGbphA2lep3BCOxLYaOA1mLuxFpVs+2X7HvFBoHvdubgTN
slF1/A/Ch597GUlH5BL4YEOQcCgJpPOLDTvWw0FPQEleGHpYbsx0MJ5Dxfs0qAR+5n9l44cEx/hb
Cc75uY7Konn+36Z3/rnvJyDy7HnEPR9ZroWc8I+m19B/Y1lhovmbK8rZF/LtAIQyTMUovssYqfa+
HYDub5yIsJxolC3Y6c6/cuSas/Typ54XoSTScc5A+DJkSM/ioR8PwLjWEsOdjPAy05kDnUMDse4o
dHDVdp3nwVXBEXeYusr57ITWUO88LWf4OYwk/NaT29x7oVXcel5kT4QsdwM5ULnbPjRmJ/xu2aXu
2gkJdLAi7X402EKOwWQtU8NIlsbokP+DdwovV9ezr0nV8xBMz7jtrEU03jiNzNZI1rZGmkWXhmLM
JBJnPfZIZbT6AH+JRhY8N4k6fbPEZ/ecVDVGX6Zei44v1aIRaJnVJFMcVnKT5sDPtNyVQG29vRXA
aej5hpeZc2P19k0GFGSVmO4X5Y8Xk6yDldeL5yqvbkvT+BxKJoKFXw8bEryw3BnTtJWRly2LviAn
1bJvYsc99bIBg0sf7eTpCUXAsQuTbvZSEu/UzA1lHeDhH0q5LKfkpq/KT5U1lWezJuRqmhESoMNH
rGdYLRFtM+5MmSy35hguxzxITzk11OSWjxCg+mUjQLh0ev02NbViuDima9l0uxSSig62WCTtqnTd
eKM0b4mOYaSjNzZdwbA/jHkPQE4RZ9RLexfl/JfVj4Rpe8V9TsSF66F9slCtlOmrSMI7pwAz17ax
dfJtf89YloCrWddvu+GS1YhPJIpzCkzXXBapdUM2151V01Ij2f7iFPlxUuZNqaSOXl4yustdzLl9
ES+KYDzmIIhbfWAuXuTbNNJGIrW7admKnlFpfh87TbpyyDfciDFaOyX+OpvzVxvQRIa63MBS6S86
0t5ozhsow7W1bxMnu5eZPa7qpLueeqalthle5IgfFpWmQ4FU3adaxS9+PwDLCWuCYSx9g/vgAZvW
o+tzb9fiOc04tMf5aej9jaaQVfrTZZpE6yYyNp5/xYe1YILSnVIvuZqU8zlyvGyToyrY1CNWVctL
WmoBdWwdPnbCjk8FgXeSaS3tkHzQXKzXyLaipYhHf6nVs+okubDL7NL0cER5zlXfSKzv884gcK2N
ZlafkdavQtv4lLVcck7hHsreuaR6MWmIuqPm+Zugr4oVsd93DNdfHG081073Ri79XdO6exJDT3EP
tEUPXWfZpqD47YLfA+Xwl1QMfMUmegE5psxYc+eSF4+pdQgfq5oll9CzS8MXVxWK38pLXjTNX0oI
SwvuOQZFZnY175ZPuRke3azNH+Bo1otUwTvU9Dw9augByNtA3eKzIly6WfZMc5GsW5Vei8Z/JHNF
LemxaRY9a+fJ6ZTm7bkTQPo762lwsufWFIfJ5kEH4zouo1Xqe/uwbC/hM24t6CxmyQALad65w3qz
yC2Zb7joVpYxi5wFKys7PHhdax4jUefXDXqm5jD2AgvmlPcIw0y4Tl7VkuMjH7osBzpdZBh08Zo3
myrV2y2ObaZNeQFmbbSMq1FZB3Yb4iLki7Xkd26zRmetbfcw7JzWHR+mKg9uME6kxxie9LblLVgP
qZbuBCuBBfNF14Rs7Qf6onfacNdqJm2oEfLQilneRosBgP93TX9VyqIu+JvpTtH8v/9Po5K+Nf97
U88hVt9vasyYbK/Z9RqcVr9aEbgdCUknvHXGavwx4jGt31Cxzv5JDxvPx6b6+1VtfIAUmf7YRAZg
RvhXV/XPBd28CscANu/WZ6ybhK77y0UtXXY6uRdfdFwDpDH54daqHn54Y66+jrp/ZPegwfmlHJgf
hfE3lBf8qnRevD0/lgOVz+7bnuz4oi3iKF0VUqda9DA+LX3TSNax2RDzwwIRBhxlfjcX/OnkH3t2
vDd6GV6nEfZ5O4xOg66zoJ4bBiHJ9EhFpC91uonByPZdH56juezuxEmn62iUca7oQsbavIQBedBj
+ptsblRivfI27ty8gBVSbMe9L/CxBlSBtDhxC3IN0857NLc/DELohMAP0RX5/Pw4N0pqZBN8GLSJ
TJCBTLBWa7C0eQZOhG5iuJW0OUN9w7r3Tc/duqltfjYyXOMaOpNtpCehsw67qkzXhaqShwLo2UrJ
BBNZ4JV+vBdm3jKaN+WFoxrFPqljujI6oGgXrVma8n4yKge5rpFua21y7K0oBgRusEqYDRJ0amet
8hc6TJRLsHPamb+/XDURJvRZ9Vdo+Vay0lo5HYtfTAvpqnZltDNTKzl0eALkFY/XmJ9tFbjN0VBU
I0z7zJvCre3xKhT44apAeUevdtwDytDgiVbKeuhdIlBkqpght3ln7SVOEBo1wx6mnWRw6Cz1ofE+
FYU0Fw6UybXW6dbKKClE0i4ZllUQqH1v2P2F13XuuuU9P+X+1Dw3qBlG1aN8HqWx8KporyHRXLuC
DKwAHMgNMt9DrKt07RXCu8EnATYrDqOVVB7emhIO7ZhYQIjpn6rogWu8P/Gr64lyi6Z1TdYZageW
p2M6RgcHSsjaZS+7bdtULHPPty6asDeApFXN1jH73WDlCFJHo7kO2KQyCMvOUZ4SvNjkm4ygV6uw
ARh38cp30l0RgdcITP2q8YbbVrj9J2SK8h1tNAKMZOUMo/NeRN3KzqD++5W407VuEzgtfI4iWXta
tkkka1GyTBeNU35pmvYtj+o3Fav7KtaAy/UHb8w2HCBsfKatNcIVlv3K9LhzbOM0If2lkH3R7Q6d
hLZJB8GYDC9yp14xxXEdvfp6J1aDk5oMG6EIJHb/ZDvRSzo51tppkubQ9my9tWE6GZmxNwPj7JTd
auiSp5JfX9OaVF/SXfu9s4EOsev06Wn0m3WQgW+p9Gph+gEldpPrezyf8UooJhKue8VrvLFhLKzG
aAoQRPgN5aIenUPLSfDvGNdtCm55qNpjYIx8mFuxTauRcs9nhCczdfT4EumFS657DfxXnmRpnqyx
eNCmdpnY7i3F+nVelSeMTAQceaes669DDzmGAWQY+zNDXepClYhFDCJ52dXFR4rmRaIln4tEfC6T
7BA1ybFI5SHuxPU0iFVqIMxO07NtxcsqrdRxcl1GxswyZaheq8TddQQGezWr/3Cci4DhIItJ7asp
zw8tcUeZ8oFlcxuvVABOwx7NZFt55dZvUNtOSqs2f3/y/snyUUhQvB+2C1Z1/PvnkzdUghLDSaOL
okoMcqE8hQ5WJStwjCnhaeawcntKvIJQ3qyc3kRZNddVleh3khZnUYzjTVfHJ330V4nnPuhju61C
552cpoAIJUTfkGsADc345onPNKOnZeGTEjgwNydPFbuZK9tdXxD55E7dkrrn3mAhukZ8CmiETCRy
yZZDtWzGvSgTJCB+vsWlT0pVD6Wv2DYZvVOa3eJBOHR+cpya9FB1uCrL4iSZYW3/j73zWI7c2Lbo
r7wfgALeTAsob+jtBEGy2UAi4T3w9W+hZW53X0k3NNdEIQVFUyQq85i9126HicjnSez0MbYIZKFv
CpViE5vJNuL2Cxq1uTWnTvPL2D6oscf7GmIufgQNXXI9PiSiNxm/oLHRJ/3KFBAWK5vZ2ijkuS/n
S4wVXg7W1kIsHYi02oc5eJvOhXyRudEGX9LaispTGkGBd3L9SqTDMe0yRl2UnfyUkJqmBrp4fSWT
9BalKTqPvKf/yBXhGyUz6bq+FgYJCxnkecbUyYM5mdSEo3gDyHUUPQ/TyAPqojKSsvoiK3WrlWRE
mdpLkk1BZsBpobwdOIeMpvhSeM5JrVQKfE/5Emr2zDipWtkdrjaZZsAVy+Usa0/CsZ91NQVIOPUr
F30KBHDNT5pJYjqMroyZOSS+bBBJZeLu9CzpHgu4mEchqvqcMnD/H9LO/xqZasskg+GS7rJ2Nxfj
0PclQoJLGpNhJi5hJwIjOdR692uh+pdqTkYi380kvs2u2GaxgadWB3OxEK2//w6Gza7d9aLoktrk
HttXohOM4m7rIeFJSH1hVxsvWf+PN+Ayo/nb7/rT9r8rZVuahqKc1Sm/QyaAIpB/4VZ8ZgnFuBQn
jd+61hNAhX3f5RKuKwboNB8KX9UFk9t6fi4U5yRak8ChLN6k3qC9u7HpBJmaPNhkigWRnI5Oar7Y
oRwPWmrYHU9TXqy72cnXbqnAfygRpTv5NO270THeixzOJEpBYy2E+CBDBFSoCuqFE3gKWsZ+Ppu/
u85MZ9RU8gF5EJmOEc6mqf2C8mbHpXTf1PXGbgb4oFayM9RYQc1HhZIOeb6d5k71q8xGqDMsxA0G
L/QgLO8Zq1ZGRPfsYUNo+q9VM+irphTARSFpDub9OOOQUOXBagtUaYtlW4SkRyctIF0bfKuckyPy
uyCfQj0wiLPigpGcsupTT2gd/vzs7MbjNq+HdR/OPMHqWrZRhjWyDIokc1clpIqgTsNzCUCWacJO
K+zZZ8B9x+yHAq5U7ruWdDnDICJ7dtqtUkIH07rizY6qc61mN4S4otgYW0ZBBxgnCjMLY+eg4ApK
TXvIp3g3huMY9HV3KW3uyKSEBVCbn26ldn4I+ox2dxuV5skZfsMY/uUj/s3b9h+tyX8/40sh/p1A
emBZ0uvQA87JKb+OLsqmOlaPwGz3TCVOLleP/6EPK5Rg5/x1OP79s74sZP7kUWf3odloDSCw//jN
YYK7ucRNfy4Da5WfdL/cdIwpjsqTs4Ht+HCl+Kenfg26tH/jH+llOqmrg9iEFwOq4//4aX5sbH79
TRhQNi3XsBcMzU8TyEkdEBJqSXyBsQkhYiXUp/ofZpAt03Dr++/x05pnrrNOieM05nL9jBhiTjd/
/xv909fgICxmy2XgRfjpr5mN9sw0oOLyVq4rRh+1Rc356wn175ZxoUD+dft+fvvyWf/JjH35rD86
dwiWHMiwlnUL9Owijvh9y8iMHVEXvTsdG3ZtxuXfDdkdemkgJ1w1bEu+F2fYvwCwJf6AT2ApuCwg
/4GwzLSXx+s/b3aQKi5wA/ynAHFxd7C//PH9pqja1OitFl1BQ6KdzbJV26BBSqf6AoL6qZTKqhxb
L5jFdHDwcm/zLOLq7naqpn2aSl/5g2dxMg5IyZz0OKInW81egsuyR8ShKDfLeb1qC5xNbpY+gm0E
zyE8b22K8kPrSN1o3e7SdmS4af2LnWZftUTis+T+Iu/o1fbSQKF5eOQqV3c51VuUDaHvhBC0+bGL
TdfxZAuge5GmvzDUh8stEHAAGkYWoNjmZmzDr2CUPwlUsLGPq/baJRbYp8u6K2R8M0b526wOj8oC
hPHsqPcLi45OKtbBshVA1Dbz0NKDsdk4xbtrJR+xU18ySyUnc+AldoS2rJtSu1ZSJrgpCPJyPias
/rZwoqCqCP3aSpJrNTfGFWHIBO+4EOFTqoutbZY9lJLhI2wSqANaJ1YydlEKxNYUpGpy3/fTtehm
iLUqsrrGSJ0THtG7JgspvbWbJh/qTZKaWaB48zFOvUPcjseyiFXfGWLsxG2/j7SSeXfBhsJehtFF
ZykbRTTEtMEefGhkke+8wuqwFzoJ2vPWOKCvSzYA5r6gYpkOUR8D7s5VBMlZ4pJx6yprYnVPdqXt
K5PA3KkLw5tJgW0V4x7dTBG3qZdmOMAUYfs5dMObwla2xeIuFA5FbPU6EQyxbSJjEe3ENKeRI+gD
zA2oE9IyQsQzdh4S4VdhqXRyB4Jj9tF6ceZrDn0bwIVsneZcjmMWvqbOsLejujxjmZwCvugUQIrY
JCIfA3Xu1yLU2nWfw73T9eqWxi8OHL0fg2S0eCA7x7qojWnsap0w46ibP7paNVZl01GeK2a6SmTu
+R0hxzuR6H1AyNgZhbsXuKP9WbMrWLObv+RDm/tGy6NMTzcGUS/STRkxl9IU+45I2tfekUvKOfOd
xnXSXduMGDejAQh92OxDuj7HBD45ZOGil8kRrnc9j7HnXIcqW5fKTM0dvJwXL9Hf6Xa2jjK2a31s
zkpG4l+kMI03B6Jw4uodTidk7cGpYHE2nn2DWaE1D+yANYsC3aJjHespWxnDZzrFT2PEe16XbsHw
pGPd7YybyWiNa2fIXsgGaoLQFSifGlCOlTU9jvTbdEaooUehgNQAe1YUUOClLIDTdMN2SA22EAW6
01oABIoj+4iJvSKYCkbkZOX3cxFe1XZ56kavCboi/yra6k434n2uu8feRUjZJseZ2FydxjlW4rOa
YKAoCMtamYzb91lt3qqF3QcaX3dTjdrRNZj60AzusRHra2ZvL4MX7ZrBPKJj+sq0e0Ow03I0EZFI
LPOB8M03fSnyKq21VtXYDniKe/sg5nbjjtHIZjBx2vYpJ86q2IxxaZKYrdTFnQG++5FWdmAyoZdy
ZatNX+8M4VqvkSysQ9uUaXQNbDRy922lmK9hZOvhOYE6v81YuQQoN540JhNra9R5NMIoXYc8Lzuz
kD3QVxTqA8/d2iLBa8VT+NKZ3W5Gc7tiTLiL7Tlkk4RyfBAROeBFeOPO89WYd62PZW0mZzy7Tu2I
Mhst8zoryQSrZaojyk++RrVzU9s4dNiXbibSaHYY+1PfKZ1bZjzME/rHyipmFnIM9UISXryO9YI6
X3umOHZysvyyVN/Yc2HZhJaXDNmtNmip37Zhs6tSRfCshVeTVHV/agEYKFjeVjmiNrnPCxrFxsjf
nKJHw6J3te/YJIrL5F13B06D8X109E1eIT+ZXWsbmibvwxRli6PIe7LPcuaGmdy5uD7yeUu3tVV6
9yrSLLHpp+SrbcRY9loaagOfcCrWGgXbSnPBfaR9hUEjG2DQQsyLQ06/OsuiTW6ULu0TuNuE/O22
ICNnMrOt0auanw3Is3S7uhUJOR1p7ZxCcqSLRhUsbwnY9rC7VLF+MWONOLNI2Vh1jeneyR+lXVwX
WXVR7DD3C9V+Stz+IxnseDuM6XEox2JFT3YMMf9blYt0TFxNVpH5emsfyhDIaJeUG+Gp+7JxX5nm
i62hIq61lUJbddi4csgqPvhcCIJpQF7RHatQA6OE+UkMVr0ZZg5bw22PSYaGEb+Szf84blD+HszW
jfxOxFhfamcPi4LzGaOU7GdGueIOwtlb1Tl7HfGahJ/VF8qjNPhTq4DBatayHDf9JtOiz8TzdhY0
50Lho2Hpfm375EvZaMdMj7ffyqh/68ml1/q7ehLQxJ8sgvik38tJMHxYiVkF0Y0s0gw+9Ec5iZtR
BwZloxnTUEvwod81G+4v6NzwOEL59H7zQP5Hs7EwTkw2REw0TJYr/6ScxJr4czkJ4QoxMkDR5afg
C/5YTrrsmmxbUecrI4sfK4N6J2VUAXmbBFxtzjZuZW81HiJrUhhSeI+4xrFDdSjLMs++T1yAw0W7
z8jkxQFPiq3jZHi4BNPVh3SJoit09SZS8nrfchB6AKcT5V3HOIP0VjN6VrxhTyKOlaugsFMn2TUt
d17WJd2NiikqKDr7bpBLr95PVyDcEWzmRlDGMyv4sbifJuURy/uDQUm0UnXOZLWmvlAmaM/ugbVo
MMXNRz0bCNnyYRUl6m2Z6NccC4963+RBzC54FbbL1I+Umy7Mv041aKcY/HtoYurSa6Yllj5etSzy
q5RiweoNQgqK+Es1ZHPQqoywvdFdR2o7+FRy2kYCGkNToJjTfhgLxcc+dtQ658qAik72w3HuHJ+k
Mgf7W8yMXO+PdV8+xar3opgOFJXUIMOvWbcWWAIBRqlO5ocWtUjfaeVFCwfuiuKrrmqMGsSt1y0V
KWDwMsr2WjY9yob1fdF/VWtKUlWZHF83jA4HHN4oRZEtwZNyVzXI4ozY9pWp0INQZ0Jh0cYjjCkn
BLAV46gWzjooeL9doIVFwtIlQ8a8dqWckRXCYrZV5yOeokNu4HhsQ0CGzcjmxNU5sYxd19VXYYoP
wmC2BDesrkqUBXaXbVuiweXKSrO90dZ+01jndsRQYhSsvuO835hEGkrEPTIdlZXZUfjl41tkkxbM
10QVQoRgsTBRYiQFsaG8qTXqvLpvOVslw2U8q3hi3DNr137tqk23Ic3bhqBvgPXI67u4YbWjtxke
ND1iu+RAxJ/rbhf3I9mCdmpyDTmIKzJty6y23aQ8/5eORaSjmHulah5Z0O7UTn8c+lbzo7hRg7bR
NWYZenIqc/w8ESK6dWyxvw/7hOyYMTF9iDchgFVNvZSjod9AoaE+lf3WM8mTHqJDJpsQfKT+xljD
wu04iSvHIBDDQyIxudmma5uBJYpIfWvI36em2Oi9eC5IShIe3I0I0L2fIJG4Mk2QK0RRf3eoXf/3
KvenicS31HUSsJlF2EuTu1gZvp8vlcYIiVLxtKs0e5DmF9J+/ucg+E++hbcEveA34CRkefHjt5jK
aGxQs5pXsnnv5PVU3ufer2nY/95ROr+sv7mjPuuPzy//fUktn/XHJaX+ohLeaFnsipaYRj70xyWl
/QJrGkAiwxAN+C8T+t8vKSQOaAAZdnhgpaHPcn/9fkkx8zBRF6AFNBAY4dn/R5eUvjxgP808HAJF
0DUu+Y7mz2M9Q9EHwDpSXmmq2dYHrxUw4UWfmQp9jHQ4E22kbn5XJRXQQBl0CAOY0+3G/V4Nk22+
NLuMnJPWfYwn4DOl6O/Rd9dHdUyL+Dlc6l+7xUU9oWTwQdJSHJOvZWEA2ZW6xZqAErqQ09WopP3K
c/S30NEtHwPEsaTszm0CtxwK8ZGCHC7KvOnc8ZEhxRebkp2UH74AjMBdNFoc426xMxvvBs7E1x7g
8zpLMtRRSxdQDq0kti27BlGIck2dWGqO2pVL80AiHaPwpZ+Ils5irN1db+NfySSBrLb+glltXA0F
ua790pkURdWvOT2SHWkErMjZ9aPQCmk0qvi5k1Ub5FYptxEmQmTESISMRSzUfdMNDYuEiHMSNVH1
TVmEwwwJxCI3IhaXzKdFgtQsYiQoCNGtswiU7EWqVCyipWaRL4lFyBRpSJrIoAUXhsgJwixi9EX4
ZFfM12EiNZv4my6qXyRSOlqpcBFNka5MfR/XrKsWSRWXA+qqZBFakfxrHN2yNokX8CZiMxBlVuJg
Ooqt7T3ZKHKjDxIigiO1d60yzKAju8upkuQcg9THtcvoiqsmxpO9cGo2qpXdmHiTCflaAh+MWn4y
J3uqGnkqVAYomTNsU/ojnwRTNP3KuWE/D3hNBFaZ3o4xySl6/aIr8pQM6CwqPbs3opjUgtj9MGlD
9Mi55NlIxxe30MKtZBL6GraBgc/eipP5jM2LSGcgn7JM6AbMPtzLKd53WYjyI6QtH9ERrrM5+pjH
QaB3K8j08JYAiUX8Z3l57IOW+LBUmneUhxI6eNsERjyuO61d8nUfAHaNwdTmVkABkICXw2cOLeLS
2kMWAKWjxYzIQ1TdiBEB/ydG/lWseWuH6Ahfqstc0YLB7M4kCU+x6AN1VC+ORTCqJPcCdRlSAVVt
jzbpWT5Xu74WaaNgg9Jf7VFjcDgVd2DYBJEa2BbDvHFWFTYpomCQvwPaY0bnfGZh9IXIkZTQD3rU
ZGJHqyTXnUXBNvX6WlOpmLpmytaFtsSRFoO3cXn0Vc2EwKTWLQAMi/gE2thiZjqQOIU85E1b3P/b
4/yqTOdM/+v74/LZv335k5m5zmd9f3+o3AVc3vo3UduP9wdiMzKhTBa8mBT/c394v2DXIcOAvRGT
7G9y8t/vD2bwKjFRy0R9UchZ/+T6wOD98/XhkLVGWhWpBEhC+Sl+LC7YLZckfIjpSuTXxuS0vh5O
w4oh+cM4sxhTJ3blnp6foMXewol7J2pS8R1l1igzcbcxgUGc2nqHRnpXrAYKHlT7Hb/fOe28x3mu
Howh/9qB264Ue4H4Oi94NMqV29ikygzE8OrZqRiMwe/DHpvNbFwGtUIAxZ5wRRjmo82ZvjEK8Ala
WCGeCtFg6NazTJ3HaJrfMR7mfii93VB1D1K017VnXoRL0q/qwV6SI/KqkSi1vj0UAxThSWmOmpsQ
ckk9nY0Fr5m8JQRY2Kz3nRtvPII98fnkmzxWnrpS+B6jNXSHlxRxw2wiokJZDQArb7DTDAT7iQqL
NhQJvNsrfFjIDcRVIzUbb2I13c3gHEVPHo5WNv5cjSx6EwOYGONyVK5KgqLJeslmlCg27mwOGjU9
OIXwgmrQmkAZw8XxmATu0AcpdQj2GnMZVs4rQ+vu7Kks1nNtPS6DSelHojbvPKeLWga+VkErMdpN
Mz9ow0C+DCL0CqVR1aq4VJO2ry/jRNwJUuAoJVihwFtY9djUbRgazbRV03E3Dz05VA0rZwAh21E1
sQAtuJ3Q0h5Mp+z9zDE/SyA8qdp4q55QUxLMY9wCPDhx2D20ef4q0s86tA7MfQvO4WZPACT6Q+bz
dpLvaICVdSxLGM1Of/ZUZkhyMo5cpU+TCfC+BLaZWdNbpVnVA2FOt1Fm3mrIxYdy2Hf6uB2TBPeQ
FRorRYS7nHRmP6qM49ShYvKU0tlPygRnN3Mflb52uV6VzeDpW1X07mrR/7nhsJ89S67UooT3EeXY
ERTkUVW5FcRYrMAPQLwIN0ZnbRZkMHKU7nFO06fU0r8WBr+zMKmesbcjzJMPkxO/RFl9PWJK8sfW
3cl8fm7qPOPLxzvMZo7PgmOdj+0h69Al6sn83EO4J7TqrZ3Ems3W0UtEoInyxRZDG4QGC3Gp5qCY
6/S+M+uHuGH2XXZmw48mj5LZeTlD72udl4oKARmbfa6pq+YY073BjHZSxi1h937Wda+WG90yXtg4
ZGYahD6NJYEflT3rJ+Z7TMXtHJx8f9GNaCPzL5JyoOtR8zRDuC3EsGxCTAIvLNY4NGKuiszJQ/XG
926eASaMPrXWWwbNH/ycbH1WESgvIqgr/XRvzzBRxiIFYFQ79/hdjuz+X2Y3PqfeeGPoAFpUySi4
wkeXqbvMI2PMdir0HxkPYHifJoRyE/EN2MkseUNp9zzGz06L0Iy4NZJ+7ZvGM7548wQHWhmui5Bq
J2s02KGRjjgxzC0cb7G3chlWMO8YU/AQ3q3ExbDCLYiIqUcXAYAH54ntvY9h+ybT6jrUSD0OHSsM
moFc1WyqvHWdWMfSbczr2XC3DAliqi+MeXdlrn2EE5PbSM4PGO1Oxhy9a7l26NJu2pHPoqxbqV9i
alv0HXGzwbSWs5tqP4vSmdcdCn+8FKAyCfL1ViU7ohU0d+57CxJoaNanWSMfTNcOooO2GLe3NfHF
xBsbe3s2L0SxHouMVylkFZRtTPLSrJiI6qIgibPOh+0R/Hvl/3rlMwb86yv/jGDs4086Rj7p9xv/
G8KAkBA6Q7j9GM9+uPEZdyJ715EvsKdG+/RbxwgMmiYflRehn2RHLia13y58PsJqHCGcQfAM2sV/
NtVcCC8/9otLHCQOTw30Iav6b8r07wQxVVExRI+T+LrqEguI8TdQgOVcaTjQqXCjbxQB+StSAIym
6rH2XVgDEwIfgqq/MQiGbzyCwW12uO6N8A1paKKuB+AjypEX3YQHLU4mbR0hvImuTZmLjCWMGXNl
aBzbaGBma06JxW68cPG95w5o4X6yWcnRyHjuhKWzc2ZUaKKKdw7bKk7AxILPOyK53lVRTYhxDlyW
E31I6yvSyNArdsY0OOvIZam2kq7NyrTtlE+LMdD230f/26O/kHr++tG/e8v/LxCf0Z8kTSyf+Mfj
b/8CRAiBNUOTb1jz/zz+xHBRaS5yRuByi8Hjj8ffMH5BvgHEzEHd8+tU5Pfn39B/sQy0I5jHkUMu
URP/pOJlVPHTG4C4H4PVAqWwaQI6UpePf/cGEEkSN3HaGmf0l+CvLDr+iOfOtiTUfmyD1KX97NBk
m2qps2zLEfB3RRhEcR6djC5x3mS8rMgrzJDVa+KkmnZNsQaIPPkGlWkWvgyAvfkQGQt0plr4M8Y3
FI3WqLVCYCaEmiw0woOcbJXtN/MU7U443K/HOZrThnzRyB7OtVGibyqzdNvjdPzklhFBkYsu9TvT
7TAgLglTHokX/W1bTe3eTHX6SzbOcl6Hi5d+NjFK0OXH6lFfvPZ1VYG9y8mmX8ejV/l1VbfrTp3E
0WonbIfhXMKN9ULvrWtyLkuzCqnQMdvOPmbm7jrWrTcWIK+OjD4Sm0qG8yzzS9v6LFviTTEbtPA+
KvML0mAoP4T1VBGRebNqbVqpdK8DxTzgHlWIBfmrgepBadqS9/ekQQMPPDmEH6Ow+x1LVuIqAGGf
cM1mO6nVzsWpupHgsLLamhb+/bonzSuTOfsRt0SlWCPe93p21HFTBjYGbISYYeC22dHtPJiEYe2c
J8ua99LE5YLBJcU8GG8dAS++jiCwG6DyMN3jNndwKAAQ+sScqWzdft6BcboymMBup3AgnrRZkqJD
qOawL57NmLOR1FbEzvhOsFuw8EYT0wICBLY8UgfF8QjKfHFKWo5FdVLqV2ok5R0LbOOWwX/+mahm
fcgqkT8l5H/gdK++5ODpf9X//TvjpQX+m1PrXOTtJwaQP7mzvzu0kK+x/yMH0OOY4YriUPhuyour
DDKabdu/sYV+n/Lav3gaS2ZnOVK+u7ENi2wc1+MkW4zjROP8ox4dBeVPJxb1AOsFjypggb9SCvx4
YmUlMTATp9UlM+Z+U5LHHBSq8+IwmSqc7om1+4Ocbwjy3bL4XuuVe9O10UOYztKfFr9wacqgyqcz
xtRI+TAG+ZAR0RpoBjSEqc7f7RbOIruWPZGrOzUiTKfsio2l1YA/e6ZvbNRelbwv37U2F8iL02Gd
mCJE25Ug4YBcGUb1gVOF0FYjfsosuqHJe5mVFk2UW/uDqN6mRN54sfFW29rz2E+6b7fjmZ174U/k
SQVllRy7ju2plRX906S6rwJVwTEHMLrWBgigapk8QAl/VSdn3ptZtA+h7Gxsl7DYSn/tm+zikXMw
2c6dV28lhKLKQy5tJcNDF4sXVyi7QS2emlqJDo7OUdOYfpb3xObg00gnWmFxWRzR1VQvir74S4Hn
NWppvCp7uHiL+bcQ+t4k4pQuK54KJhF3i/rZ2ZStfKl0EGn8iFva7WVevTTrwBtbCw6OTHT3ITTD
VWE1DYNpMhjDwdgmoXKys2LYFS2BBaHo1kMB3aOxT4hb5o2JUm8J8dpVhJPUCry7Vm+YP9bqtrZn
bq2+u55cjzA21V6pYZ9v49z4bIUwD2nO90sRZVkRR6JTv6vzJLB92KeYVISiSd5GO6QT6hDgteIK
wPklK83ATkAJoU46DVGMU4XkVIv2tjVHjHUqTSdUFUwYczH69tDDd5R4MlIH6B4gUDIfHVr1SXgW
1Ca0Nq3zZpXKHtlcu+ka3Q9Zt4Jjm24Gx258R8OUUhkAUpPKJ5L3NteyJIj5yyml8WAhW6mIP1iD
9XJPlaLtU7c4lwlZB9n4GDfNO0J1Vn7DFAazbaMDTDrGtzUqFpm0+35qyQjARdgJytmZORqBlNlN
iDKO/IVxB0Or2NQRGjX85APc+72hC0JRHPcrf49jUZZXZh0DF1C3lpaqfhYTi9zjs5tS4y6Z81cs
lsdWG87FrANGavMDmrKTCrtYz7iDUrXcu737npBw5MURukg9Ra7Y3A+NuCs75UEU9l7Ni0OHAB4c
4V6CTcW8/Zo36YMtK36p83AyjfpodMW561lLl3K8AXyzHUNxMjsb7dCwK71ir9XmBngs5XB8gPAC
9IvZSYndZmjUazU2ieGb6yCM2ufBgRPcmPNG1LDxOhCB0+wcak+/tUR5lKLfmZIoZHxF3T7pcf2o
9Tkqnau87D8aAYjWjfS7pmieorw6Msc4d7EZxNF0m6spDjTe9DKNNwAEniLpbK2o2GW2cPeo5LZ2
PyyI0fZs5B5FgWOwVoj2pq3fZEoP00Ct/Lir97Bxn9WRaYerpmng6d0tOYKnDjDZCksZabtz9kxr
sHM6QrenNtDHWfE7Nz8bqf06u952UFgueMMmFf1LztIa0s7XuYnIUWWxMON9F0Q6IqualTy7JU9l
8glTSvWNW1icfaNhHJBiYn6006MXdSfAAvux7bjtNY95VHxl9ukxjBiNJkV0HkKKH+Hl7z3Fy0qp
0wvZINuq8C41RjDM8yPgHFVbC0t7FFp3GnGDGlJBopDczcufkAL5vQQrWDQRQrLhqEXK06j2V4am
XVRJ0WkvyRDT8KYrFF+ijEAfVwAhW/4WtWZt8i4S28rNXkvDOE9e1lJG1TtZJFtJLnzQ2NqjQwpV
1cAmilnWNcpND3nD1817EkrwuMzvSerczewGTrlVlXs1Cm/LLD8ri9gkrNK1OVuvWmlviRlbmQYM
h6TF/zjUo76TJNvoevQpJ3TNTl6ox8mZTlBW9I2mldZGFcbWqSxwuGlcwh9xAYhE6q7JuudmEHdV
Pp+mLroP62aXK3OEmct9zAex5TXfg41+aqu434/mtZQySNSeMZkNnywbt5ZZXA1tdC/UuQkYVO4U
7Djt7O7rxgZbqe3qyONXo10pAEZXMbHgJMreySWyXWUfFriEIK56DRayYZ+blPt+zUZGJ8l6qMSj
lYmWw992jnoeLma2tN/ElQ3dbXZWwu15d86nSsAbtWteEvuiXT1OWyfKvWsstC6Dmz5fz4rAOUep
vmI8M64YYL33qCNNO0823DDWKoY6E5T6stGJ2Du2uzBGdDjSkKyK3usPCdmdIDSmr3nd7C3exStJ
Ir1vJAyuWCW5a4vxY19EOvBuuwaAxBRJixtHWWWJjQ8ni04shMurvNLa50RzgIpYc62wdh2sm2aA
gp26M6uuITWRsbMn1titzmkAdOo0GPUBe9217sqNOSZrEqwfQbjfRhUpO5WOJISsej2FQszI8jkc
rMR3omFdawRx9HLcdiawCaNt33sm7Jp0X8zQOPfDxCUjAvymmzZkQmU09yUmO6je8Rsn66Nq1Ltw
iK9Ua/wME+OIBJQNWAx0T7BPaBTjuZytoyOyM655w7edDG26BMecHfCH4d2dSPGw6/AqUa0glcVt
2wCFYuG6J/7lZI1ip9U4e2W5zzysPoUqA1LZ0SMmxo03ZHctgq2+mHAO5vl9jl3LzxR5VMWwV1Xl
7JmaTym01cdq34beVpHk/DnVEX35k20ax5QRH1Gr6BBdrMnlR5gAdpTRzRhSKUxWuZ7DeE24tc/o
/TOLvZOSEz/HQzdiPe+89AODBF5m4u4KVdzWerIGle8TBw3XNkMsO6p3jVRglOSK4uOzR9kcMfQf
NmEPPGcRF3Ue4KxE22Wd/ty7YH8SbdxYgNgNltOUFtUKO3bF6S6fU6Nj92wBiGa57kkGMV2U4oBM
HuEHbg13vlZ7TPuy1e6ngc13Uj4Vmq0GRobvUenFl7AuekKgho5NLqsaS72EkQE9vbXXIinXZuhs
E0/sIW55mygCWCDnz3KyLm2p8YqHtD3ZOg9LVAwW5gGHPQFo+HU42e5VoRWH3CRJPWV2E7fqTWoq
p7RFe6RExqZplJrFQwy9p1GzXTzZL9aQTOw7KlRB6XgaR7eDE1c8jdZ8Uyr2i66TolcKxvN40oAv
dhvZ9KmfN7xqFkQ7bzl6qgUzXnjxLqrTBKWXPJfskGWkzFeKXh9LLaoC3W7GoKozwLAj1MepgnfC
f01yCrS+uovEWG5BM+4HBwD/1HaYzJdb2zKfR403WsIGOahHGs5qMi+aFBcYNL6ZmDGRY3Nzgja/
CJOMJx299WGowxuvSV+IVjV3y9sdhz1L4ZzbXNa98eLG0HlK80YbRnHyjJx4xnIfleq9jpR6Lix1
CQ7fRmoRqJk8VZG67RwTTreVfUVdQdNr6OvIcO9lWxwEAnXZ29SZcLoxzjxDebz1RsjteelcEi2C
eZ9sUsecCE9IHqvUezFH4xZ8R3G0jCT/f/bOozluK9rWf+XVnUOFHAZvgtCJHZjTBEWKFHLO+PXv
g2TZJC1T5fumntpFoRsNnHP23mt9C0G2jtyqVR/I9dmCohPIaYzydc7Y4EyopFUhRfCRcrXfxCmM
miYv2R0DNROVq1GKZcqIuhZUD0aCKsdOouiCJ0tg8GLnTcX3e5EWqQCM7XQceOzxFpjYDwWUHIni
KMt5dIoJrMzzQzOP5K5ffX6R90Ic/HXfLwLYAS2YIlFKvq/SEh+sBolE0UmctkJ+EAGbCup1O1x/
fpn37as/LmPQWlZJkF5MTu8v44uiRRUgcnCXvw3FjaDs/vW/T3canRlyM27Xx3vVWJNeMG5NT/nA
g7Yxfebff/YMf/Fb/OLzY96TuUPcKLyIH2yIgQHCQtGq7GRSd2jn2h9Stn90fP7Nc7n8DG/uz4ff
GlqCFAospSd08ALzREhRhqtiGX9NY/fzr/KLS8FxYRJtqhpYOevDT8FEGKrKXCQnMd4gwGxFu8S6
pTpsw3hZPr/W8rH/knl9/9nf/Sz0Lt52LUUpynpDT9NTqTj4TSAK8Gqxpk796vML/epLvf39P3yp
3IitojN/XEhh2k1vLVyxjyxbcfmbZ2350B+/FIMILADsjooso5J7+6UULZcLNt781CgrP33qR0/z
v37+dX71uL25xMfHbWZeWsA9yE+5+RT7D6rwv3icF204rU506qgE33+FuEq1ViVQ+xSzAir4u6b/
xeKFzEPUF70gCpJFm/j2JuVCzvlel4rTbDwNxrHDRCS2v1m7fvWj8xAzfFIXd+di0Xx7DfxoZT6Z
c3aqOfhNDiYsSbvoa7soXfThn/8iv7gWsfd4RCWD3Bb6T++vRV44AG8UFmDcOZN4OPpDEByVXXDG
uvx+qf9anioPwZ+LrvvUPv2fV2Je2un4lL3+3/9hUMN/cWh5/73pufzlz0mNLH0hGEqCjLnsjt+N
uX82PbFmQKrjp/hT9fqz6Wl8kU2EQkwrf4wq+X1/SpP0L9jKNahZy1iFzfZfTWpk7f3ysNh5eeoX
jwXPpLF8lPdPigW3BMotgcj5GBUraSl3ajmV3XTM76JaMT15KYoaGXtCmhhwc7V2W2kS0lExs4ss
G3YcOCFwh+hVW7HbBEXgadwPV6kLqq28i1ccf73YiJ8Hn6R7TnNURHlGD2Yp5YylqBPKyToPq+xG
W4q+alAm5AMUsAkCwoBcJTG6o2a5zrIoPxkSIY/FKAHGjDiki6NEnGQa3vlqkMCOtC7MBJHQ2Mmv
pOVCNYLZe51X1oaIrrO4HKeVOOae0IyXlTScxqJMt6lQHXviXAO1Wmtig4pHG/eZsWj1qa/rqTg0
GnPSoFXWCecC1A7N1ymSZqiPQe8ZyCEcJfLXSJGuVIvAvlGlsuI4CKoi2vap8SgtbguCQ4/9ctA1
ZxqrnImdbuSIXUSSOyZdiHcscS1tvvQDadpogsSt6aL+LI1wmmRacLTKaEfUa0VZlnpzK7zEcWrZ
UVUZHPSj9TADYKx8o6aCIC6U7TlawjVXXWqeKwECVwW7AP4WZCytchkjXymaF9ksvhn8cx1zZ/4p
uouh1DyFXa46jW8AYTFaNy6QWyhLeg/LJqmePX2tVKW3ODUbqImXzFCK8yqTDtUYj55YSSUdmaJx
GVzK61mWr9WZ3mvSY4EVtBtWQGtX9fEmQVcCCsvHTcvA2vSTFXXnGRj488Ev3BYSIjXiqhitDvNa
dGepjbrOR/DRPjQS10oJ/IsYNlXTvVxkKzUnw3CYKD6V/rJvBIKL5uGVK4/eqKSvvVFJJ5CjKNCk
6TwekaL5SXiwOsHfk1f0TBMeCFAtyVu8kvpjKGSGVxmdpXlTDm9dnFdaovk4YfryGPQCtMqgaC5G
KO1LlMYiBVNKojAAGL+YpTnA51CofoxVXY6bVvFXkwbxSPHrB0ulUadOOa3AkktA6C+7ZFMPGE47
jVtsBj7nqXC+UUpsfKo8DdB6jCs8IHRDp9c0rBJXSrTL1IdOpuNWBih2XIJaJPLWvURHmow+6yWe
S2vbFsbLuPifqTg5y/QcaAqpuWhJH+ZFPPggTF2jHsodhDWHAAEBZazqIWFd9DxmZ0vjxF+M8Fzz
IZhWseR/S0v/PKUT4KpZK576sCscvSNezJ/Ts0rORW8W9WqDK9oVaM8bfr4bYrlxI19+iMu5s9Ee
tPuQjN+DMtTaqyj6yXUh4kFJe3MSbCkNh+LHRvjf7rR4FP55dzo+lZyxfuxX25f/+z8/khGXv/lz
X5K/LIA8Fn1Dxs23nHje7Es6zWEO3eR3/rAM/tyXzC8IbhjsM8NjSPbdqPFzX4KArxHVAYjlD1HC
v1EQKOJyBP7r2Mq+tEz8OCPj7LDg4H3cl+qqyZhBy/OpLBt0qRTAdm0hfCy16UaKq7W/iNwHqXL9
snsWO/8x0keMgaMK/91P3SoRbqy+csk9P2gzugGtxbnup60tBtFJx3A/+ea5mAZAz5HLeNUgrpPR
OgyKti+yYm0G1qaLZdpdgJdN4kScOoBzjm79SteKboVv71XQcxIyrJLVTQ0Ohg6/RyB7wjYrFg4Z
SSuQ3nWmRFtRGwynlM1bgv/OaUudNBwkeLbz3torfYoXeFr7I/bcSbMu0ji4CmheENFkupMGcDpI
CxFpkPo6FEEM2r4rOZtwnUnr17NQB44CDAMTwoaWmrgih4SBRIr+oKVDhNY4KHcdw3BPLgl46mTD
cpOwcqJUQ9eQPgeAr9qJj172zbqr6ihxCjBmI2vnyhAhGQ4sUHlOAFxrOaxYbq2m0hY+45kiptFO
Anvhs6hDCiORyU+YdyUw7axBv6qkSMc9VrcOc02+hVWrJzPVt/nQiaQCWch0Gy3dMjw66ljnlDxv
nab1H5vAvI4FU9tGgrJRJ/+VGpq8c3VEy6BnbsPA0ZYLOAeCqm6K0G9YuDLxmkldQ76etqXDOLpq
UCJiTTcjMBMn1BK8cnNTOUXU+Ftma6KNFjK2S0IEIppV3hxGE8F/BKJoQfK1lmgf9pWEpUCY5Uur
kkzOPQmuOmzWAFBCV8Avs+qHJUIzXdI0iQPPt/qSsIk0anAGwSTSm/jN0SCHs0eabtM5iddtoaXV
pm6Cwr8yIWPsiJh6CYSCUD701bu5DKEop/W2roJrhok1RYi8UYWydahOvCbsNK8npt3s8+IsN+tD
02TfipGzizoPeIn6+7JheKHP0W0nV/BQiDFF813e940pkr8177uco00mqk5txrATTOAlBSGJg3bI
Z5NXQrglO150VOiZsUxfTQ/UE/kD6w4VjBZhAWpU6HmYXdaxIe/JNyhs0Wof59I/9WJyY43MaDPI
2oFcaWumhJkTS1WEnrNoVlGYA5dLDmEgOGMahB4ipUOeWpt20ZoMhvAS+dENvAVEP0IQ4rYXX5So
vO0T0xUC4lNqU5ae+lrzBEl46AmvtofWPCgjCHHOrckFOemPRKycNZLxYszNGY3h4yypZ0E0oyMp
EOMWhXzICUpIRaYvpaGfKWPt1DX9XUEOL/tA7AihmIgovE4ET53MszIi97EHG+WHUe3kYLqiHvp5
m6QXJlumIxf1Qym0INM732HQch5qPpui0rrKAHMlij1B0Ddzw76GR7VyxLqxnBqiaxpaB6Ibt0af
nBDuoTbiVyf5+aw3SK1MsvnR0vt21Wa1oyMg1DCepAJBHG1f7bth3nIcfJa1EpKfJGEXHVCzRvFV
m2rPVh1Wbjdytsgr9PsCqBEp83mJixCPUdhiwWItJIw0HddNDsbkR1z2fzvuInL75x13Ee7Zr3X+
VL9E+a/Ue/z1z71XUr8Q8U1HyyIV5rvY7s+9F/WeKbL1quy8cHNFCvefe6/G/6G7gR8fn6puvLU7
Kl+AKEMxJCMD5QpqmH+z99JS+bD30lxlwyXMC+cLQh3xY6cChm9pSaDmhcSUOToSQ2WCvt/q/VQ9
9rUCEKat2pqRI/nhhoMYW0OkP1RNfIMGBb/FrPfiMa9l1QWGGgBQBSLRXzCDLKanDgPHAogdq7mT
sfX1LDR2RXgO0A1oiVgfCKyrZuZCVh0065aQzPDKbOGu1BrvkJ0LqIhsNHzxdUY5cqMi9papTcXp
KpRMzGQy4sNVCed4Lkic2WAbK3GRdcZtLvUCA3h8Gbcl6nfeBq2cJ0fNZ9gkQlPldMdLyqWkLx+U
rIofBK3UNvSkWrKt+tQ/GaIUmHZqxtGBzcTsnMyfMyKHI913rELe5oGYOZkSdzSmjexo6Hl/mRGd
AxYjkVUm9Hm/oebQyJKozEcZb96M9cUqZhtsnz7ahhlpBitmalwKEgxXglCzaANVZP6ayYKCGkCd
mtyZRNYDEhAsLS6XwXGHvsLslXat1fwgnLdHoX9gVi1JXoLjx1NjqQtzL7ZCf9Y9FBXzYtIZFHLN
NlZA88KbyjpYG2I7XzR1Hz8qVt5cWEZjAIvSJXJsSMi5RrV5tBRyGInR4G6e50LQE1LWLIaSwC+6
ahvKUuefTGKfHxKifq4p3lJyUvUFJD3kYpRuxO+MacFceNMVZrqRpORIHV71wQxeLaRja/QHPvqC
EJ51tKCtGwEIUibQXk7MqLkPFamsT5VAEgR2h/9qhR/nfoVG9+cr166A2fIrlMjypz+XLfR7aHkx
AlMbqO/zr753uXRIIRQGfwTD/Fy2QImge5YNlhERFvtbMh15Wpj5f/xj+pIZ8y/AdD96mu8qBgLR
mXegH1QpJ/B/v+9k0dzKxlGd6tMkkF9U2nInVWyCuRlzMgvzU6TqB/xG4VHXCOOFYH5R4U9hJREv
FV+9TOrutSDyyh7HEIFOfxYa0grYxj7BSyz0jPRzwtFzyZ1lHHy9OmLTU/Yi1ANb6bIjJvaVHxj7
JhRWxSRcgPW8Mab8TkOeavoVQlcTVQmrx5Rvk65wQ1T7th4qW80Mb1GhOIIqXkBZOnYIyVDqHEej
b+HLjXsEeLzZEhK/4EajeSbwjby0Hp6tqD34FiHFtfKoBCiY23aX+zq1CTGianX0w/BoFSNh7Sqk
iPLYMTpVCgR1o3wHMWYTIoSxpskWkuIUSzG8R8mDwOpWzeyGYv9gRc15GHaHYJicniA9lYk0UqBj
DcyaCM8GbRPm8aFDXNTtZst8IunOhqFwF8f9VmgslwzCyzCY10Icu3Cebb2siVYkEsYfo1MABRXr
vCvF+o3WZJt5ai4zs33O5fEomPkx9Kt9r2cbjQBngro3XcXxPii/0cM6snEx8rcAg6uXRmhgdRTK
TWvkOdSv4ZB0NDOkCQipnzwphXpplTqpoz6nLjgondDuAzlz56Df1oCXUXVcxhYkaNG/VRfLsqV4
OmEudoU6ArStis1OrMj5qA6RmQ4osCqkYlDs3CLSnwxgSuuyGgk11Bj7j+WdLCOVzobxmXwXa4kA
RH7l/cii9Buzjjcxvmm6Mxw7T+o8402OEa4o677OOWsSXuL2I6IUxmvroiJtgNXyMinacpfrRAI1
FbILKZWUAyP43u0nvOQQ5DmT56hVfGWOL2VJXiey2FDyBps4x+JIkWp6fCXQKaT9OFLeGTYtQBLZ
TDF2OmNQN6gbNSRN01WkTpWLMYr8MEVPVnPXlk5RVsS8Bc0NxRzOa70jdyAFI2JC+J/JrNTAUVnC
EgDrfwW0DwJfPc2ytlLr5IibfUC73TskxL1yED+YcXsnDPzdoe5aGCmT2jkVbTD6i4EXZcUFDb3b
oaM9SEXaIkdAUoXVDplSqT7TDsaxXueEjjRV5zaqdSQ6Ec3MGL9YAqKDXu0yp+85Aiey+RqU1mM+
yTewRV75/CQZFGKDCx18vFKihA0zAL1aDoGXup22dCkRn1ajHIvobmU7ztW36jh96wyRDHFzpxZh
tBoFtF1BeBvNqDuytDoiWK9WgM1DVhxBPxSpz0yXVIKAMsmTw15xOxWgzCDl91DbuMtV9iIUJpXT
OCzaoiBfxcm49YV0HUO7dKy5f5iXPGB0GSfCmZ9hwzyPKpOiesx4bg19o+i9xl+mVJt4HeQKiV2Z
oqxV5LVfyPctCirIlQb1OlV00DV2p0f3U4Ap1hLUr5FfZa5ukRTctc9CVy9BBLDHfREBs3+nALJz
JmrpWQanrKLhUTpBduBegPGpy+twUDJXjKfJQ+LK4NL375WUwskvfYPnS1nResHObA28olEyUWDy
WpLejqpDUb5lIo7S3g8W92yNkS4CpZNVW8RyOp+t3+H6O40ZPAFgzvA/FUKORfx8/W0uirt2gO8O
CIa+tzAR/QnuLQnFqyFoz7Q8vJYmgwCaGPEmnVrbVAfF1UdhH1G8AjdLbuqQznyUlYabGmXaXYVh
kq/qoQlCRygI6urx7TpC3IdbtSWzOoXRnoumsEbbCw0iB4meNxmMv07GiT1hGsEbZUhjehEVEOC/
b8H/VVEK8+fPzyKHJ+yYf29eLn/450mE5iUUMsSDBoSy73Gbb5qXmozvTsPLx7D1bQFlfKFIghdD
fSQy9wKE++dQzSCx3WAArOFPQGv174Zq78fhS+vSJNXGJAzUwGyFcP/9QaTphg4K+TScxOK8DlRS
ig33zU35hb5jmdn/ddRh/idSAHLQgQZM91ZTl/HvG3sV+cWJ0hldd2rUeBcZt4IIm+yiUTeSfz70
R2zzn18Pc8Zvrrh8ojdXXASmEWVSh7oHqIn5fegBB4oBSLHMQoa6MHd9S8NFXyYljb7S46miozb6
mtdmreHFy2SFAY68BcG45Jogh5caRoSKGe61Ir0F3ZU4ZS2+9ELyjQDoe+TI5wXAQtugIYk7vp4c
WIaarcih6dUpBF+CzQJGKfq6mQhx1zRDIUczKtb+NOZONEYoZ+uOSLFZRNYmR7iBiKvrokuT052l
KUStRYSyVD6/EtnHmW9SiOIIVyc6sfpw4dNFtX2akGTlnPehYlO3b3Nxoe7GwRlwOdyQwk0tEH3c
54/9rJyPRrjpaT15UtusYeev1dLchUT62KFeDKgp64bG9XQoMF5eGS0VLkUtJd1VQb7FRq+gaKGh
3VQYE9qLuUSO7HRZPRanNFD3rSgtPJeZkrRpZ6SeSvXMEGevY2NDV70vjWg7JljaLB+pdHKcZv1O
SmmzLuUS0kllVcvRV+y0L0SUad6gqYexVHe+rLh9Uu5b0G7YQ7aTEp2Lc+XkfkUlOe2Hadx3Zs1Q
bibTJtCGs6YX7yp65qpKsHuWzzdaSusdWGpyjLr8PE9a+oU4s+ZkJ0JHgm5Pzk3S1lgORpMWYp+I
tooqoYmNG9TWNbgVMVjJWQkdohvadeoTc2NCdtiTTAcTwJTP0oztfTipoXnZdMyjJcyFqK7rlYRA
1U+j8y4XroY+X4VgwuxiSRCMLOSp7YsRYhiQ9PhCRkRrdVlHSIqE+F13UX9ekPRGjckEUh/U9VD3
KxGnWaujM5ZEWLXFFVmG55lfAa0e0Xm3adJfjlN4qfvStoZMwbjvHuutMxpajeBWUJw4qr/lCjFs
yFjBcmAVhKaBDAypbv8qwuLLkaZXqoQQ0rCwM2D9URQCAYUBl31wDuPmoBJtUGkZMAjNg0/NoNg/
a5piUyOxbOZ2UZofmZq48iBsWSguJjPgnBRx4lNUn0g75VYFMirzhjjVQh3MtXTaJAO99jrNUWsi
2FcmYZc08zXlfMg8t+UUVVzF0Kk5uvNY+1gYO1N+srr4CdPGoQA9aKNITZyBiEYAv0OG2683N9+X
mf82vaUW/XTTQ0piP9XPT7+Cwy9//HPjw/bOlqLihcPF/qM9+OfGJ35hHiciMtFk7OeLJ/1nCa59
kUjhwWCnL/O572FwP6d2yhcmfbpoLk5dWn148v5FDf5+k2A7shj9ydTzuO+ZxSgfVEdKKAlDO2Xq
Mcwe5+Y4jg9vbssvtj3kLe+2oeUKCPQgzwOyZ9/TjA9ba+c3KvL2sTui8veotL5NpXpM/fhSq9tv
TPDdGju7m6kK8FAh3zLs2tRV7HUGmlRd0Is1GJx1btQboRGv4y5cqU35IuA2sglr4kQ6MoFKBnsO
05PUS1rCeK6tlFOQNRimRjC2ATfR0dCqTABzppl0U1HbjtDKqIIYawMx1RnVRagh1Sh9ISzNh7eD
hFBtZOp/MRDuY95LbLjq1y4kQ6uVjIBDdlidSRZDgkAyT0ZpCF5q1vf0PxWP7i3ViaoO6BYGRBhy
0a6kmnoCU+EZCM5H2hN7El6IfMxYrIO+2qR5sWGYNru1X137WrpW5oh8kkBhMcofBZHoZ0kdv2WJ
cGpHq7AbzAAr7M4ucvsrI87IuSy3SmU9JqKwyctu15Yi7t5uuhgTYqnmMcejVrtSm+wqw3jypX4A
UBKTIye4XRI9tcRXA9ZSbRSdmzSIT8LMn+cDiBD5oUkCwiuNDVOIvZqjK6/l/pDCXNMhndZltQEy
Z9iFat3GILYBWqfntQ99s5nDszYSHyhFW2cS4p26CH9TGF/yrFA8zupVpOTo3Jox9Doz2k4pvRIt
1jTwMWR7V1FjF3ry2KmWN4hMfQjwQ7Pf4j8J8t0419gB+ju1UBxMUUe90R/YZE9JRAps5jM39TNM
2v0hHOptMQ3bYIzvML+w/1kD8oVhT6LdFQJCOuNxeifnza3kG8TrdKui1nfmrK2EsX7U1RYHWYvB
QWkeCr4845cRwMn8AmvJA23jwPFxlWTcl2RZ2V0VlOyUsG1as5GR4+Dl0o1H3gJ49fFD4C+cNoC1
K4GjoFFW36Yi3pjgZFSlfFyQ4IKAsQEKOAFmMW0FyxG19HlO/IskQ78EPnWfxHWylgL45KpgXIcz
M96yC8EcQVARs+zZkuioC2VIoT4b2sEcm3wXRToKjxKJh6ZfxZZ635UNoVRyTZ+9XN6eeLgSJdTp
HeBsuSI3R6tGhEmSdjmaGHK6qUvPGLYt7CSl8ay07G0Zr6s3NPoxaGVsDpp+K5I/4FqVbz7XFn2C
EIY1SOxSZ16d1T3Y22wSaOkQpRUdxzrS9xXHDJcmALtbUgYOYdD0DMArumqILCrtBNFrZ6A+eesn
l4Wpy3jbO/EMa/0SpCYz0qjPWkruUi2bbd7R+CESkbhYuWo2CPhiL4i6PVAONuGkJDBshj4+zpY3
jzJbppqWXoG4BiRilJ6MVEwRzAkNsb18Y98vv2rzdFv7ypORVBvWN0z0UuZYBF64UyrsfTo2S19H
sxNdw9oOofiq0BgoQ23y07suyS+HHlIgIR/khZHmg7mpjlVXMaTOLcr8DII/C6LEhzaGi7yD9VHS
F2ON2gWVv0mVyosB8JVzu4eAvA41UPmpeIfdgfJe3A2Wn6KvSh7VGPdQEy2pE75+JrXEq/lqZDyX
Az0AUGMNqjDIw9eJlIEExoSmQNJylBk9G87XhJI/qg+zmRwVudyQ2X4hVZhRU+woY4btfx40lyVv
K5OojUVCr7fphOlLKK8zOeOsa3ep29SEIU5Dm1msOd1uEPXiMVdbgfVXILopRAvR1dCBgQK6dQmy
tVAQJTlTYvSbPg77dU4bb83Sjyiw4gpyl17nyDBc6j9r1xFPv0NjccwtTUcRp5hbhjMhqc3GtVYV
tIJwjUB4lJsKzLvvI/2qrnV/ujZzbb6f/RyiSsc0WyPr2zYwIbYTLYJSxB1MribBCPyhXfdad19H
qbkazSmanTQaQnalsN2o9NnsZCDFngBld8qKB70vkUTQVzImMEwFzgZjl1TTjRjGXh8lYC3L8KZL
5Wuzq6yzcRp7gOpx7RZ+OlHNIIbA6PWg6JbiKqNa3Xd6ifetAIWZhDzoRtQhS/GVe3m02itf1saV
2TE+iWFS/KZKfC8lZZpJ8IwucdRAtYqbXv9YI2YZStMgzo/twi4diX+iiBrqZvX5KWBBD7ytfv+4
zqKkRmzEa//xENAac5ZACjlmpCLCuLthVcIdmD2yXNb2MFmLXS3d9GMJPjnZNHK4J0vTNuX8jJVq
r6EYickFh552qVeip4SEu1stAQT+K7hvalNeAXUmB1UMnj7/6L/85CCJDMTsGh4ZRFdvq2gt64qo
tZL8OBD5GkzXYkxGWPGDM/yP5gzr7+Jvw1IVShhGKuDMjA+/Q9ORbJIlXX8s4UOTOadulYKFQfQr
9o2+1zxf6O+FMi0ucmIsJzIEBnNYfOkIeHyFTI04o46au4suVKyrnF2pK3pKSolCpiAhToOphsUv
OEZCtKPA557LvDd6BrN7WjSseLqfkjZFyoKDdh6A2TUS4bOAt4lFU74KDC9Jue0cViXdnhiwOkWF
Wz+EC8BWxNEm1EmvlF8j1XiisqJVCP97NNIDjmoYIMYkECY0xAcxxAsyj4RPBBL94tCi0SJFwa3f
Sdl1NWjsH1Kw1zL8sg2J6xtdIp+tYItbLGN0ZRKvFOUT9hwCQWdKWElJ97741KmrTjO2rIsPpoCP
2xikzRSrD6lSh15e5oQbIs1RBNGdVY4eI6+Zi+O3cEch29QtKYmZNKK56p+SSA6/0rNYo4vMXCMN
D3IxMy9qqhUOTXqg8niZ6XpK+Cw1rT6PZ5XRHD5/5ujlf3xfLEQDmD94HJYR2fcEtTe9G18RCsJS
tfZIB+xJsRp6yGWfHnVw4jbr6WPQAOdDN+pI+uiaUYolQUkP3BUQ4iHxonLQHBBC2cMsH7TCvFfU
PFw1mVatuk4kY0WTO0CMoOx6TPnEo6rZBvRL6Q5StPiBATBiWb3EvU9TRsPLl0Wjg5u2YDegNd0y
coP2v9Kz+Wtd6E8WGnainQoDm618o8sTZ+cpAP0ouXqBhKvWBKKRB/0+phsz+PKLboyJXQ4sA1ZK
ENB47Vvx3uhrpyoUxHoTT0hpd5N8pfX9IYnDqyrSLjPDWutTew9QXrU5N4qeXuGdDcEW079Dkawx
LVAIuxVpHLmSLjwJPBNOaSkPkiLcSyHawqqdFS80EILNAmq0sfAktV6LYry1iBOBsU7Ia++qCV1l
0xzODEj2g9Q3bPO0ddL2Wlkm6ua4bVBFKIP4tVLqp9wg72XicxJSm6ANQrSzN3J9NRTAAAwYClEO
Ut+KLpJSSLbYSbyimTw9RWxUcqBBy09dwsvYC9YFObbfECktOTA08hHit22XODoaPhkYkySBwWhI
hlZIWjClIPNgEjvDckJFj74XoIIk0kBOdLskM53jkraDECdiIpxl7OLECmxMKX3oS0LlAzu3tioN
PYldM/UHPMjYl+usdDuhivELC+t4MM/mGFKShRxjkILBaVCOMWSQkBabtjaY574pbYKc7N2h2ucm
khLCkAVszQOQ+tTYqcFwVi40C60AVqCUESNRTGFhSfuroUpIdSdWgPR2tEz84VzXPIOon8E8ZuNK
n1YFQy6jv6NJw1xBPDAEJpbIV/cE8WKs9n3/rJN7A6KHJDlGTCLs0M9uyblhU0xQjcGebOqeU4hR
IJYnNYKkx1r6zdb2mzf1o5FKDq0ptsqko4tKT7E5ZKCXRhT3/nBK6oNExfL52vB3w9u7lQHq3bv9
SA4Bb+UZK0NRvCKa68dLFKl5cM9A8PMLLb3193s2a9Dip8QfikxJ/W5DebMGDQ3CNTgDI4K8KfDK
CJMvsvBrDSnkNixw8iVjf1aWEcpQPC8HswLQrMcFqK0Y0MzAv+tgff2miuYFARymzWD+VoiKE4ye
q5TjG1WP0zby1RjgI87bYJW10WMeq3dCmJaXQUdkkgbQcZ1p3ZmG3o+DhTdJSDU54q3zVjHuLNm6
KvHo00nZdUq7jRQZUti01UrrNCTBWc22TcbQWSLnvEwCqZamQxDFXVbWQKf97VAS6pyORPVoGQFx
hCClQ/BQjVaN6diHQNYowW/u6vt+CweuDzd10VC/uano/Ynl9s3xaI6P4fw8mb+xDv7u318e1zf/
viiknJGJeQX2e4VUFpXWzW8ei8+fCv3D85fpWSImcjAdNfk8IoeJ2ySG049R2j+eh94ryX/eJWIF
OJJKGtOf999iNJohRLY6HS3Zkduv7ZBxJrmJRuM3v8Z3J+VfU5nv7S8FCZ7EVotIj5Pp+wtNZMgN
wVzKR44xX9nU3Ot05buC19uRc2fn9t0WG/j++TJywtvRe8JX+swb3WyU7ed3VV76bH99kB/f+O2G
/+EAaPWRVVoBy0i7gpjuiN541a2zC8DLnuWkNM3X3OeV5KAvtkPPYtDuqcf86+efQvvVp3j7yi+L
z5unJ/Wb1MQ2Nh3vx63sYbBZWeeGzcjKDt31nebsdTdbW8dwNW7IKN5cQ/9bjxvWPXteF5DZXVpn
ruUK+26Tr5tTSOPeDtzbwu6OojOtta21Lc6GTX2Tra4+/+gfp11/e7E+3EBBbqKUhHWeSxvi/ap5
LVflteRWTuz6buhGXr7KdsX6/Ove67bkMIxOvGOcvouPgcPm4+mJ/eI7t59/qr+HOr9/3fUPAqeI
MXNNGNp0DLeWHTrzJlv71zmjFWbstm5jUHKQuKzNY7WRH2mkeZ9ff3l8Pz5VOhnWP9+jD6sNS40w
NeU0HsW58IxhOJuF5Nh34h+WnX98X5dV5bPrfFh1zMhU+n4GGMaZ2u6Hr+K4GfTnSfEqEVRQufr8
W/16jfvzW30sJoWMxV+r4u4YGsRvAOgJLv7/LvCh5lNGPA9Ar/pjop3JMX1A63fT4N/8MB/NvkJW
mrmBWfJYlEe4iatShhVt/uao8Lv79GFxa6S0iXsjbo/j8qsQ8WGN/96EvZwR/vopPjxgXTFDhmyy
6Tj0oxNB4ktGhxnw5z/Hb54u48OqpPuBMNGcYzcYdUe1cM2l7UkB2WJgwosHGZNm9Jtb98vfR/su
nQTFYH1EC4I9VPwyarujmn2r4xUoL5p868+/1i9/njfX+PDSpIHVCFWojkfg3fTvL7LsN12F313g
w5JIsOSoxKS6/D/2zmNJcmPZtr9y7c1BgxaDO0kgkbqytOgJrFoUtBYB4OvviqY4TR4+0jjnrK3a
sipFZISH+95r36hs2jSjc9Kt//olfD8f/+qLLw+UHw6MJGXoExWsY+4GG0wgx2mfX7gi+MfOT7bx
dfzbuG7jb1aDLV/1D38SpbWhDXrCGfVKYxielX+J+dsb8a6d18O0uV39hv/YWFvCZDfunbK5H7by
VL99a2+NI7d2fCrbZdjsKz/Z/V2a+J8e5D98I+w/LFY37YQKz2y40a7yIFc2/a4wD5Xmb/KdGbxU
myMhrKcP9TOXs+5pOSGm+pvdS5fb0199KH/43Celt5PWW6glAuJsg2Ul7nLjnYrgHtvW2diNwZse
RpuKjm2IEnLn+srf7NB/9xScP5x7Ctx1sxLNcAN+fTMHdDazr1aoBc5p/Dbvm215dnaEBX/Eb4Y/
7/IrOPZvf700v1+8/uJdcP6wTnIi7sy+Yml24RwCbtiksqo75P4jFLXDAengZr3BVfMC6jIow2bn
3I6bLhi3yQH80qfC/5vnIwvj/3o+//m6W394S1zFYzZUsaW0W3Nn7+wimMM1XM/pSdt8wV8ekplz
aPY09c6z7zxtXaqDajvs8vAhDWSR8Etx8O/oXs7R/2507xd/Prjnob8O7hHI60jWMOjITw16zu/s
tkzNTeAsFlN9Xfp6fh3cS4G8aRsyc/3X8LNfB/dgIJDs6Iz7kXhoEvP9Twb3/z1Yd1WMlir58RbE
Cegkv98IHS3WiqKz6qvuMlvRh1kmx0iN58z0UZ9jjVZbHhbGcqjKCsMOGua30nOO5ZSGLvD3uqhv
HDwgAOSvqxJtVWYwQNKc+lykDvLytHteVPPV9Ro1cHtE565CzPaSP/7MlBvoqeYxXcg6c0hYJ9Zh
Qw5mozIHB9UauDLxSSP6CZ/mFKBnn3ZJlBDbYaEnqtQB+iWhUatMj9JiiGFAe9eoJvVJJkyNMmtK
IXRqRrAPUhDyle31dLBkNtU0qU+TDKvKlq3Q6fMMnkmP7HuiFdFWkGQTv5FpV63MvRonElaQ7ZKF
VWVfvBRZ9SJzskbwFyj7kwNyoehQyDQtzAjbusIArNJMPVmWIs4wbz1CGUv6B132BBSb5OMCLAPq
s2tNIooM6KLJaoaDPT5C5Wc8lbdPthNfG2AVtCxgls5E4RhtJOW21RhUCq1EYaqt73W8p3k7XpqG
rPp8qUmFn5hLdaTSV/pzmU33XobEORKZRd9V2zsGBtElT79OaMnjar1Z9XLyR8c0SBbuXotB8aOx
ln7I5jwmLl5ZFfoCl0pfWbE01DK5ra8zss+HzAgK3T5kg32XRwutOUFapL7G29Ys3VAo9ZdWB22H
JJ3cE7E1W9Ld1RIfanpFUXgyDIbvbK+ndmLNRGN/26b2sIHjQZD8RKKcKTUKVez32bhrW+PiWAmm
B49sU0gSNeRyWqWNsusy5Taf6/6yQpvfWCSKo2Gy73Vbv3gMO0B9UlaapUn/FIAno9E13RTm0EMS
VGEKiWjbxz2mJVBMU1ZdYjP6tLTTEhaKu4t7ww6sQX02W3D0BmnpGqSrpR1sGubxXSy0szZLT8GM
4N372tmiCUpAFOAq7EPc4ibAb3Iexv6a0sNW7uraKdZvy0wYqoOm28ub5zyKWx9r1qmXKvmKIc4x
G7y3OlfvYRwDllj8Dmpcs8YhUsqg6QU5hErYqfqpLpKbtK6Pc9bfVHVxO1WMvunsj0jpRuJoI+tj
tZUREaUwTDKx6YNuQGasD7q9XuBO9juNCWUYS6GiMGz+rrlDB78TUsqIKmEv0DZ21lsvpY7l6D1V
iOyYoZ46vUM3OViotI1N3Ky346pjJUDUvVjjHZsdjXo4shhVyQ6iro7QWhqQfLFF1sRHDKcaNSag
Gz9a4oe1QSRgS8FmIqWbeodz1SydaufFGtpFKfE0qJuZKcV7QsTZlqQQtJaSUGVk5QCyxh0oBaMl
twYXBaljVh81itJSSktNNKYr6QIWOa0wCZGfWlKIqkr2B56Sz0xFozOEgQtAQLYJVb0tJTGEDCHt
KoCIGJImAovs2yj5IqU93xuSOGKAHkH2Ebam+rqAJHFBkzBiYdwraSWuCbdkHuOXSpJMcpAmjbug
f4cc2HS3HsgT1c7CVSoQLWAoJMmnQWrn+1pyUhyAKS4+E/4yU3rPfNQkUyWRdJWVEda2kcSVVtEv
M1+DWwcYC1rS/SzpLJXktDjgAHVJbkklw8UC5sJrTTEvA+b24IUnkvgySPYLzLMthsOP2PuSgobp
QcTkvCecA+BsJT1mACNTDnqoSq5MJAkzqP077oFQZ8SU7RLJoUklkWYBTZPy61zJqrGs+FgAr0ky
4P8oN6aTKck2fKAwbph9zRX91rLBDSo5OKCG95ARIeO4XXyYoWBHCrY/sqoIumBi4nxS+zUFoA6r
R0J2YnMOlaR90KHv2BLDEyf2uJ0lmseD0cNUnxAwJhydxPdMbUtpz6wS1djDCOHHlKgfxWh3I/55
K29uhIQBNVCB4mG+V5d6y9R8CbHJnmr4QXjOBfqYZQwFbKHcw2tCduBdmTjZdi1W4+cK7996yuRW
9xf1VPLeD+//Lf6Xj/qhlAJsaHMZxJ0MhZA2wW8aSBLNmXp7Jv9DI+GH7JPvAT+MHeguuAwJKJp+
E/+bxBKw4fyijfynPkTrD3cF2sCA6vgtkL0sbI9YAX5fSpEGpBpN0RbQRZyMPDZmnJopniELQlpo
lWuTIEdnIV/yQp9RKmDvX2IIECtOrWl20SCkF+a5j+iKIalqLRQQw2s2fQxxyjX2bjGG9hBty1nb
Cw6tEurHRqApZKTx1luDT6oZZzAquH7mO+5kF3Cp35ws2QqcbYOCsGvRGnBN5hdc6Lt48Ygb6Ovc
V9Jy3GdNt+8879Rn5B5g4Vph5SrMvWHVTWBl6ycHf4HQkUwsnZnuklV/Lzo11FX1FcugFTpRNPoN
8shdx/SfAGlCxky7P2KDnEI3ak6Druw9I9vmSfZAYmDjz9Q126mZ7yryNDe924TClvFkPLkTGU+o
jlyB3KzSqg1cpqtnFF9JUWp2i87UOo3ZzJUleuyKGjwRcd1qJQi97rNLboIcTkkd2ZKqUPhJ41i+
M9cL01B3myvLMbGGKohF8cTxqhANUrEB1XcJ+IRN5XpHDeHWhqn5xav0x5azlKL4DlOBsh1XQPtL
KTAGuR+aQho4bMI78ljLjel6b1mm3dMohacUMcQeC6MkM8F4XMv0LQeQLQpOldRFF2+ksOZBn2et
+iFDDfZIK81AT8dlm/Q2coTIIGQieUkynn8M4QKvKqZwG2jtaJP03VSGuS17bKtZjt+yCEQMCSRF
orUMGhVoyt9R556upldBYiNneCnv5w6QSu02aLEMGLYxXc+2Ih9vQLkRiIzHFcbgsSvn5q6sx2td
uy+WFvG59xSD2twiC2zetDE9D1l67lJAxAqqVd+yObpMHc2A1xM9USoGsWpDs4uM+oacG6DeSCoQ
xKEd7dMbNavfCEtOw7aQEXhpF8xmhQifJ8rYlflJMe1bTb3V9d5vLCHjaYjWicdDXzVPozLt6r66
JHUdmvZMzEKZ9n7cTx4IcEENUaARc9XpdW3Tb/2EezebdyJtFrLc24IceCmy4lUtzm2N38PPvenB
zYtwAObOLX66REoaLqqHyLO6alZ1q08o6CxoxaONqXUhAkQi70ZwpNgHVkpdrkw2XDYWaBr5tpJE
XBds3nJ+KePVxkdsWFKno/wv1ekjyec8mEsDwZ6U3xt5/3nGtSZqF3PrPCLvajPqYM/baZV1SDR0
oiswfI4uvBkbt/KQjCozmL3ZiHxm4SL0FJcKiUzaeE4I4YzyDEOi+XUEmxmOSf61NqZXcAtfVkdk
CAbQtMSGuF1GrgpE7mD3G+yBRqg+oW0eK5jMYJKHE3sPuDm34WSfWxygVTkcrArHQmiMqCafIL64
7i4xOw0oOVZQ5vaVhk5n7tatO8Ih2rqVYs6bdkIuvscKviB+Naw1vSEfYBkfPLXUhgfhdYpxGueR
YY5VFclrt5r6dM2HZl/H1B9NhlWkNnMzTFOg2q26vmtdfN9HBniefD6aZjWGndJhwVXsk+XMxCO7
pomS0P7S1nWP88QGSpOZr7lio1Ikhxj4z2ofjZrFnFdujlXQpI9m1Z+ayHxPsk4PBhcZNKrGD5yw
1F5JjWOlEmT+qhPikwGd+JLPl6Xpgzn1aOk2ysWsujslGk+lW3+iAv5YMYOIGZtiz8WV4pgU796Y
jwkTZVXAX3Ga9xSOup1GqKd1K9lyzWdINqCd1bObqAdini1vRaJ/rJrKb4mtj3wq8UGmgbIe9WXO
AtPqtsTC3Ofykq4mKtZ1IPenInEual4ghp3rdyaSh8QwOlD4NLzbdCXPTS9vbCdHcm15EBQV5Y7W
hR4Iwkhw/IwXhtfYo+bI511o9k7FraOv1WFHQDR7O9mQaDgc8Og436tIeRzyYLXiF70jGMtFP4q1
Hf2fm3uCP45p1CM51lgRea2zjHAVaYwoA09TOTdi69Ti3LgD6jwXG2+sOddUVBdqvZLhenT1yMLp
yx6m3PBue2LZ6lP+sEBshHwHVTLyOECsbHyKxrEPRlG90Ic4ZkrOcxzXVwSTKPxH22QNrESjqrri
d/Xwrfe8JzboUG2Kc14mw0aPjT3d7SfCWXdK6sw+6uQDHMrbCfO1Z9WfUw66jeaoN6Y6nJD2Rf7E
TR+KgNaRxNkRwjJxJAwi3uiWl22SPD941oJMIa78zNXbXW+lwk/NHkX5eItLI6z04Xkq8RvnJPGa
I+rfZTTnba6WE0EKbsudEM67EvO/DuV9YOcIWxVF29nceg4Db6hPwtpVbfps4zrDcawoY1ubW0M/
P+EAULeIwS8kgtmhkq7xThEaGH3P9snvo7nCN+0Ua/qtrYFRUno0WEOlElqvkzeMGAYCPl0GAlsM
ZD3pbTJmeAxrRN4VDRc2OTY4S+zXUucrYbm3OklhaIgwBtv1/KWq4xdmate+cr6gkPsy22rY9PZr
ncevddzYwQATLSqbV7V294bZPQgcXmitfENfcl8tkpPeifeYTLbR0b95OSFvY3pHNCe24kF9qEy5
iSsWTnyif75Xm/+W3Rh7/qrsTr91f2o94lG/ld0qmdhgi4jEtn7hePxWdms/8SmD+EDzYNKS/KGD
6f0Ercgl2gvYAWRAj1/4awfT+wmvLT5ZKePVv2MG/0EHE4vT71risux2cEbxuyyMTDpBnr8vu1cj
KRO9TtWr4aIWjcqVkAftUx1/JYB3JX1705G9S8QIaTXC08+i4eed7lxtknrHtgmxG9wXJPhSifmq
jPTt8+S16qxdy43YqNxL49FW6p03TeZKF6QCr6QDD5ZD0gIAbPaQ8amZq0eIgcRkemrht6SDBGQM
vEXkDZNUerKWbFuSQ7wS/qSRS6ybSuuX80ApyqVYRhfna7rvcQ9vMlKNtdjZCxlzjIRQWkvfsrJ6
WslB9rL2FVtXuclJSFbY9VoSk1HkYxEhQ7nzlHAlUzn1qDF5ZbvGIymE0opW1WATLcaJ55DJPECN
oA52N3Fl7hxSm7t+cqlr3edWcDFpyME5rGNOCHlknjK1qBmPKnsCiPAYIDvaj8qyq020HZrMirbv
RTPeQ3zrngrSpAsZK2237jFO1Be1tE4khhJjqM4XMkIsYBJ4nCzSqYdJyfyZvGqT3GrSDWuqZuu4
aF97cq1j8q0Xer9ohCE/cg/AkYRqtqAHSGDCN0PGY3uW9vSdGiVUorMVDJCDDNNeZKy2Oi/7rF92
qC+3DbnbY897FsdEcYufY7nJspq6G0JXtWQbOVm9Gyx6YKehTlGNmo06HGqXXvLgeDSV9SHLNm2t
dtRtqYkAsO+plN+LqRX0Pi19YI9WyZWZ6QuRfAYaDmeHSW+D5gjHpncpxxaYbG18qZKuRZMPOdUw
STDQ9Zp/CTUQa/8FyxDdmbz9kMxmSne6jHh+4QzAIIgt9Pxrs5wcw7lREt31B3LWDFOl1lSS12I2
3yp3JuZ9nh4gaiQQFciEMVvra9b0H5QM39YB++bkFM+xbbIUCDZCk0fjuNdPXaWk20wMxta0ptuZ
hOrA8PK9mXRvbm4NoaGYBeh4920ZaOY0pp1B9RJfcefiMCXcgpXDvaFKe9dXMy++FLFyE78VU1DF
8ZFoi6/mDIa2ZL3QygXvfLKrapfVzd1kcDelJn5qTKShNjzCggIaFjxtHtV+iWQ4p8VPXNSo8dre
pVHhL6bSn0X/VlkWNJlFqU+AyNY04FfNMrU7ULBQw5ulJFcS/CfdPG1GYWM1Ttr7canjQ54kp9Wu
bkBaHOeq+bA9UiELKBtqCBao+/LvuQKEgC4LYoe/aOekpAAt9fgnDR0e99vJov1kklOBsFLCZaEn
/K6hA+iOnNufTw85v/9lNmaCgFDRgqv0AfC1fve7/nKy0NCBGctB5VG3y2mb809mY9p3/cx/hq3y
ZIHbzhEm/bE2T+UPDR2sSlgqOru+nTuVwm0yxcZsTCa+ptgnDhXutCyE/KiCs4e37KQWJc0Km/wj
UvXU+jUto/4CBp6OoWG0DxkF6R4Pa38j8qj52gzSWliwPSWFs0Dz1pYUnbkigKrTXLjtu3K4thn+
A0W18X5i4XHxaWikSVVRdZPHjffVVZJ7hgnWNdY05ajHiditrl0+De5i8RWEZS50a7wMfeIAn6qA
qzmjkoeatdTP2Byw0hu9/g2/WfFqqUW1jy3oTVUT9e8TIOBtorrp1uk8sXMyQUpVMjV3AuB0MRI9
SDu+CSahmdM1UYih+ULeWmKeNCJIFtxRdT5ilRsIiTZjL0tuCNsiRrqN+qq7OgltCCfW5uQhyTxu
D0KGUK8Ut464cT3I9NB6TYDq5EcSZFRtigkfWmBxO01PtlLRhiGpd/mcTXpbbnXhQbSN5jdbFMY7
ZEKrRpRvVyFtYY6UEbjRIOr1XU5AmTQSWIPSnHMljTVvFzVT/JmVlPpqta7vUZ+s30gCe+2UNqzi
9Kg4dN1LjbuysLpmrzQC+5erjcsux/9FKT0s57yeoQnh74E/X9ZKQaERpxglBoPx4VTSsMnbF9NJ
Qc572pNB4b9vlHbZJKqYNhZspb2d9faDi6vlMCiD99SorX1DiLAacJp4Ku14q36MerWkq1F4nxVH
KEejGJxNM5fXzNWUoBsm8DoKfPutKNp2CMgzBJml1P1haaLqnq4qbCluv59i6ulg9ZzsaaZdcHYy
M7sgIcre8K1CY11Jm+vztX5bx1k5sXjBADmVuILhiF4JsRBPVdZBjq9nsBqEM90mUwEgFYtYEVSm
icuh70k9m4AODjQirT6IgZzBioSKtdcnynqMVmZhHJ1ZGHekDrjAm2tb+9bUzRq2EmbgcWfYgPyx
ftYZ/Vvjm3TC/2Ivrov3PwOTykf9sBNL554GXOZXVt9vNb7+E3UEWjX0CPj8JMbvV5WCS3a4p0lS
KPkR8AEp/3+t8d2fVINrMfcGFPrOP8QLaK5UIfxuJwYKLjGn8ATZhh2Vp/6jXMt0y6zjrrxc3SHu
bpnZl/ep1jivdWHqx0Xk+duiDU7oDpN6YTgXMaCaEgIEpvXZ8cTwkKh1sVtXwkUpNaOtowwdXLQ2
2bqtelNIJu9kaNHZsrzuzpgHHj+BHwpGSMkUbtD8FRrDs762m37AzImNLIempVLHVOB+1WUFUtr0
86cySeIjTBcyXpUhC/RKXehsuw1N8+XZ04njlDtUVDrHkW8km6QiTlVee9uuFjg+Bi+CkKxegfyg
dk7z3PfsNt8AkoH8JV0+njGg3c5W2TfJsm/NognzbqjKoF3XWBLy3pI5jtBATH4q58jQtgmUq/KD
vnrCH7hJ3cZa/KrmyzEdjS40m+rOqvFCAgxXdoMdr8c1Ho1jkqjOtkC/oOEVOwC08QKits1dXlTm
dtL1CEsddwb6cqAAygZaTj3drR2c6Kboiw325XWjWARy5+DO9Ni7yQy23mnh3VFGzqxUNAaUZE27
9vARgsURzaFN+uOoZ5+4ds2bsoD3BnYn22IMPCZxuw4+Ge3JlnZGFxSSdx4BPs9MZbNIEvoMEr38
zkaXlHRSibLLDDgdwiFwMzWugVNDVRcMVkD4PNgGAzwnNjCfzDsdELtO/euRSwqdnRCUKwjw2xps
uxr3Dm1xRo/oOWZ2YfLecVFK1rstqe+QwmJY3DR6nao89aDhLQtGfG+Lh4lcFNJTptzPJUke9vbV
AS1fgZifQM1nIOcboe4SDZ7OKmn0dmTfUvWHK5j6ck2HjQ243iONmUssKHvarA1oe+7bnP/A7rku
8D/g70u9+2wIePgeYPzZgXRhLU+tJObPUYMOTFL0h++45zZnguzrhj1+MV2kF9RlZPFG9Xz2BGc+
kSxpftZs7pS45minNR451o7WzeeY1MTDv4Xxz4UxWs2/2oyJG/mzOSeP+m0zJh6IyCvqYdf6JYbh
t83YYMs1iBQCzkxJ6lBM/2czpj3DmAnBmNRySbHxD5sxnRZ+F70B1yMe6p+UxbTnf7cZSwgZDBpG
ra5KbeyCfPn9ZoyGBtqDmqlX/fsCsuRaMuSq6rJxO5lUQarkjisROo5M856jgZDFSNLJLcv5PJTF
gyO55WjjgnEYIJmDNAfScOhBnOeSdd5J6nnaTkEkUei5oX0SEo7e62DSy7Y9tBNFyZpejUE5EPp5
Acq30SRgHX4RUpqFlq/Tu/sKCvtK2ehAZR+EXfs1nHYglpG05d/rxgDoFJS7lVfwVxWNr4ryqEjc
ezRlaIEhwMegEIrstQANLyQjPrOy+15S47u2B65unUoVnjy51btFEubVxrwmiHg2qmaeVphoUzWe
3D762njilOr2J13S6k3JrY+r6ILlEgOzrrwJ0PZcp7V3MoeWjQB7v/bdcwoGP2Z8S4/FaH2UGk8z
qPxRMvNr4Pl57l4WSdPXeA0ReP10bd57ydufojzdCsngTySNvwLLH0k+f+eWT5yNV3yun0pJ8M9B
+c9uuxu+s/3LstpM4P5dsP/0Yq65jmrOIhBgFCQDLCtgFtsLR2FdxJTsVJkh0BMmUMlUgYl4AZeY
AdGTNyAIHkgTiwQCHakZW9FzK9MJ8nx4tYgrEOwwm0EGGBBkoGtGfE5yYo4SOiYVYQeMG/GoEn/Q
RzQCegIRdIIRVJmQQLvbOwp7bLawtb9WsfMQR8tuzAnYRLJzXGr9O5nt22w28ooPim544Wf7qkb+
YU4uoiEdGkySDbcMiouzN5eP9rnW8oKpDC1svk9BYkQJM4T+g37dPnO6nc2p4w9jFxO4mV+0sd02
NbwKNZ8mzLb9gzZ1u8zK38xFQ7DEpkz8A1N0ktGHGu9uVZV3Y5YsITzU0BzwT3A4b5cERgdWfpfG
X0eDkTz7rJRewcXY6XF9yi0zLDwAZjkFiZmLY5bgc0w6dMge770ZnQbyuEDEps7yZYzr7iXBzgIn
3CtdOimVc683sJ/ijduVyp1KB/MeLzX9FG1OwQSrYa4kNi706COPyQW2PBUcAaIDtXWOTjU/93b3
eci5rzV1fce5tVOS/E5DJuMSxuwjqQiaGWC54UxBWqhd6GIlxURv8uKaLWwgBR1Ctscwa26TiGuz
Vzirn009ncC0DAbYxIa9vM+2HrTz/MmNqLK85YkPGkNnphyWVDlXbbJLcuVQIQIkdtKPM6LLlWif
QWDK3Yp4WReYubkejWZ40douSCzc4jqe36nkTmGk3G3SFp1Trm+82dkJBrNlU/KBPA9dtlvmMQRW
50+ksqdKFDMQdMBy9EGSeq9lhmG575LzBA4fzVXqhXNpg0HNESpRMdL++9IDjlNJOl9mByoyBRJg
2Qtm64PouPaVusowVQg+WzhEyrgf++7L2E1XQqiCPjMf1TRmFrh05zV3bIBJ1dbMSdhQkU20s+aF
Wq4+WGP0DYoKq3PiYgixHWbxtKc7PPtKCw3QKG8jFeFgAqE0Sy1346aTn5jjRTjVaSYKeVPmhW/G
LgSDcTOQJzFSinSLuvOc8Zb574uqN4cINRXYfmebZwX731wpYA7qewM0hp+uHXn1dFXjbC9Zr006
3UT2+sh8FRLNcBfp47Frp43d0gifaZauqx7adrc1FO3ADHYK+rpa2YWN0LOGE1fs0KVV4HukPrWN
+hmvIPwdffxkgFj26VUYB7hYt5rk/Mbxnba6Z89dJgA0TObtVRxVO/cZHSY+pB966koqWdDWuINb
fGsUSpgXy63uuR+GvjKBbyAbcwvtXIUZMph/oQzXZWhuB8d9mlNwR6UFvHkuLW87Z3rxmhvRAgxr
+sj68UQ49HMxVrR463Pi9fQRu/QenSNCje7DioG2jFpzk8z4ArL1Kdd02BhT/swOvO0r665TIrBe
qvem2N3L3M4nUSaIecbSIdqLBq7GtAvGbjLTvIEOaA5SeGsuh6gl0gsJCHnGe7vv8+epUATpXwhh
QmUdhO/O7rZQ0wMyGMS5olyDuU6+mpMxBstUz2B0tHdvXa9aB1iLciEOYrz2zOYzyM7thzNQk3oD
BpvUYbtc5iogjO6lzvTbutTvER8JQptN6Bb9F2Y/wQA7h6jra2/PTAnZvzrIQ6AFq6d5UZ6buX4s
UvrCojKCpkDv6sI/nXJ79SGpQFGkzi/GbLzrUI2Qrg4tzKxUymfk0LNfauQvn36op25/vhT+TzWC
AAXS1f/v/9PlXfD3d0UbNoyq25YmW3eyRvrxrkg+g2YuZApctYdy82qF023ro9v0vffH+/5CMPO2
9od9erZ2gMn2dZgcLXDZl2T3b4H7vcCVft//f4H7ONbFWFbf/rvzKx/3a4kLzlAq+egp6BqLSIry
fitxwRmCwbIdgH+2iqX6xxLXlMWvquk2lFZN8oF+LXGdn3CnStEdFN/vPeB/UuLa36kE/1lD30tc
VbURXhCRhkFDNj1+XEPaZHFuEnJ5Xa3kSN+E6qG2NnNe0XvN6nCykBZkUXExmyIPLcPcq6O2S5vh
moycWCjEoWCja1P80dCOom/e89F8wxft59VwmVftHHvmfk2YS+RKvfiJE7+Bsr1jAJ9v7bIkLsnG
pJgAcIuKsfFXTRSnckHWW+SQfdxyQPBgJKdxrN1zxTHgJrKGka3ClWqQvLTPNnNyI9JuEwQXTWex
U3jZKxQSqU6yr64FRF0fmROC+kivqMq+EkyNaBEZEdB1x/bTKdcOKBnOwwARJyofDaZIHLeX3vTk
tv0o2GzArMW72h5PtrWS+TnZVxAdx2Io4o2XWE8GjDOyWD6JxA77qZvIQYAQLjz3lhkPaFfsISK/
yUQWNlBHSEJEVJw5BQz/TnnxpPmiXptAtbJz0hEqLgdgTKaGA1xThD3gFcPE9spQybxPs1PeWtN4
NpHy3TTtHdO2sKQMXhztCrQqHI35fmFeOWcAfw12SEPDO1Ior5MZvTBpCO0Rfpw3CTotRfk5XZjp
Kio9CgahG23ObpaJt67Nxzt1jthjc7t8bs0DYZjuAKSPBgPegOkmVgmDoP6l3WALfxmnh4TRL/9O
w5SDPBja6nnkaUT0a/w8hR5jinpnpSrvjQsNCQFOO/E5ZJkCREZ1i6BeXBQii3GfuuikRPQVNjCX
I9t+NGv7XmE27yuDffbKOgKXBLIpaVBJpF1yr1D3Wyj6gSxzz5jb7NGNqi/MyIMqKtEv51+zqnuO
PY510KICHV1u75tIE0wPI3xj9Rz7yDBDw0QonjrcmuoUj3E60j2W6Qw5dShGTd0otkDzUOggSHQt
qwlMmwuO6jSvdV1uParGc2LxbrdFn/roGJkazhrI2p5QWAU5LZiehRKPPL0LWu6nds3vifZzfVPN
ABKlXMwQ5rtgj6txU3T1SYXye0amSPnWv6a2cwaWfU/QXOo7qUc4uLauu7LKOKOiDoXcUrEyDf1T
U7UP7sQHb4mYeL31huzAr9GkaIExWSRFuPejiPbCQE2jRdHByRXgNCz6DcLicF4pT0iHM2lm5T2n
bic2WQtDT1mXd1xLvQ+bN8b3xKMHpTsy3Q7U3N5CpseZVGB48Wx1l2K12S75vYIQjbIYkdD6ruTL
+zDZj/E8PeYFWvjZvYXsCXA3Jr1D6AA/jVR5ZtZQIcZ3tsk6hMky2cAYWwhwGj0proRweJTlnc91
OZq9ta0bOj9EOBmBrpjf9Lm/FKpymdWh2pLdUG1pWL7jgtkvzWD55NEvfFyMYOnTO+BFMf/orXgo
HZBfbT9ou4gOnuwb8XymogrEyArk5x96wQh5sSTqFFTgxi2U+3ZUv/UlS8K0y5SEUeep6dqbvsBw
AaPwW9PQBlNE2GezjXi2MLeVcKgYtSxM1LU7Rxp9tgoiKQlJ7qklnpu6nNU0DtWbWRZ1WCvswXHq
emQ9dCbWq3gfIQXd19ry3togwD22RjNHX0p4gU/L8rIOybVHi4sPQuYqpsaDyEqBh4D02l7d0Vd+
bKB0Qkp70OJW9+uVKGK1dt5jGo+NnRx1XlwgUmbtljo+Kfaq+eg62m2RISjsLBZ13kdvk72+dUN7
D3Ek3seFssd/McqUFACbw/jQuFoZdDmfL1CuwDUgOgpyUjdx2X1mnsJWQdpG4l3Z6HZIv/C4mP0j
ARPPuT68dC3ZGkU+vpjequ41XWiBquqMsXHmB6mbWP6SIO2sY2ZKJIQcuj57qGxjtzawyaJcexM5
SkSvyEKr8DLf9bgSGQ1u3k5/nuw70R/X6FWkJzMx7qqs3TAKfc6U8ik1Sj6aatjZVX2jNzQPm+L/
2DuP3jayNe9/lcbsS6gcFjPAMIvKyZK9KVCyXDnn+vTv7yi0JYv2vT3Ugi9w2YsGLKlYPKxznvQP
SrWSQ/NR4aCfK71z3gYmW1unMJMMcIEWHoTzGO3BSYAsVOZ0x1UeIy6kriwcv1ByHObjoFwxDDry
kdFlBtfcWjVgSbmo10V92pogkg2U1j3KAB3Y6yzOnGCpFiW62WVwqwzjEr5ieIznnrLABPPEGSxp
AVssWmh1H05GRdMQ9rb5ttxk3uXe2nBsaVqZtsDeZB4agUOjYa7YZ492kPgnXVoz1YXeZFi3YQa4
uyQxhixTjMOp4stotlR8zxai6ivPrucBQF9cqKu1W4+kmFoJpniUxpVb1fphi8kQNaxtIyU3DMux
71XOY7uYEzxCZpSoExnKiZobh5xGa9Pl0bF1uFKIrM2kUte+BFbOCdGiq6VX0sov9FPgMd4q9eVH
bZAfYUvdE3KEUF6/GmRpltjWTKUXrtXcI/3nbBb18UMfRDDXPX+pyiHllUsfIPXMO2SH2yVzknDe
0UgvEOEHgTJS+0mitWJilziL83vA0IruXgJCXEkSsghBaZ1pOaDQoEmUKejSG5afKK7Ej/CQ1q3q
WYscZ5yyMpehXQH1YF64SHs5Yugh5/QHqE6VortLazwX+/jK0IeZGRs3iVOcD0VIo3uMDjvdXKCb
Ce5SQUKY/oBS59dWpj9wuJ7X9Kensc8jEJjFJfbeCw44ZdnpdKodBeqbD8vQGmn0mAxGnDA5s6BF
on3r49jiRMO87Gueh86LZ745+gDCqnnS49uCiGgFSUrdjJXKkLljzh2A9VFs85Qk964s82PUB61p
lkhzBfE6xMq+ElowAFUvKXuP2LkrC5XtSdH5NzlsLlDV8UmnEGoj5Thw6yM3zm6NXLmDREuMSK3b
Su1Psh5eVxcw+A4l/Kocw/uSDDJ2jVJ8OAbrUi9Pes9bIG0XzZrAvvCNnBgtmTdN3p6MvT+R0+A+
1o11ESHNWGnDMfSRZsWMqZ6nvXmSKDaY+oSDUKJZZATozhv6KsoAv8njUVNqGnL+NG1NjALCLknO
NdoIM6+2EbfqAEG3vg5vqsHgFv0teoBJiuBoZelQVcpVpavZrJTDe6sjh7H75tzK4Vo5ZZstEaOo
jpMCUdZC6+icWjaHksvUyJWWTtKF5JxuzeYyYjRcr81aWgOWSJamnx06ZFtCRlgL8fhrHfNFi+M/
w1+D2uQP5VgZpEE9bKnG+LPXakxlxEuthTapLFCc9nscDrMGQzMU5q4/pw2wqjAicSxmDSolmWO/
g3fy77JsYy6F7CQzgn9SillPpik/SzEBwkFYi6mF6vA/bkXAP98odcAY6M0CU+jzVEEN/aRSGyCd
QxOALcTNoFMdwO9MaydY+zwAtvg2ZqO/pPl1RUyCY2HdDy2WyHnjrUqI3EUekEfZDNEa3TqVa6WA
JILZFjNenZTXQdraG/yFmtPt83PvVJLciFSDqih0s7NqqL9LYvBnON13PZeyuU9QbBzywswOjnpd
aHw64YmUF+elnBmzzNdGXIzMdlbjlU4UKXGAovNeNuV9C4YGPdthKav2vdRTzHS1MmHQsbKs+jSF
zEzLHPibUXRfsQy+ieshnoaRcqUZ9Z3HMGhJYLOXxDvzzAOMNYdSVJMMRiVpp7cBFpeBPqdLbdND
DgL1LBP4afDsaHSDqPaBVveqvE5k41GvkyUpyabSSQIEFruUsOoFnI0CN7/trBK5vGuYg2Y9VJZU
wLmBdTshg0cIrSC9AdY/lGp1Vo7BrQESPGJiP2OGBTjcMM/xdCbIgRtP/IAzryarG6XGW8BCv6oC
7bTJpdPxCXYuB+pkEFB0o7CTw1ABFWQIoDoYz3PJoAguKlq1huQDKOmVo9CHWhcKqHvhxSc+yefc
BgVvVmChOqYMDvh4OyM0yk5yliM4C3ujsA/LPFWXgPaXtgDYl6IRmA+xvYwsv5yFAohvtm4/NwQ4
H6I6QPxBXZVe98UFvx+D4zflBo+fFO8+ySmWJQymHneEiQf6X2UkPukFIQAv5WFiwhFIJAPZeVVy
l2w0d9pl7ZEMo8AX1IK+Jv+TykuzNc4ZMR16Ic1dUw2XOqyEpNZXjoLqfjSaNzVBV068LxU8BkAc
EpMDFWqDIDm0gu5gN+MdyRtsHDVfu1Z+KwlqRFx1N5IDWYI/xRhVECg0waSQkFfVVJPiRMl+JBWO
IUGWn9A3O4t0xO3roQdhAEWj6dtu3ts0ESyki9krpT0Ls0DF8dtZdTU1c6SV/aZ283AmVzmcZcEG
0aLwtkEbNw5utJoQZQveCHsNcwSYJHZt1cu0YsBvdECqekV1p1omHw0IeurkdbMkDLTZCD1lQNZ7
PqTFOLOgrgQpQRqANs2JJ14LBBcXokvUg5PiWbvStbU0/IhkUNQS5JjMqubUb+HM9625rWcIy1s/
ZEGpyS39RznKXx24NnIXn+bDACMeEg5FnD83Sa7AtJLKN9Um1sdkEgyHmLKu9cYRRaAg9fQwzm3Y
1KU9/FCr8psnNUddVl8gHndCKhZhLl7PRphCmoP2gCLIQ4agEYVNJIMRh1pU1vWPXEoSAOWdOot7
axMU5TdGuDLpD8ROVZCU+s4213UjuESGZFNe6necusXEHEqkS+E51YoNKJvpPAWBfVQJMpRXNc3C
H9s1eV87VWFMmX6/YTzAZEqQqeqiwgJbEKwqHa24hOSAmeW09vurmq6QgIvM497vZhgOqvM0NUo2
XcaWsM2TuGSkmvXuaRZrQgzTRWNG8q5cFy323LlyXH2l9YM9NaGqCQwBhXx+6nlKsSC5iO/KjmLJ
7dpjSbZUCJJiYxvhLa7HJIFtRyfN6XCsVP37PgUC2OgBmVa65kC/HPQMYiDaGjMCwAUgTBXwiTFr
4f0uSdLxWq80PNxNYHJ2uvZdatWoiDHlbC8CQwdKAq3LRXoZFddSmadezN+27ZVhhvZqTJt7FC3I
JfPSnaip6k/NsJAwjpd+ODqIztovgyWwxIt0yO5Njb1dxBYNioTCAgcksmt3TE/lwmG4khV3mBEL
ChXVUDJQ5moq/h4+Xc1Zxplt5KmMiYNcL+I6u28cOu85D1LnposBbNNE4SufEO7KaaehMV33OCTR
8GRNqbQOoczi3KsnFAColWiZAdZGb2/8IbroiInTOgRvExhUCAiE04+QBh43G1h0Ewq6kACb5tKI
LyOgv0FCiwHnTjo/cgeVNTJvjBr6bjp8NzLjPPTyxx5tAJzfwzsTkuekAxMJmT89VjSzOIU0dkL8
RxLXSleyohzWcV5O9UFt5pEAv+IcFB9WY3GjqWz8ONVuJdwh66D+3hXxwnHDG4K9fERbLJ0Q/w+r
wDtjYHftjNFKk6puYmF/iHsD3YgBvK1raBMrHfDyEDBcJubtTLWsh6DPqILKzEP0GfzgkNmXipsU
c0PIFqc4lszzHCOLNm7cQ7kcNiaKUnyfrbpgfn7dp7BgbVdaB563KRER95iL0iPMceBkBJJa+XkW
4YtEY9XDfN54yEMwqVhUftVlGh5hYZ7Ljfkl001wpHG/Gj3tRyh3FmcsMxJVRTbc7tHMNq1YzN+q
iMbCwOMXKjVUigFh1VH5albtKdozwRzfr2RSSpza/gAIP7QwhzWlcCOn6gl+iUyhAzdE+iQ/CgTm
Uq/L5TBiotloBmaecrQKETCYoqJIvBNQ/UJ102km0JpQ4L/7Ht3GwvbKBcIvMiVN287oNyLoAjNw
kMxbpqYKJAlcqpNCuvbL7gY+eDZJA2eadTEcCjwqvMauaRRmxUzV/avaxErUjevDxmuw5ZCdGyiZ
517cOVPEPrp5kktYfMJbm2rgOHpPiilW00OJzEmYdcu0t6r73EsgHRDPWS1CCA5YJuq8gsHbwfKQ
cvOHKYPL0GyCQELdFDnRD0vobKix+tAO5ZFDJJ8MlvFQtdYSc+4S4oGydlMtRTCo1ae9Gd16SYIN
ZV+qU7tBLVpKgHbcy7Z3TGKgQ16UsonShOvcKOGdNmF4qgYZkzg6TMhZfPXwA8fZNbxWSlhweSNd
WgnTZDXJDnWnu+3JuXD0HXMkzbN0XtR4cCCDQkshKvg4OnY0dlfqc+AAR3aRnds2/c7IKuIp++4H
cEfQBABc5lDaF3Lb3OUtW9cvlYvYSxHAG7QTzQyo7Az6oU2UX8EcRXrUUjTSy55zukxPer3E0dLU
14pdPzAhB50S1LdF73MGNfLNGKPXP8TX8I6SWVdxpFryPVqbPPzM7SDXYcfLWOc4r8pFKiNlLA8V
HsS4//DUho8OubHfmtTLffo4JuV6dPBH8crxUFXTOyrmGS5AN3kL86ciy7Mijj56F/gDO52FQlTA
TTbWUu7LH6ZPSmdlPT7r5HxtqNCED+9Q7j5EiHuGL+cGltJ9WDdnul6skwDxd4+RPi61REqtWOER
dNn7yrw3AMa5RXbVV84q1x1YlxJAv/AcafbpECj0JTXIJW48xyb2GCe9wybIp7Eht3h4hgoFqmep
0UWcjubdgJ8v2qkS09uL2KjzdjYI2REjl55llf9Tg4r52e9r0K9wb7cUoPzN3wWocgCqjCpSccD+
6mJS+Pc4kNpUxZ8T8zJTBg0HB+Mn4s1RDR0QHHNeFHDeI940DjFQyzahQxXMkn9CMbQ/jpRt6CYU
UsDYVWRGfiGC4GAYprEaYhFUu6AjbGTD3PK6VhN/GqoDmZ6SZtdBq8Rnap0kV1XjYjQmK6A+RleZ
KkjGeMCO60mha6cArfEjipl+D1aIuBDMglqVaYcW7b3TdPl1NoAgIHnpzx1a0FNgWdbUadzsWq/a
k1LGwrlOUSMIfJjUXkEnrku9S0Ah6bLBgWTuta4yqxTlJsF+bBWD/FiGjrbEpfpQG+xrr2iQMtRD
dWa2eXAWB30yxWcVdzCT1KKzv6SjGtwUjKVOfHVIF3Q5Uf6K0KNXWIIzpDrdBYMEZwUERCAXEIWs
E+ZBXW45s9jT2I3piHOABzgbk0FaqyGk3SY5bgooEw5gN3T2sWNupk5G2DL8fC03+jyyPHmueu06
KqUjPMe/sJonWcYkTa4xImDGmEzSyP9mtDqwIbJL/EhuvSK6FYTmOa7LQJC94KrWQcuAAyHrSlGX
Mj1vFY04o0lm8qh5nIZ9aq5N7DAnNVkfnbcQcwTJ8Ba+28mAGsavfNEhqOv8KpPcUx2Oic2cRHNj
4Fq59t0dqnOkLNpjBBCw8KyRqC86+xRSdjwZ3fHUyPhK67yfFUN3HiXavaqVt2MXPUguDjWZ76+j
uD8zOzoTFrMbROvgO9BlPcTNBd34BqZc5zlnZLX1VE0EAAR8Wp8AXENKllLY/5p744Wuw8ssLPjb
/ShhQRphKMK4bmraRWSf0SgOtXuBjxgOrbqK5jhNH0E6HBOKl9KbxQbFg28ZjxKINDySKSCkAXCN
y7DZCQ2IgfG6RbdvYmGQTZBTjjWL+XEs9BNcWYHXaNjBcjAiwPMYOCCKRTPUMNppa5cUBV6E6hvj
p8Gn1x8g9zDPQmchy4BVzGhkkYPKPURQGp1XA1hXxwaf4jCz0rz8Mk5TlPkC/bC3HaZsUSJfpz6u
Pa6Ow22WIppjYHuEyiLNBZckQZdTekDu40B9HtBlOIwM47qs3W8qNnhTvHKnluWcMhGLaTAb4L+6
RkYdyzyU7FI/Y+6ArCj0m2muBCYIGf2qjbJs6tbGsQxCfeogxjWVJWNdQnhaK0N2VOixclhkzIO8
GkV17a5S3DOp8xbwZvqF3gUI/ZQB+JqkXFYDjSKaSTO7iO/92FjYWc5WZ5vkAuGu4luUA3nvBfY9
kix7BnpGOfMFMt4VGHlmTPAndUi7je2etgU5SuiYQAQdvLDTluccRUHAs/3FoJAuY6wLFn8YcY8T
+HzmKfRrq0xfDp4Lel/g+PMiPYKWi+GcwPijNDOui1CRlrpgAGRFfmFKTrkYIQfgy3pHdaqdqyFt
b04/dGYC2ic+pAJJo2IQLAMTukFhhd6PCgKC47ONLyxICRg30IWHEQRV4Sls/Cd+GgSU38fP6waZ
0cctEZS/eo2ginXg2IpML1alXQo45mcEBWtjYP6JNYHDkPkdoMY8oKEgmrUC0/0sm/UKqDEOBNeH
yInTNmgcXflnEVSQ8N92cXljR4GUiQiqToiXCf5vu7ieW8gF3IfmdARFwBiw+QYrDDnsCBIbB85s
KONb1IaC6ZC5J0FpdzND6appmbbnWHAeWg5xt4L/B0SjmFVScIQyxclgASYA0nvF6fK9pcmCnXtL
WSbhUut26kk20gpyZdObJlV+xkjqtoMAp1b6HaM4lEh9R1+4AtboSOMi1iWJw9yHll1i9uJJuNTn
4RfDTr/lQ3bT+rQms5oRj2uaX8oCFEqf3taOdOumw5FvMiTTgpM28o8hkX+rMpu2kWOdl5rxEIPc
nCd8sAlShuYS1jf60dlXRj5YHIUa6l41Ldci7la2090MKr4iXt0tdB3LXzVkt3GuxACF7O+F3xoz
ZOWPqzq+7mgRT23PmBuRfZkFzncEKM9hsQ9M72nhyV5Yz90OPmXeQvhJH9w6++oW6hmIzAfGAaDl
o9KbNwzgVxXoGS93VgHgIj30vsUqxot5bGPlZAIs6vLsoVMcREXIdZIB7EOuYtw56ImzAKaPg6Zi
HRNp1oXu4iIDQSXIS2rxbiGX3dpznJWnGpfD2P4I9PDRSsprLfAQiBrvEm9MZrIgffIlOXKJQEAH
cpq5ZYH4bGFemG114jv9jzh0GGXDwslkV542JQD9RFZvdc+41OvBReEgutY99Uejmi3wYfHnBn0w
XWvuEtC3VQb20jRMandsJN2mDpdwxL/iLx7R629OVd+QJ0Fkod0gEBUytCKmkgvZAukAB3JZ1D5g
zigHBJrzraGIiCOjYTJEQGurGO2FGVQ4fFeU5nQf1sKmblaGuFSCn7+08AHrUmPRUAqCigRb40WE
V7nuQUsywwcgyRNnQOqc2iMP8VDxHSZq7s27crzKPIBTTWpTsbYLV26uRltbBx3yZ5YaI9BTuAA8
4zBnYBc9gKy+sxkIMYfP72UlKxHWdadl16PvKQcrkPcSLAh/JadSOJMsDKxlOVuaIIIVOWimlSw5
q9rvBmKL/ZiExTGd33aC1Ew+ZxRwaHrDAGysTecUZTdZYWAijhAoT2MyoYl3X4mZoVwqAJpHREGZ
3KhHegpio4dI6B3GquNrsyjqblUbA8p5KVV+8IVlcGsSZwufbjMwtIXpJnJ6bdEfzGZ6nYMsc8pY
uJTZiXXOUCeAKFUE/rlW9N5XXA7nVcwjNNF93T3NMZxEj5YmM8IEMsBO33K8K7+Qaec5Rn8hx9Ia
vdVAmzOD1cDO2DH4WdusisPGkl1ab0FfMw6XQYHNqkGbgry7yDKzL5ZkVepd1MlycBJjjss5E/vK
rDetB9lrmnAa0ZVFsKFjijTO3Ug3CsACquVdy7UVV19Vt/WocLVR9SlUE9P9FhkB+BRZBWo4iZ0e
BMh/wuUzApUZ4O/D5ZdH9M+3idoY/Nnf8dIGMCrUYhg4KpbyduT5FC9RD2HU6EDyfCtqox84gE/h
PunOE5WKKPsaL7UD8EsqqFVNthRYVv8oXopo+DZaCrdryiAhraPAvdAFHfbNzLOXJa8ty5RoKQID
KAevMpAOTJ7zqd8arigypLBf38hQUTmjY4t2jqz/EpaVGHcuM9RzwHCGc4MbtWROEysexpUNOQ1a
V502+mFVueMVSq4oE5qKfhvawFXzLLTXJSKSR4olGO5WafTn9KoutSEDGGoOnlUdtVFYad9aDnL7
vHOLtsXyDU5Mq7cBxYAUn3VhXCnzIM8zdU6TscF/T/IwN6ZGoLEUDc5csMvkWZU+GLHenVoAbs/0
Bv2uqZKD9V9kbq9N47ZBUFs4dVtBl2lncqvg4N3G4VlZRx2sD6pX3zmnifBoYPudgsOBTH9tURim
2IIbwh9cRd0Qk5kAxLy7cJK50SeH7jAUmDIngcDUz+Kh+OHb/iVt2lMFB/JGa69iYZ8HDiX8akXo
BAjvpRPJykvEoA1zHQeQPJ2EuduoYiYhSdoPPazSle768mlaFzgYtFRdwFANRAzsE2glp1WKhvao
2i0ot1Fd1ql1MyjSHVZnxQx/P4hMde2p6PtomJ95GG7P4ekFzLfEJRDqVSKzvCn1Wutnpp36l5XX
IlwJixOdIbm/0+GysYoqNXUV0SrVpRJ1RGO8LMzaXvuSopy+2Xvnzw/tOzi+mM//8iwLVVbFpkEj
WIjsmbfPcjGUhedRZZ2Cudl0DDiuxitrAv0DEH66QnCMgnKOEMYcRvbEWOsLbY6U9DT6F8+6AYjh
zX3gjaUJDjkpsCGSXSA87+8D39Gu8So/OwXNuB5iv59GGCQD5QSAxYTEmReti5aiahLQXFs+8azS
XSt8R2ZUIORpYRzjwua21fFb3WfOolKBE9R1vnDt8ZtlYB0bugwP3LG/LWKkE9WyGKZWhUZ6j1kl
gE8mUIbfz9F0XXYKzEh3BDdnu9B7ndWoIbymqkvcY5VJUaMSFDiw6pJ0xcBhlqGVNsnkfN513rHq
Qu2NUmST6d/AKw6Rrm+L066nyVN4grekeTdel61QZTsBTSoDss2XcsSDZjkF0ws5vPrzV/z+EHnx
WZNRvdUdIPOa88sh4oxq5+SJW57KbRIuOQjwESiBM0mBPzcyVKP04l/56W43SHnznr98m1KPtkkb
edVp4WlfDRdgGSw4aJPWSk+ak6xwGdKaAMgtJJiMmGY2Q8DheMRhGgMC4zgL7Ds5oBXdVtIPYjUI
tgKLVvNCdscHwyu+JR0WpkVa5M/slP+UsAbfwO9j8tfmfrOlgOVvXgOyqghZH51kWnhJC1uLny1g
hVhtyrhLQ/6gHqXsfW0BO/yEfjElrMqvoBj0MyDbB/SSUa3jRwpmGvBI/kELWJN/LWB5DyQuTFEu
432oKL88cHFd1jLK5PJZHWZ36OoaSzPSpCMVr3vGl0qOjAJ7rkl157SP3GqRIWyOMaW+LjMDbduU
aT4NFOO4LMcGteAIM/nOXLZdcxXbfX5SjtI0b2UdbNKD0kYAGpIOzQdE4EezO3RcewE0VJ7l1E1N
5dJRdYZkanX6TZeWKz3w02tO2Wbq5fmDieFq1uQ3paLnzKhRjjW94iEenGiWVUw/i65b9XnfM9/O
/PRC1sAQhTr4Gs08cs3Omded7E6TTsLCUBFmzTE4TbfeWI334CZ2t6AtLM+9IS8OkaRNUEaTLpGJ
j8+dulTQx8frAsNkWI+DZc3cgEm8JzFpSt0BMopeUkho36vABNVYnNp1wFTJj+4CVbuuMyefSaH6
mEdGP3dH76ak0ghoXDVI6yLur6wgx32n2E+R8/JXkYN2tIx6jamCyvSOwtG5VkKOXmMUECtVvs4t
8K8jX0Lt5/U0dpmHqrWxGZqqh0pZ3aE7xHmJoeykoJjrdPncjnVl5rvBReAw95USDLLXwyBjsIdU
mIxkmIx0GC3ho1ZoiWlhddmYTjnpGSxNxpIho4X0WGjCYbHyeGYBAZkUktSgLO2oFoCkOq6ilZ2V
yTxIK/vMUfNhGae2OgEgfKikhYNWffmoFi147dHyLiQBGBkD48FBSuK0GNQfMfoOJhBWhC1Q13dO
wcXiPZiW0cSNML6uDZgRKQXK2ouyMx8SDcKa9hlmHAiEmw7H4gDgJ8Lto1LoQ5TqKcI7KTPkkcwi
IM4oDb4mioFxb8/wlDn2NzP3v0QRBiBlg4W26kOCUrE9qTwWN4YOBRIGmRWU8xQ3u0/AezaowqxB
8lwodv4DFtO88ftlU/T2NCU7mcp1qR2acXGYm8m6rw38h7WzQYnOqNb7qRMzWpWz8Fbu3BsjkapV
HTnZ1Jesm7L2DG5bPXZz8inJBn1UFEk4aWT5MhnqtUz/tYjCyyDw5mYTf+3k8h5Fl2yqREisD8zZ
7TJqZph0iHCaAl9gcQ1dWrcx9himLIxenCFifmwdy4XyQKzXZlU93OaaitiXghlkJXhO9VjMhr49
jNxRhvoun3Zxd++z1nNTy91pagYFban8TkvzE4dhjmlnixClLZIH96GWu4VVCoxS3BVTBDsyJEma
ox5k2nRw4miaDsb3WrDsC8QYEzs8Llzm1kGeICVCihD61Tc7LI6YC90o0fhFkaoL7o/5g25MnM45
KYW5Ajc888a2wwg9wlSX+r8Z5cvK0b4NtZOfIa4VTwOUgdfwT6RDYO9MzQGHtFFxpSPZ5efRpW2m
BhY4oFxgqrvVoWtxlbH0jVUCFLh0YZCFGojlJFEvQhlolo2KGv2TCumXzIqmWB/CXAJzMgUifgYt
FoZal8Uz/HtAyHn9RajKiD8Y8gMK+C+Wgv8fxNmXW5xt6s08Bc4yXDSP5XD5WNGvqF5DkPjpE4H1
Ovu//dKfL/QXJTDvfD3kj//9X5vvSZDOgqoug4f6bRBGzYh4+S5oP93T0w3/6RLxhqs337m2Zh2o
hs65oTjy04vsPs7QRXv+MeUCEVpBn5Wur/P0enrDN2v0u1X48wd8Xs4//87vP4Homz8t0OH3//4v
5bmlwL/945Xgb94shXmgaXQHyGJ+uxQwz4FFi/E277V/i6CT9Oy4CDrTemQZLR6I1+/7w/PgcBDQ
cHj9+V4uhfJri+nf2RkfngcQaOgVs82eXlu2Bj9TVIWCag8XATPk/8vx8H4RrANaaDZCXdrzGvBR
3z0PUA9U1sgS2pp7uAa0Cp4363NP7e9j+18cke/XwBZcd5W+IYM28RI/fXtGqjDebSRNCY/7ugi7
Hwz0Wx2NwokmwdOL+u7dIhAo6M9YKEA977z9Ox1F+3jn05FmHKIUmvXbRaAlrcimzPLs5XZQnm9s
l+1gHrAbNAFoed4Ov6YMbAekFyjZRTW/n4tAh2vHJ8E5gBaDQCZy9U+vD2eCSvvCUJB429szYfdF
QCQULICDrOj27UBwoFJEBO/lqdu/M0Gc5Ts/CYbC0Q9+8TeLADaSFFshT9jT7SAoezsugi0UDxlB
CR7hu7DAYUAOJVwdnrPqvV2D3YODg1EwSQAh8rdHAiQe8mYxpdvPc3HnNAEFd9H+1Zmk/vog6AcM
F4ExMVt9eu3pGsjP5/UOARJurSVmZao4G8XrQ86s86ToGjnz8+mzh8fic0WzwyJo9oEFFRnA8vMa
iFLkw8EgIGXwR5+2y94eDJ+RMFkg8AwAAS9r8ctSiNTZNvhP2deDQd89TJI1WjoIQiHvJV6/1g/k
CoQP+ObO3iZMu1fTIDmhQijOx9ORTIkpk0VavafnorZ7gCQCEP8Y6r3kzFTm744EMLDIteEMu691
g7pzfKTfSmFE6YRm3uux934NHKor3QI4BOBWvPb0cVB2zxnVA4g4oEqol59eHx4H48Dg1DQUEkvx
2tcIoXzG4WjLKkcD3kjPr193hmhBOSbKHnvbV9i9zWYcaBhNUEc9f93i+/51a4hyE2zBfvZbkTr5
jJIaCCLoRAGwf/fpwVfwAwvgwr7ugw9Ohf+85U58BCdCiaA/7XjRu32/CPIBP2Q+IRQ+9/lI2L2I
kA90eq2QH59XYttSmMItgFnNnoYIfffMGVVYXSYpMn/XZROgIxVip7Ae28uS+qXE26WSsg5gwqLq
ZL6Ukx8yZx4VVEMsBeLpXm+K3YtKHbtSVdUAwz6HyV+XQrEPxNPAMfk8qtnXo9LYOZGk0UJeZLIc
vykqxWCOMS2Nx+cTZF+X4mVIsNsGobREDwWE4dPr16eCpYBQJ4bae3tKPH87uywCgtwieUTR7Tlg
cMX3oROCA3hbtN72NV5ou9fXT9UVAE/8ip9efNT3i8CmUJGPR/VnX+PFznk07UfdeSJqvnRaPnRi
5QOMMRlXKM/vtX/tR3X3XgOBgFH03zHzQw+WnhtPAu6gwvRuLzMHQbTYbSojmvEUS5yML0/Clu0g
Kg2wPHu7HXavqMwDTBGfaF3PB+OHmgJ0OnL/wM/3tfUmuoW7PQl041UoaTozyN8sAgcjxYRMX2pP
t4O2e/YIxZ69oGNZ/5tFUFgl8F6Os9/V5Uv/Y7dsQUWXCiTLy6xyy6ZAFlQXjKA9fR4EwWTHTaHR
gGQAhXf1c7bwa95IP9o2GFyjrLuniyAkk3ZcBPsAmzKTw+EF3PbhSaBNi3awTtt6TxdB3T1vtA/I
BMSz8AL9/bAI9BmEjAYixs+vPV0Kbee6UmP+ABGLue1LXfkhZ5APaDqhA6Lt7bBy55xBTPA1wd5+
Rb3yhP1aR5h0pfCw50lhA+5fCi0EZHY8GTQUaWTcSl/a8R/78TSmBHFP2dt5nbb7ZAaLbAvgqw6+
9+n1YTuIakv8x+RCvPY1UmjPD+ouOYNJNIT+DfTz70Pw/aZgKWSU7ug57eum2Plk0J6iIYZTIv14
9+lJFhRTs5luvyzPvq7B7sWEBVxF+AJQPj+/flkK+m2k2JyfLx2dPTwdd08eDQomNMWJhc/FBBv/
3fMgSAGcnMA+97XB8NID2+VIIALQbAfc+bvRhHIgCFPUEXubLOx8LtJlgfPA1keK5ulF0Hn/JGAH
jrQb8mz7ei6+HNi7PAmi30b+LPosT68P2wF4F3I8yMDu7SLsXkbQg0eTCKbQS+78a4xgho8JC+jY
va2qX6iNuzwJQshQuG7ShN7+JMhsB1VR8ILZ0xD5QQrj/wJkgDALdIn+8tPrw5kAKQBqiM258e8v
wr8RR/8mKE/9IP7+RE0OHqttDObf/cIrJ/fjz99wbp+Yx+9+U1CVn9/8J3X5f94xl9WnKunNT1+r
pqd3evn7l4/48c3fvdnr53r9x1XwWG7KB4QInljBLzd6uklgOP9vzP++b35lDIuWz+u/baFZvy0c
/nx1/IYeXy/0k44s5Ed+ftRfONz/9sWTzfesfL3Qm4tzuO588UlT19tunJvb+drTTbxp+Uqq12u9
uXee992vj5Z99eErpZVJi+oTLp7W5eavaVbV296CRGbnt5g9xn+dZuXW9Sc87nz9efzXLCt5eF6v
9Wb9KWB3vv6ifKzSbRcn4O188WX8mKav13lz45+xXVdNcp/F3+uPl1c+Y8MeJvljGWziLZf/jC17
iD3Nlkt/xo49eiy3rLkYEO/8fR4FqbflIBAE/Z2vfbyJtpxhgkbxCZeuqsdta/IZG/Q4q/7639R7
jB+3rcxnbNGTzXcO4Nd1+LmNBBNz57U52eBK+HqdN9f+jC0qro0T7ZZbF+j73W/9Mf2ePQTbTi/B
z/yE65cPj99fL/RzbQQOcPeLZ9z763XeXPsztulJtnVNPmOXcun6sXwcttz5Z+zU002+7Wn5jH16
+thuPuaOhiwmsDt/m2flhiPg9UJvvs7P2KLn8ebhcUvuKLpRO9/5Oea525I7MX7a+eKXAaljFXzf
sjJiqLHz9a82DyUlQVpviaViYPAJb5D+NXlEpHvbG3zGVr3aiDco0035fetBJqhan/IpZsGjt+1D
fMauFR9iwQ54CKqHbe/xGdtXvMc62xTNtmglACWfskrHTVD9dXYfVPm2z/EZm1l8jpNN/bjt+p+x
n7l+vflrsinvN9tyBiEr9RkrxXtMccLYcliLVvRnvUPZjK8X+3mmCgLr7m/gb7bWhPqnbGp6GFuX
5lM2c1BFOAg3r4vwZmE+ZS9n8WZb9iB6vbuvOolJsu2Z+ZT9W2/wK4o3TfV6p2+W5lO2rmizbInD
QhJ+56W5fvQ325ZG0At2v/gfncd/p0/IPvsbdvCnxtkfPXF2vzgNomRbX070t3demT8bFOx6839w
29v50r9Xcf7zpbe1Zf9GvXxs1r6qO277s/e9aPEbD/Hjpvyf/wcAAP//</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4.xml"/><Relationship Id="rId4" Type="http://schemas.openxmlformats.org/officeDocument/2006/relationships/chart" Target="../charts/chart3.xml"/><Relationship Id="rId9" Type="http://schemas.microsoft.com/office/2014/relationships/chartEx" Target="../charts/chartEx2.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3" Type="http://schemas.openxmlformats.org/officeDocument/2006/relationships/image" Target="../media/image3.png"/><Relationship Id="rId7" Type="http://schemas.openxmlformats.org/officeDocument/2006/relationships/image" Target="../media/image6.png"/><Relationship Id="rId2" Type="http://schemas.openxmlformats.org/officeDocument/2006/relationships/hyperlink" Target="https://www.linkedin.com/in/vipulsourabh/" TargetMode="External"/><Relationship Id="rId1" Type="http://schemas.openxmlformats.org/officeDocument/2006/relationships/hyperlink" Target="https://github.com/vipulsourabh" TargetMode="External"/><Relationship Id="rId6" Type="http://schemas.openxmlformats.org/officeDocument/2006/relationships/image" Target="../media/image5.png"/><Relationship Id="rId11" Type="http://schemas.openxmlformats.org/officeDocument/2006/relationships/image" Target="../media/image9.png"/><Relationship Id="rId5" Type="http://schemas.openxmlformats.org/officeDocument/2006/relationships/image" Target="../media/image4.png"/><Relationship Id="rId10" Type="http://schemas.openxmlformats.org/officeDocument/2006/relationships/hyperlink" Target="mailto:vipulsourabh@gmail.com" TargetMode="External"/><Relationship Id="rId4" Type="http://schemas.openxmlformats.org/officeDocument/2006/relationships/hyperlink" Target="https://github.com/vipulsourabh/excel-analytics-portfolio" TargetMode="External"/><Relationship Id="rId9" Type="http://schemas.openxmlformats.org/officeDocument/2006/relationships/image" Target="../media/image8.png"/></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2" Type="http://schemas.microsoft.com/office/2014/relationships/chartEx" Target="../charts/chartEx4.xml"/><Relationship Id="rId1" Type="http://schemas.microsoft.com/office/2014/relationships/chartEx" Target="../charts/chartEx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hyperlink" Target="https://chandoo.org/wp/"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3</xdr:col>
      <xdr:colOff>95249</xdr:colOff>
      <xdr:row>0</xdr:row>
      <xdr:rowOff>0</xdr:rowOff>
    </xdr:from>
    <xdr:to>
      <xdr:col>22</xdr:col>
      <xdr:colOff>543821</xdr:colOff>
      <xdr:row>38</xdr:row>
      <xdr:rowOff>0</xdr:rowOff>
    </xdr:to>
    <xdr:sp macro="" textlink="">
      <xdr:nvSpPr>
        <xdr:cNvPr id="3" name="Rectangle 2">
          <a:extLst>
            <a:ext uri="{FF2B5EF4-FFF2-40B4-BE49-F238E27FC236}">
              <a16:creationId xmlns:a16="http://schemas.microsoft.com/office/drawing/2014/main" id="{B5993DAE-877B-6B0D-0515-1999AE08C488}"/>
            </a:ext>
          </a:extLst>
        </xdr:cNvPr>
        <xdr:cNvSpPr/>
      </xdr:nvSpPr>
      <xdr:spPr>
        <a:xfrm>
          <a:off x="2168337" y="0"/>
          <a:ext cx="11945808" cy="6813176"/>
        </a:xfrm>
        <a:prstGeom prst="rect">
          <a:avLst/>
        </a:prstGeom>
        <a:solidFill>
          <a:srgbClr val="B4DAAE"/>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3</xdr:col>
      <xdr:colOff>130660</xdr:colOff>
      <xdr:row>38</xdr:row>
      <xdr:rowOff>0</xdr:rowOff>
    </xdr:to>
    <xdr:sp macro="" textlink="">
      <xdr:nvSpPr>
        <xdr:cNvPr id="2" name="Rectangle 1">
          <a:extLst>
            <a:ext uri="{FF2B5EF4-FFF2-40B4-BE49-F238E27FC236}">
              <a16:creationId xmlns:a16="http://schemas.microsoft.com/office/drawing/2014/main" id="{63AC8CDB-8918-A88D-EE42-0E7827EBAD73}"/>
            </a:ext>
          </a:extLst>
        </xdr:cNvPr>
        <xdr:cNvSpPr/>
      </xdr:nvSpPr>
      <xdr:spPr>
        <a:xfrm>
          <a:off x="0" y="0"/>
          <a:ext cx="2203748" cy="6813176"/>
        </a:xfrm>
        <a:prstGeom prst="rect">
          <a:avLst/>
        </a:prstGeom>
        <a:solidFill>
          <a:schemeClr val="accent1">
            <a:lumMod val="5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92336</xdr:colOff>
      <xdr:row>2</xdr:row>
      <xdr:rowOff>33171</xdr:rowOff>
    </xdr:from>
    <xdr:to>
      <xdr:col>1</xdr:col>
      <xdr:colOff>986117</xdr:colOff>
      <xdr:row>4</xdr:row>
      <xdr:rowOff>63949</xdr:rowOff>
    </xdr:to>
    <xdr:sp macro="" textlink="'KPI Cards'!A6">
      <xdr:nvSpPr>
        <xdr:cNvPr id="4" name="TextBox 3">
          <a:extLst>
            <a:ext uri="{FF2B5EF4-FFF2-40B4-BE49-F238E27FC236}">
              <a16:creationId xmlns:a16="http://schemas.microsoft.com/office/drawing/2014/main" id="{27E4602A-1331-AE4F-AC95-B5F7D13902C5}"/>
            </a:ext>
          </a:extLst>
        </xdr:cNvPr>
        <xdr:cNvSpPr txBox="1"/>
      </xdr:nvSpPr>
      <xdr:spPr>
        <a:xfrm>
          <a:off x="352312" y="391759"/>
          <a:ext cx="893781"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91638B1-CE49-49E8-BF24-E209202BA02B}" type="TxLink">
            <a:rPr lang="en-US" sz="2000" b="1" i="0" u="none" strike="noStrike">
              <a:solidFill>
                <a:schemeClr val="bg1">
                  <a:lumMod val="85000"/>
                </a:schemeClr>
              </a:solidFill>
              <a:latin typeface="Aptos Narrow"/>
            </a:rPr>
            <a:pPr algn="ctr"/>
            <a:t>2,400</a:t>
          </a:fld>
          <a:endParaRPr lang="en-IN" sz="2000" b="1">
            <a:solidFill>
              <a:schemeClr val="bg1">
                <a:lumMod val="85000"/>
              </a:schemeClr>
            </a:solidFill>
          </a:endParaRPr>
        </a:p>
      </xdr:txBody>
    </xdr:sp>
    <xdr:clientData/>
  </xdr:twoCellAnchor>
  <xdr:twoCellAnchor>
    <xdr:from>
      <xdr:col>1</xdr:col>
      <xdr:colOff>92336</xdr:colOff>
      <xdr:row>6</xdr:row>
      <xdr:rowOff>45870</xdr:rowOff>
    </xdr:from>
    <xdr:to>
      <xdr:col>1</xdr:col>
      <xdr:colOff>986117</xdr:colOff>
      <xdr:row>8</xdr:row>
      <xdr:rowOff>76648</xdr:rowOff>
    </xdr:to>
    <xdr:sp macro="" textlink="'KPI Cards'!B6">
      <xdr:nvSpPr>
        <xdr:cNvPr id="5" name="TextBox 4">
          <a:extLst>
            <a:ext uri="{FF2B5EF4-FFF2-40B4-BE49-F238E27FC236}">
              <a16:creationId xmlns:a16="http://schemas.microsoft.com/office/drawing/2014/main" id="{5E5D7E53-D9C7-8EC7-AD9F-91293E56FC3F}"/>
            </a:ext>
          </a:extLst>
        </xdr:cNvPr>
        <xdr:cNvSpPr txBox="1"/>
      </xdr:nvSpPr>
      <xdr:spPr>
        <a:xfrm>
          <a:off x="352312" y="1121635"/>
          <a:ext cx="893781"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D368980-95DB-475E-8113-543708FEB589}" type="TxLink">
            <a:rPr lang="en-US" sz="2000" b="1" i="0" u="none" strike="noStrike">
              <a:solidFill>
                <a:schemeClr val="bg1">
                  <a:lumMod val="85000"/>
                </a:schemeClr>
              </a:solidFill>
              <a:latin typeface="Aptos Narrow"/>
              <a:ea typeface="+mn-ea"/>
              <a:cs typeface="+mn-cs"/>
            </a:rPr>
            <a:pPr marL="0" indent="0" algn="ctr"/>
            <a:t>11,997</a:t>
          </a:fld>
          <a:endParaRPr lang="en-IN" sz="2000" b="1" i="0" u="none" strike="noStrike">
            <a:solidFill>
              <a:schemeClr val="bg1">
                <a:lumMod val="85000"/>
              </a:schemeClr>
            </a:solidFill>
            <a:latin typeface="Aptos Narrow"/>
            <a:ea typeface="+mn-ea"/>
            <a:cs typeface="+mn-cs"/>
          </a:endParaRPr>
        </a:p>
      </xdr:txBody>
    </xdr:sp>
    <xdr:clientData/>
  </xdr:twoCellAnchor>
  <xdr:twoCellAnchor>
    <xdr:from>
      <xdr:col>1</xdr:col>
      <xdr:colOff>92336</xdr:colOff>
      <xdr:row>10</xdr:row>
      <xdr:rowOff>35711</xdr:rowOff>
    </xdr:from>
    <xdr:to>
      <xdr:col>1</xdr:col>
      <xdr:colOff>1139595</xdr:colOff>
      <xdr:row>12</xdr:row>
      <xdr:rowOff>66489</xdr:rowOff>
    </xdr:to>
    <xdr:sp macro="" textlink="'KPI Cards'!C6">
      <xdr:nvSpPr>
        <xdr:cNvPr id="6" name="TextBox 5">
          <a:extLst>
            <a:ext uri="{FF2B5EF4-FFF2-40B4-BE49-F238E27FC236}">
              <a16:creationId xmlns:a16="http://schemas.microsoft.com/office/drawing/2014/main" id="{EDD2CCE7-BEC0-6997-6BF8-884E02C9CE18}"/>
            </a:ext>
          </a:extLst>
        </xdr:cNvPr>
        <xdr:cNvSpPr txBox="1"/>
      </xdr:nvSpPr>
      <xdr:spPr>
        <a:xfrm>
          <a:off x="352312" y="1828652"/>
          <a:ext cx="1047259"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250C79B-CC8C-430E-93E2-C59204160690}" type="TxLink">
            <a:rPr lang="en-US" sz="2000" b="1" i="0" u="none" strike="noStrike">
              <a:gradFill flip="none" rotWithShape="1">
                <a:gsLst>
                  <a:gs pos="0">
                    <a:srgbClr val="DEA900">
                      <a:shade val="30000"/>
                      <a:satMod val="115000"/>
                    </a:srgbClr>
                  </a:gs>
                  <a:gs pos="50000">
                    <a:srgbClr val="DEA900">
                      <a:shade val="67500"/>
                      <a:satMod val="115000"/>
                    </a:srgbClr>
                  </a:gs>
                  <a:gs pos="100000">
                    <a:srgbClr val="DEA900">
                      <a:shade val="100000"/>
                      <a:satMod val="115000"/>
                    </a:srgbClr>
                  </a:gs>
                </a:gsLst>
                <a:lin ang="13500000" scaled="1"/>
                <a:tileRect/>
              </a:gradFill>
              <a:latin typeface="Aptos Narrow"/>
              <a:ea typeface="+mn-ea"/>
              <a:cs typeface="+mn-cs"/>
            </a:rPr>
            <a:pPr marL="0" indent="0" algn="ctr"/>
            <a:t>$649.0k</a:t>
          </a:fld>
          <a:endParaRPr lang="en-IN" sz="2000" b="1" i="0" u="none" strike="noStrike">
            <a:gradFill flip="none" rotWithShape="1">
              <a:gsLst>
                <a:gs pos="0">
                  <a:srgbClr val="DEA900">
                    <a:shade val="30000"/>
                    <a:satMod val="115000"/>
                  </a:srgbClr>
                </a:gs>
                <a:gs pos="50000">
                  <a:srgbClr val="DEA900">
                    <a:shade val="67500"/>
                    <a:satMod val="115000"/>
                  </a:srgbClr>
                </a:gs>
                <a:gs pos="100000">
                  <a:srgbClr val="DEA900">
                    <a:shade val="100000"/>
                    <a:satMod val="115000"/>
                  </a:srgbClr>
                </a:gs>
              </a:gsLst>
              <a:lin ang="13500000" scaled="1"/>
              <a:tileRect/>
            </a:gradFill>
            <a:latin typeface="Aptos Narrow"/>
            <a:ea typeface="+mn-ea"/>
            <a:cs typeface="+mn-cs"/>
          </a:endParaRPr>
        </a:p>
      </xdr:txBody>
    </xdr:sp>
    <xdr:clientData/>
  </xdr:twoCellAnchor>
  <xdr:twoCellAnchor>
    <xdr:from>
      <xdr:col>1</xdr:col>
      <xdr:colOff>92336</xdr:colOff>
      <xdr:row>14</xdr:row>
      <xdr:rowOff>17930</xdr:rowOff>
    </xdr:from>
    <xdr:to>
      <xdr:col>1</xdr:col>
      <xdr:colOff>986117</xdr:colOff>
      <xdr:row>16</xdr:row>
      <xdr:rowOff>48708</xdr:rowOff>
    </xdr:to>
    <xdr:sp macro="" textlink="'KPI Cards'!D6">
      <xdr:nvSpPr>
        <xdr:cNvPr id="7" name="TextBox 6">
          <a:extLst>
            <a:ext uri="{FF2B5EF4-FFF2-40B4-BE49-F238E27FC236}">
              <a16:creationId xmlns:a16="http://schemas.microsoft.com/office/drawing/2014/main" id="{8368225B-1335-402B-5800-B6A742845E8A}"/>
            </a:ext>
          </a:extLst>
        </xdr:cNvPr>
        <xdr:cNvSpPr txBox="1"/>
      </xdr:nvSpPr>
      <xdr:spPr>
        <a:xfrm>
          <a:off x="352312" y="2528048"/>
          <a:ext cx="893781"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44A4C88-C395-42BA-ADE1-F75C9EB7D8CE}" type="TxLink">
            <a:rPr lang="en-US" sz="2000" b="1" i="0" u="none" strike="noStrike">
              <a:solidFill>
                <a:schemeClr val="bg1">
                  <a:lumMod val="85000"/>
                </a:schemeClr>
              </a:solidFill>
              <a:latin typeface="Aptos Narrow"/>
              <a:ea typeface="+mn-ea"/>
              <a:cs typeface="+mn-cs"/>
            </a:rPr>
            <a:pPr marL="0" indent="0" algn="ctr"/>
            <a:t>4</a:t>
          </a:fld>
          <a:endParaRPr lang="en-IN" sz="2000" b="1" i="0" u="none" strike="noStrike">
            <a:solidFill>
              <a:schemeClr val="bg1">
                <a:lumMod val="85000"/>
              </a:schemeClr>
            </a:solidFill>
            <a:latin typeface="Aptos Narrow"/>
            <a:ea typeface="+mn-ea"/>
            <a:cs typeface="+mn-cs"/>
          </a:endParaRPr>
        </a:p>
      </xdr:txBody>
    </xdr:sp>
    <xdr:clientData/>
  </xdr:twoCellAnchor>
  <xdr:twoCellAnchor>
    <xdr:from>
      <xdr:col>1</xdr:col>
      <xdr:colOff>92336</xdr:colOff>
      <xdr:row>18</xdr:row>
      <xdr:rowOff>23010</xdr:rowOff>
    </xdr:from>
    <xdr:to>
      <xdr:col>1</xdr:col>
      <xdr:colOff>986117</xdr:colOff>
      <xdr:row>20</xdr:row>
      <xdr:rowOff>53789</xdr:rowOff>
    </xdr:to>
    <xdr:sp macro="" textlink="'KPI Cards'!E6">
      <xdr:nvSpPr>
        <xdr:cNvPr id="8" name="TextBox 7">
          <a:extLst>
            <a:ext uri="{FF2B5EF4-FFF2-40B4-BE49-F238E27FC236}">
              <a16:creationId xmlns:a16="http://schemas.microsoft.com/office/drawing/2014/main" id="{716BB605-4371-4336-5E1B-B0E5445D20EE}"/>
            </a:ext>
          </a:extLst>
        </xdr:cNvPr>
        <xdr:cNvSpPr txBox="1"/>
      </xdr:nvSpPr>
      <xdr:spPr>
        <a:xfrm>
          <a:off x="352312" y="3250304"/>
          <a:ext cx="893781" cy="389367"/>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713EC1-3C8E-430D-921D-F2BDA9D3E4B3}" type="TxLink">
            <a:rPr lang="en-US" sz="2000" b="1" i="0" u="none" strike="noStrike">
              <a:solidFill>
                <a:schemeClr val="bg1">
                  <a:lumMod val="85000"/>
                </a:schemeClr>
              </a:solidFill>
              <a:latin typeface="Aptos Narrow"/>
              <a:ea typeface="+mn-ea"/>
              <a:cs typeface="+mn-cs"/>
            </a:rPr>
            <a:pPr marL="0" indent="0" algn="ctr"/>
            <a:t>2</a:t>
          </a:fld>
          <a:endParaRPr lang="en-IN" sz="2000" b="1" i="0" u="none" strike="noStrike">
            <a:solidFill>
              <a:schemeClr val="bg1">
                <a:lumMod val="85000"/>
              </a:schemeClr>
            </a:solidFill>
            <a:latin typeface="Aptos Narrow"/>
            <a:ea typeface="+mn-ea"/>
            <a:cs typeface="+mn-cs"/>
          </a:endParaRPr>
        </a:p>
      </xdr:txBody>
    </xdr:sp>
    <xdr:clientData/>
  </xdr:twoCellAnchor>
  <xdr:twoCellAnchor>
    <xdr:from>
      <xdr:col>1</xdr:col>
      <xdr:colOff>65442</xdr:colOff>
      <xdr:row>1</xdr:row>
      <xdr:rowOff>11654</xdr:rowOff>
    </xdr:from>
    <xdr:to>
      <xdr:col>1</xdr:col>
      <xdr:colOff>1194098</xdr:colOff>
      <xdr:row>2</xdr:row>
      <xdr:rowOff>160469</xdr:rowOff>
    </xdr:to>
    <xdr:sp macro="" textlink="">
      <xdr:nvSpPr>
        <xdr:cNvPr id="9" name="TextBox 8">
          <a:extLst>
            <a:ext uri="{FF2B5EF4-FFF2-40B4-BE49-F238E27FC236}">
              <a16:creationId xmlns:a16="http://schemas.microsoft.com/office/drawing/2014/main" id="{E5D53457-3C87-32D9-2B60-987595CDA5E3}"/>
            </a:ext>
          </a:extLst>
        </xdr:cNvPr>
        <xdr:cNvSpPr txBox="1"/>
      </xdr:nvSpPr>
      <xdr:spPr>
        <a:xfrm>
          <a:off x="325418" y="190948"/>
          <a:ext cx="1128656" cy="328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 </a:t>
          </a:r>
          <a:r>
            <a:rPr lang="en-IN" sz="1400" b="1">
              <a:solidFill>
                <a:schemeClr val="bg1">
                  <a:lumMod val="95000"/>
                </a:schemeClr>
              </a:solidFill>
            </a:rPr>
            <a:t>Orders</a:t>
          </a:r>
          <a:endParaRPr lang="en-IN" sz="1100" b="1">
            <a:solidFill>
              <a:schemeClr val="bg1">
                <a:lumMod val="95000"/>
              </a:schemeClr>
            </a:solidFill>
          </a:endParaRPr>
        </a:p>
      </xdr:txBody>
    </xdr:sp>
    <xdr:clientData/>
  </xdr:twoCellAnchor>
  <xdr:twoCellAnchor>
    <xdr:from>
      <xdr:col>1</xdr:col>
      <xdr:colOff>65442</xdr:colOff>
      <xdr:row>5</xdr:row>
      <xdr:rowOff>1494</xdr:rowOff>
    </xdr:from>
    <xdr:to>
      <xdr:col>2</xdr:col>
      <xdr:colOff>167639</xdr:colOff>
      <xdr:row>6</xdr:row>
      <xdr:rowOff>157928</xdr:rowOff>
    </xdr:to>
    <xdr:sp macro="" textlink="">
      <xdr:nvSpPr>
        <xdr:cNvPr id="10" name="TextBox 9">
          <a:extLst>
            <a:ext uri="{FF2B5EF4-FFF2-40B4-BE49-F238E27FC236}">
              <a16:creationId xmlns:a16="http://schemas.microsoft.com/office/drawing/2014/main" id="{68362E49-1984-D59D-D188-DCD3066BD51D}"/>
            </a:ext>
          </a:extLst>
        </xdr:cNvPr>
        <xdr:cNvSpPr txBox="1"/>
      </xdr:nvSpPr>
      <xdr:spPr>
        <a:xfrm>
          <a:off x="325418" y="897965"/>
          <a:ext cx="1662056" cy="33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a:solidFill>
                <a:schemeClr val="bg1">
                  <a:lumMod val="95000"/>
                </a:schemeClr>
              </a:solidFill>
              <a:latin typeface="+mn-lt"/>
              <a:ea typeface="+mn-ea"/>
              <a:cs typeface="+mn-cs"/>
            </a:rPr>
            <a:t>👕 </a:t>
          </a:r>
          <a:r>
            <a:rPr lang="en-IN" sz="1400" b="1">
              <a:solidFill>
                <a:schemeClr val="bg1">
                  <a:lumMod val="95000"/>
                </a:schemeClr>
              </a:solidFill>
              <a:latin typeface="+mn-lt"/>
              <a:ea typeface="+mn-ea"/>
              <a:cs typeface="+mn-cs"/>
            </a:rPr>
            <a:t>Quantity</a:t>
          </a:r>
        </a:p>
      </xdr:txBody>
    </xdr:sp>
    <xdr:clientData/>
  </xdr:twoCellAnchor>
  <xdr:twoCellAnchor>
    <xdr:from>
      <xdr:col>1</xdr:col>
      <xdr:colOff>65442</xdr:colOff>
      <xdr:row>8</xdr:row>
      <xdr:rowOff>178248</xdr:rowOff>
    </xdr:from>
    <xdr:to>
      <xdr:col>1</xdr:col>
      <xdr:colOff>1247438</xdr:colOff>
      <xdr:row>10</xdr:row>
      <xdr:rowOff>155389</xdr:rowOff>
    </xdr:to>
    <xdr:sp macro="" textlink="">
      <xdr:nvSpPr>
        <xdr:cNvPr id="11" name="TextBox 10">
          <a:extLst>
            <a:ext uri="{FF2B5EF4-FFF2-40B4-BE49-F238E27FC236}">
              <a16:creationId xmlns:a16="http://schemas.microsoft.com/office/drawing/2014/main" id="{C38AEAE5-5C77-23E3-89D8-74FB46B96693}"/>
            </a:ext>
          </a:extLst>
        </xdr:cNvPr>
        <xdr:cNvSpPr txBox="1"/>
      </xdr:nvSpPr>
      <xdr:spPr>
        <a:xfrm>
          <a:off x="325418" y="1612601"/>
          <a:ext cx="1181996" cy="3357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a:solidFill>
                <a:schemeClr val="bg1">
                  <a:lumMod val="95000"/>
                </a:schemeClr>
              </a:solidFill>
              <a:latin typeface="+mn-lt"/>
              <a:ea typeface="+mn-ea"/>
              <a:cs typeface="+mn-cs"/>
            </a:rPr>
            <a:t>💰 </a:t>
          </a:r>
          <a:r>
            <a:rPr lang="en-IN" sz="1400" b="1">
              <a:solidFill>
                <a:schemeClr val="bg1">
                  <a:lumMod val="95000"/>
                </a:schemeClr>
              </a:solidFill>
              <a:latin typeface="+mn-lt"/>
              <a:ea typeface="+mn-ea"/>
              <a:cs typeface="+mn-cs"/>
            </a:rPr>
            <a:t>Amount</a:t>
          </a:r>
        </a:p>
      </xdr:txBody>
    </xdr:sp>
    <xdr:clientData/>
  </xdr:twoCellAnchor>
  <xdr:twoCellAnchor>
    <xdr:from>
      <xdr:col>1</xdr:col>
      <xdr:colOff>65442</xdr:colOff>
      <xdr:row>12</xdr:row>
      <xdr:rowOff>175709</xdr:rowOff>
    </xdr:from>
    <xdr:to>
      <xdr:col>2</xdr:col>
      <xdr:colOff>114299</xdr:colOff>
      <xdr:row>14</xdr:row>
      <xdr:rowOff>152848</xdr:rowOff>
    </xdr:to>
    <xdr:sp macro="" textlink="">
      <xdr:nvSpPr>
        <xdr:cNvPr id="12" name="TextBox 11">
          <a:extLst>
            <a:ext uri="{FF2B5EF4-FFF2-40B4-BE49-F238E27FC236}">
              <a16:creationId xmlns:a16="http://schemas.microsoft.com/office/drawing/2014/main" id="{8C2049DB-6F08-956A-B59C-1A07CFE7D219}"/>
            </a:ext>
          </a:extLst>
        </xdr:cNvPr>
        <xdr:cNvSpPr txBox="1"/>
      </xdr:nvSpPr>
      <xdr:spPr>
        <a:xfrm>
          <a:off x="325418" y="2327238"/>
          <a:ext cx="1608716" cy="33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a:solidFill>
                <a:schemeClr val="bg1">
                  <a:lumMod val="95000"/>
                </a:schemeClr>
              </a:solidFill>
              <a:latin typeface="+mn-lt"/>
              <a:ea typeface="+mn-ea"/>
              <a:cs typeface="+mn-cs"/>
            </a:rPr>
            <a:t>⭐ </a:t>
          </a:r>
          <a:r>
            <a:rPr lang="en-IN" sz="1400" b="1">
              <a:solidFill>
                <a:schemeClr val="bg1">
                  <a:lumMod val="95000"/>
                </a:schemeClr>
              </a:solidFill>
              <a:latin typeface="+mn-lt"/>
              <a:ea typeface="+mn-ea"/>
              <a:cs typeface="+mn-cs"/>
            </a:rPr>
            <a:t>Avg. Rating</a:t>
          </a:r>
        </a:p>
      </xdr:txBody>
    </xdr:sp>
    <xdr:clientData/>
  </xdr:twoCellAnchor>
  <xdr:twoCellAnchor>
    <xdr:from>
      <xdr:col>1</xdr:col>
      <xdr:colOff>65442</xdr:colOff>
      <xdr:row>16</xdr:row>
      <xdr:rowOff>173168</xdr:rowOff>
    </xdr:from>
    <xdr:to>
      <xdr:col>2</xdr:col>
      <xdr:colOff>256838</xdr:colOff>
      <xdr:row>18</xdr:row>
      <xdr:rowOff>150308</xdr:rowOff>
    </xdr:to>
    <xdr:sp macro="" textlink="">
      <xdr:nvSpPr>
        <xdr:cNvPr id="15" name="TextBox 14">
          <a:extLst>
            <a:ext uri="{FF2B5EF4-FFF2-40B4-BE49-F238E27FC236}">
              <a16:creationId xmlns:a16="http://schemas.microsoft.com/office/drawing/2014/main" id="{A49FD337-4FBD-D6A9-07EE-4DDFF6722A4F}"/>
            </a:ext>
          </a:extLst>
        </xdr:cNvPr>
        <xdr:cNvSpPr txBox="1"/>
      </xdr:nvSpPr>
      <xdr:spPr>
        <a:xfrm>
          <a:off x="325418" y="3041874"/>
          <a:ext cx="1751255" cy="33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a:solidFill>
                <a:schemeClr val="bg1">
                  <a:lumMod val="95000"/>
                </a:schemeClr>
              </a:solidFill>
              <a:latin typeface="+mn-lt"/>
              <a:ea typeface="+mn-ea"/>
              <a:cs typeface="+mn-cs"/>
            </a:rPr>
            <a:t>📅  </a:t>
          </a:r>
          <a:r>
            <a:rPr lang="en-IN" sz="1400" b="1">
              <a:solidFill>
                <a:schemeClr val="bg1">
                  <a:lumMod val="95000"/>
                </a:schemeClr>
              </a:solidFill>
              <a:latin typeface="+mn-lt"/>
              <a:ea typeface="+mn-ea"/>
              <a:cs typeface="+mn-cs"/>
            </a:rPr>
            <a:t>Days to Deliver</a:t>
          </a:r>
        </a:p>
      </xdr:txBody>
    </xdr:sp>
    <xdr:clientData/>
  </xdr:twoCellAnchor>
  <xdr:twoCellAnchor>
    <xdr:from>
      <xdr:col>3</xdr:col>
      <xdr:colOff>348616</xdr:colOff>
      <xdr:row>4</xdr:row>
      <xdr:rowOff>90320</xdr:rowOff>
    </xdr:from>
    <xdr:to>
      <xdr:col>10</xdr:col>
      <xdr:colOff>417308</xdr:colOff>
      <xdr:row>15</xdr:row>
      <xdr:rowOff>30036</xdr:rowOff>
    </xdr:to>
    <xdr:graphicFrame macro="">
      <xdr:nvGraphicFramePr>
        <xdr:cNvPr id="20" name="Trends">
          <a:extLst>
            <a:ext uri="{FF2B5EF4-FFF2-40B4-BE49-F238E27FC236}">
              <a16:creationId xmlns:a16="http://schemas.microsoft.com/office/drawing/2014/main" id="{9F7BE874-6CBE-41A1-A28D-24440FBCA4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571183</xdr:colOff>
      <xdr:row>4</xdr:row>
      <xdr:rowOff>94130</xdr:rowOff>
    </xdr:from>
    <xdr:to>
      <xdr:col>16</xdr:col>
      <xdr:colOff>322153</xdr:colOff>
      <xdr:row>15</xdr:row>
      <xdr:rowOff>22416</xdr:rowOff>
    </xdr:to>
    <xdr:grpSp>
      <xdr:nvGrpSpPr>
        <xdr:cNvPr id="23" name="Group 22">
          <a:extLst>
            <a:ext uri="{FF2B5EF4-FFF2-40B4-BE49-F238E27FC236}">
              <a16:creationId xmlns:a16="http://schemas.microsoft.com/office/drawing/2014/main" id="{F8C99534-C4F0-B9F3-B659-7D37A52AC3F6}"/>
            </a:ext>
          </a:extLst>
        </xdr:cNvPr>
        <xdr:cNvGrpSpPr/>
      </xdr:nvGrpSpPr>
      <xdr:grpSpPr>
        <a:xfrm>
          <a:off x="6942350" y="817607"/>
          <a:ext cx="3437780" cy="1899749"/>
          <a:chOff x="6530340" y="236220"/>
          <a:chExt cx="3420000" cy="1944000"/>
        </a:xfrm>
      </xdr:grpSpPr>
      <xdr:sp macro="" textlink="">
        <xdr:nvSpPr>
          <xdr:cNvPr id="21" name="Rectangle: Rounded Corners 20">
            <a:extLst>
              <a:ext uri="{FF2B5EF4-FFF2-40B4-BE49-F238E27FC236}">
                <a16:creationId xmlns:a16="http://schemas.microsoft.com/office/drawing/2014/main" id="{E6707625-95A4-DF43-4311-F20AA3050A61}"/>
              </a:ext>
            </a:extLst>
          </xdr:cNvPr>
          <xdr:cNvSpPr/>
        </xdr:nvSpPr>
        <xdr:spPr>
          <a:xfrm>
            <a:off x="6530340" y="236220"/>
            <a:ext cx="3420000" cy="1944000"/>
          </a:xfrm>
          <a:prstGeom prst="roundRect">
            <a:avLst>
              <a:gd name="adj" fmla="val 499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xmlns:a14="http://schemas.microsoft.com/office/drawing/2010/main">
        <mc:Choice Requires="a14">
          <xdr:pic>
            <xdr:nvPicPr>
              <xdr:cNvPr id="19" name="Picture 18">
                <a:extLst>
                  <a:ext uri="{FF2B5EF4-FFF2-40B4-BE49-F238E27FC236}">
                    <a16:creationId xmlns:a16="http://schemas.microsoft.com/office/drawing/2014/main" id="{89A2C67B-737C-0F99-7B40-179AF45FBB60}"/>
                  </a:ext>
                </a:extLst>
              </xdr:cNvPr>
              <xdr:cNvPicPr>
                <a:picLocks noChangeAspect="1" noChangeArrowheads="1"/>
                <a:extLst>
                  <a:ext uri="{84589F7E-364E-4C9E-8A38-B11213B215E9}">
                    <a14:cameraTool cellRange="'Customer preference'!$H$5:$L$10" spid="_x0000_s6160"/>
                  </a:ext>
                </a:extLst>
              </xdr:cNvPicPr>
            </xdr:nvPicPr>
            <xdr:blipFill>
              <a:blip xmlns:r="http://schemas.openxmlformats.org/officeDocument/2006/relationships" r:embed="rId2"/>
              <a:srcRect/>
              <a:stretch>
                <a:fillRect/>
              </a:stretch>
            </xdr:blipFill>
            <xdr:spPr bwMode="auto">
              <a:xfrm>
                <a:off x="6743699" y="650507"/>
                <a:ext cx="3064279" cy="134885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16</xdr:col>
      <xdr:colOff>448798</xdr:colOff>
      <xdr:row>4</xdr:row>
      <xdr:rowOff>90320</xdr:rowOff>
    </xdr:from>
    <xdr:to>
      <xdr:col>22</xdr:col>
      <xdr:colOff>265469</xdr:colOff>
      <xdr:row>15</xdr:row>
      <xdr:rowOff>30036</xdr:rowOff>
    </xdr:to>
    <xdr:graphicFrame macro="">
      <xdr:nvGraphicFramePr>
        <xdr:cNvPr id="22" name="Chart 21">
          <a:extLst>
            <a:ext uri="{FF2B5EF4-FFF2-40B4-BE49-F238E27FC236}">
              <a16:creationId xmlns:a16="http://schemas.microsoft.com/office/drawing/2014/main" id="{DF5A4875-4F0D-42D0-87A6-D836442A4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379097</xdr:colOff>
      <xdr:row>15</xdr:row>
      <xdr:rowOff>110004</xdr:rowOff>
    </xdr:from>
    <xdr:to>
      <xdr:col>9</xdr:col>
      <xdr:colOff>67349</xdr:colOff>
      <xdr:row>34</xdr:row>
      <xdr:rowOff>143341</xdr:rowOff>
    </xdr:to>
    <xdr:graphicFrame macro="">
      <xdr:nvGraphicFramePr>
        <xdr:cNvPr id="24" name="Chart 23">
          <a:extLst>
            <a:ext uri="{FF2B5EF4-FFF2-40B4-BE49-F238E27FC236}">
              <a16:creationId xmlns:a16="http://schemas.microsoft.com/office/drawing/2014/main" id="{A7B8F49D-B700-4DAF-933F-FA5759D5C0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97472</xdr:colOff>
      <xdr:row>24</xdr:row>
      <xdr:rowOff>166687</xdr:rowOff>
    </xdr:from>
    <xdr:to>
      <xdr:col>7</xdr:col>
      <xdr:colOff>205740</xdr:colOff>
      <xdr:row>32</xdr:row>
      <xdr:rowOff>37465</xdr:rowOff>
    </xdr:to>
    <xdr:graphicFrame macro="">
      <xdr:nvGraphicFramePr>
        <xdr:cNvPr id="25" name="Chart 24">
          <a:extLst>
            <a:ext uri="{FF2B5EF4-FFF2-40B4-BE49-F238E27FC236}">
              <a16:creationId xmlns:a16="http://schemas.microsoft.com/office/drawing/2014/main" id="{78DF9B22-F534-426A-A01C-A49103CDDC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361484</xdr:colOff>
      <xdr:row>19</xdr:row>
      <xdr:rowOff>140074</xdr:rowOff>
    </xdr:from>
    <xdr:to>
      <xdr:col>14</xdr:col>
      <xdr:colOff>345609</xdr:colOff>
      <xdr:row>27</xdr:row>
      <xdr:rowOff>16342</xdr:rowOff>
    </xdr:to>
    <mc:AlternateContent xmlns:mc="http://schemas.openxmlformats.org/markup-compatibility/2006">
      <mc:Choice xmlns:cx4="http://schemas.microsoft.com/office/drawing/2016/5/10/chartex" Requires="cx4">
        <xdr:graphicFrame macro="">
          <xdr:nvGraphicFramePr>
            <xdr:cNvPr id="27" name="Chart 26">
              <a:extLst>
                <a:ext uri="{FF2B5EF4-FFF2-40B4-BE49-F238E27FC236}">
                  <a16:creationId xmlns:a16="http://schemas.microsoft.com/office/drawing/2014/main" id="{C72F8FBC-1B73-4EC8-BDF2-91CB13EE0C7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928144" y="3574789"/>
              <a:ext cx="1199515" cy="133168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220011</xdr:colOff>
      <xdr:row>25</xdr:row>
      <xdr:rowOff>66692</xdr:rowOff>
    </xdr:from>
    <xdr:to>
      <xdr:col>22</xdr:col>
      <xdr:colOff>265469</xdr:colOff>
      <xdr:row>34</xdr:row>
      <xdr:rowOff>143341</xdr:rowOff>
    </xdr:to>
    <xdr:graphicFrame macro="">
      <xdr:nvGraphicFramePr>
        <xdr:cNvPr id="28" name="Chart 27">
          <a:extLst>
            <a:ext uri="{FF2B5EF4-FFF2-40B4-BE49-F238E27FC236}">
              <a16:creationId xmlns:a16="http://schemas.microsoft.com/office/drawing/2014/main" id="{6BBAC1AF-5FF3-498A-AD80-6FEF5DDC5E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272417</xdr:colOff>
      <xdr:row>15</xdr:row>
      <xdr:rowOff>142990</xdr:rowOff>
    </xdr:from>
    <xdr:to>
      <xdr:col>22</xdr:col>
      <xdr:colOff>265469</xdr:colOff>
      <xdr:row>24</xdr:row>
      <xdr:rowOff>104667</xdr:rowOff>
    </xdr:to>
    <xdr:graphicFrame macro="">
      <xdr:nvGraphicFramePr>
        <xdr:cNvPr id="29" name="Chart 28">
          <a:extLst>
            <a:ext uri="{FF2B5EF4-FFF2-40B4-BE49-F238E27FC236}">
              <a16:creationId xmlns:a16="http://schemas.microsoft.com/office/drawing/2014/main" id="{C4AE4479-E90D-468A-B10D-03533A828C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57599</xdr:colOff>
      <xdr:row>30</xdr:row>
      <xdr:rowOff>71380</xdr:rowOff>
    </xdr:from>
    <xdr:to>
      <xdr:col>3</xdr:col>
      <xdr:colOff>82591</xdr:colOff>
      <xdr:row>37</xdr:row>
      <xdr:rowOff>37428</xdr:rowOff>
    </xdr:to>
    <mc:AlternateContent xmlns:mc="http://schemas.openxmlformats.org/markup-compatibility/2006" xmlns:a14="http://schemas.microsoft.com/office/drawing/2010/main">
      <mc:Choice Requires="a14">
        <xdr:graphicFrame macro="">
          <xdr:nvGraphicFramePr>
            <xdr:cNvPr id="30" name="Order Mode">
              <a:extLst>
                <a:ext uri="{FF2B5EF4-FFF2-40B4-BE49-F238E27FC236}">
                  <a16:creationId xmlns:a16="http://schemas.microsoft.com/office/drawing/2014/main" id="{74848891-A6DA-929D-5EDB-328BC136DEE9}"/>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53789" y="5448299"/>
              <a:ext cx="2103795" cy="12230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26894</xdr:colOff>
      <xdr:row>20</xdr:row>
      <xdr:rowOff>107575</xdr:rowOff>
    </xdr:from>
    <xdr:to>
      <xdr:col>3</xdr:col>
      <xdr:colOff>107575</xdr:colOff>
      <xdr:row>29</xdr:row>
      <xdr:rowOff>26893</xdr:rowOff>
    </xdr:to>
    <mc:AlternateContent xmlns:mc="http://schemas.openxmlformats.org/markup-compatibility/2006" xmlns:a14="http://schemas.microsoft.com/office/drawing/2010/main">
      <mc:Choice Requires="a14">
        <xdr:graphicFrame macro="">
          <xdr:nvGraphicFramePr>
            <xdr:cNvPr id="31" name="Gender Value">
              <a:extLst>
                <a:ext uri="{FF2B5EF4-FFF2-40B4-BE49-F238E27FC236}">
                  <a16:creationId xmlns:a16="http://schemas.microsoft.com/office/drawing/2014/main" id="{8513C8C7-24DC-E41B-3E39-40117CC5524E}"/>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24989" y="3691552"/>
              <a:ext cx="2153769" cy="15329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436021</xdr:colOff>
      <xdr:row>4</xdr:row>
      <xdr:rowOff>154642</xdr:rowOff>
    </xdr:from>
    <xdr:to>
      <xdr:col>15</xdr:col>
      <xdr:colOff>251012</xdr:colOff>
      <xdr:row>6</xdr:row>
      <xdr:rowOff>73959</xdr:rowOff>
    </xdr:to>
    <xdr:sp macro="" textlink="">
      <xdr:nvSpPr>
        <xdr:cNvPr id="32" name="TextBox 31">
          <a:extLst>
            <a:ext uri="{FF2B5EF4-FFF2-40B4-BE49-F238E27FC236}">
              <a16:creationId xmlns:a16="http://schemas.microsoft.com/office/drawing/2014/main" id="{F27B4453-FED1-A271-EC06-EB9921C0B7DE}"/>
            </a:ext>
          </a:extLst>
        </xdr:cNvPr>
        <xdr:cNvSpPr txBox="1"/>
      </xdr:nvSpPr>
      <xdr:spPr>
        <a:xfrm>
          <a:off x="7350050" y="871818"/>
          <a:ext cx="2235462" cy="277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bg1">
                  <a:lumMod val="50000"/>
                </a:schemeClr>
              </a:solidFill>
              <a:latin typeface="Cambria" panose="02040503050406030204" pitchFamily="18" charset="0"/>
              <a:ea typeface="Cambria" panose="02040503050406030204" pitchFamily="18" charset="0"/>
            </a:rPr>
            <a:t>How they like to buy?</a:t>
          </a:r>
        </a:p>
      </xdr:txBody>
    </xdr:sp>
    <xdr:clientData/>
  </xdr:twoCellAnchor>
  <xdr:twoCellAnchor>
    <xdr:from>
      <xdr:col>1</xdr:col>
      <xdr:colOff>861691</xdr:colOff>
      <xdr:row>2</xdr:row>
      <xdr:rowOff>107577</xdr:rowOff>
    </xdr:from>
    <xdr:to>
      <xdr:col>2</xdr:col>
      <xdr:colOff>252090</xdr:colOff>
      <xdr:row>4</xdr:row>
      <xdr:rowOff>90843</xdr:rowOff>
    </xdr:to>
    <xdr:sp macro="" textlink="'KPI 2'!A6">
      <xdr:nvSpPr>
        <xdr:cNvPr id="34" name="TextBox 33">
          <a:extLst>
            <a:ext uri="{FF2B5EF4-FFF2-40B4-BE49-F238E27FC236}">
              <a16:creationId xmlns:a16="http://schemas.microsoft.com/office/drawing/2014/main" id="{3C2322D0-A661-DBC2-AD16-327278D6131F}"/>
            </a:ext>
          </a:extLst>
        </xdr:cNvPr>
        <xdr:cNvSpPr txBox="1"/>
      </xdr:nvSpPr>
      <xdr:spPr>
        <a:xfrm>
          <a:off x="1121667" y="466165"/>
          <a:ext cx="950258" cy="341854"/>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9DDB3FE1-CE3D-4629-A3F5-CEF3150AC03F}" type="TxLink">
            <a:rPr lang="en-US" sz="1200" b="1" i="0" u="none" strike="noStrike">
              <a:solidFill>
                <a:schemeClr val="tx1"/>
              </a:solidFill>
              <a:latin typeface="Aptos Narrow"/>
              <a:ea typeface="+mn-ea"/>
              <a:cs typeface="+mn-cs"/>
            </a:rPr>
            <a:pPr marL="0" indent="0" algn="r"/>
            <a:t>2,400</a:t>
          </a:fld>
          <a:endParaRPr lang="en-IN" sz="1400" b="1" i="0" u="none" strike="noStrike">
            <a:solidFill>
              <a:schemeClr val="tx1"/>
            </a:solidFill>
            <a:latin typeface="Aptos Narrow"/>
            <a:ea typeface="+mn-ea"/>
            <a:cs typeface="+mn-cs"/>
          </a:endParaRPr>
        </a:p>
      </xdr:txBody>
    </xdr:sp>
    <xdr:clientData/>
  </xdr:twoCellAnchor>
  <xdr:twoCellAnchor>
    <xdr:from>
      <xdr:col>1</xdr:col>
      <xdr:colOff>918168</xdr:colOff>
      <xdr:row>6</xdr:row>
      <xdr:rowOff>135517</xdr:rowOff>
    </xdr:from>
    <xdr:to>
      <xdr:col>2</xdr:col>
      <xdr:colOff>252090</xdr:colOff>
      <xdr:row>8</xdr:row>
      <xdr:rowOff>166295</xdr:rowOff>
    </xdr:to>
    <xdr:sp macro="" textlink="'KPI 2'!B6">
      <xdr:nvSpPr>
        <xdr:cNvPr id="35" name="TextBox 34">
          <a:extLst>
            <a:ext uri="{FF2B5EF4-FFF2-40B4-BE49-F238E27FC236}">
              <a16:creationId xmlns:a16="http://schemas.microsoft.com/office/drawing/2014/main" id="{B4882F65-BFEC-3A76-48F9-E8D2378A61A4}"/>
            </a:ext>
          </a:extLst>
        </xdr:cNvPr>
        <xdr:cNvSpPr txBox="1"/>
      </xdr:nvSpPr>
      <xdr:spPr>
        <a:xfrm>
          <a:off x="1178144" y="1211282"/>
          <a:ext cx="893781"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560F11F9-029B-4A30-9755-9FB407A02A63}" type="TxLink">
            <a:rPr lang="en-US" sz="1200" b="1" i="0" u="none" strike="noStrike">
              <a:solidFill>
                <a:schemeClr val="tx1"/>
              </a:solidFill>
              <a:latin typeface="Aptos Narrow"/>
              <a:ea typeface="+mn-ea"/>
              <a:cs typeface="+mn-cs"/>
            </a:rPr>
            <a:pPr marL="0" indent="0" algn="r"/>
            <a:t>11,997</a:t>
          </a:fld>
          <a:endParaRPr lang="en-IN" sz="1200" b="1" i="0" u="none" strike="noStrike">
            <a:solidFill>
              <a:schemeClr val="tx1"/>
            </a:solidFill>
            <a:latin typeface="Aptos Narrow"/>
            <a:ea typeface="+mn-ea"/>
            <a:cs typeface="+mn-cs"/>
          </a:endParaRPr>
        </a:p>
      </xdr:txBody>
    </xdr:sp>
    <xdr:clientData/>
  </xdr:twoCellAnchor>
  <xdr:twoCellAnchor>
    <xdr:from>
      <xdr:col>1</xdr:col>
      <xdr:colOff>773655</xdr:colOff>
      <xdr:row>10</xdr:row>
      <xdr:rowOff>161218</xdr:rowOff>
    </xdr:from>
    <xdr:to>
      <xdr:col>3</xdr:col>
      <xdr:colOff>1078</xdr:colOff>
      <xdr:row>13</xdr:row>
      <xdr:rowOff>12701</xdr:rowOff>
    </xdr:to>
    <xdr:sp macro="" textlink="'KPI 2'!C6">
      <xdr:nvSpPr>
        <xdr:cNvPr id="37" name="TextBox 36">
          <a:extLst>
            <a:ext uri="{FF2B5EF4-FFF2-40B4-BE49-F238E27FC236}">
              <a16:creationId xmlns:a16="http://schemas.microsoft.com/office/drawing/2014/main" id="{C6443086-5A9A-68E8-C13E-8E0D216D58F6}"/>
            </a:ext>
          </a:extLst>
        </xdr:cNvPr>
        <xdr:cNvSpPr txBox="1"/>
      </xdr:nvSpPr>
      <xdr:spPr>
        <a:xfrm>
          <a:off x="1033631" y="1954159"/>
          <a:ext cx="1047259"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1EEE5F37-EB32-4A9E-AA67-52657141E5B3}" type="TxLink">
            <a:rPr lang="en-US" sz="1200" b="1" i="0" u="none" strike="noStrike">
              <a:solidFill>
                <a:schemeClr val="tx1"/>
              </a:solidFill>
              <a:latin typeface="Aptos Narrow"/>
              <a:ea typeface="+mn-ea"/>
              <a:cs typeface="+mn-cs"/>
            </a:rPr>
            <a:pPr marL="0" indent="0" algn="r"/>
            <a:t>$649.0k</a:t>
          </a:fld>
          <a:endParaRPr lang="en-IN" sz="1200" b="1" i="0" u="none" strike="noStrike">
            <a:solidFill>
              <a:schemeClr val="tx1"/>
            </a:solidFill>
            <a:latin typeface="Aptos Narrow"/>
            <a:ea typeface="+mn-ea"/>
            <a:cs typeface="+mn-cs"/>
          </a:endParaRPr>
        </a:p>
      </xdr:txBody>
    </xdr:sp>
    <xdr:clientData/>
  </xdr:twoCellAnchor>
  <xdr:twoCellAnchor>
    <xdr:from>
      <xdr:col>1</xdr:col>
      <xdr:colOff>900239</xdr:colOff>
      <xdr:row>14</xdr:row>
      <xdr:rowOff>98613</xdr:rowOff>
    </xdr:from>
    <xdr:to>
      <xdr:col>2</xdr:col>
      <xdr:colOff>234161</xdr:colOff>
      <xdr:row>16</xdr:row>
      <xdr:rowOff>129391</xdr:rowOff>
    </xdr:to>
    <xdr:sp macro="" textlink="'KPI 2'!D6">
      <xdr:nvSpPr>
        <xdr:cNvPr id="38" name="TextBox 37">
          <a:extLst>
            <a:ext uri="{FF2B5EF4-FFF2-40B4-BE49-F238E27FC236}">
              <a16:creationId xmlns:a16="http://schemas.microsoft.com/office/drawing/2014/main" id="{85353239-4456-5FF9-5870-3FC576B7FB80}"/>
            </a:ext>
          </a:extLst>
        </xdr:cNvPr>
        <xdr:cNvSpPr txBox="1"/>
      </xdr:nvSpPr>
      <xdr:spPr>
        <a:xfrm>
          <a:off x="1160215" y="2608731"/>
          <a:ext cx="893781" cy="38936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F5393BF5-4F34-48EC-B038-418EE9FA1CAB}" type="TxLink">
            <a:rPr lang="en-US" sz="1200" b="1" i="0" u="none" strike="noStrike">
              <a:solidFill>
                <a:schemeClr val="tx1"/>
              </a:solidFill>
              <a:latin typeface="Aptos Narrow"/>
              <a:ea typeface="+mn-ea"/>
              <a:cs typeface="+mn-cs"/>
            </a:rPr>
            <a:pPr marL="0" indent="0" algn="r"/>
            <a:t>4</a:t>
          </a:fld>
          <a:endParaRPr lang="en-IN" sz="1200" b="1" i="0" u="none" strike="noStrike">
            <a:solidFill>
              <a:schemeClr val="tx1"/>
            </a:solidFill>
            <a:latin typeface="Aptos Narrow"/>
            <a:ea typeface="+mn-ea"/>
            <a:cs typeface="+mn-cs"/>
          </a:endParaRPr>
        </a:p>
      </xdr:txBody>
    </xdr:sp>
    <xdr:clientData/>
  </xdr:twoCellAnchor>
  <xdr:twoCellAnchor>
    <xdr:from>
      <xdr:col>1</xdr:col>
      <xdr:colOff>873344</xdr:colOff>
      <xdr:row>18</xdr:row>
      <xdr:rowOff>94728</xdr:rowOff>
    </xdr:from>
    <xdr:to>
      <xdr:col>2</xdr:col>
      <xdr:colOff>207266</xdr:colOff>
      <xdr:row>20</xdr:row>
      <xdr:rowOff>125507</xdr:rowOff>
    </xdr:to>
    <xdr:sp macro="" textlink="'KPI 2'!E6">
      <xdr:nvSpPr>
        <xdr:cNvPr id="39" name="TextBox 38">
          <a:extLst>
            <a:ext uri="{FF2B5EF4-FFF2-40B4-BE49-F238E27FC236}">
              <a16:creationId xmlns:a16="http://schemas.microsoft.com/office/drawing/2014/main" id="{18A6A614-779C-C2A2-0D6B-A4EC34096A9B}"/>
            </a:ext>
          </a:extLst>
        </xdr:cNvPr>
        <xdr:cNvSpPr txBox="1"/>
      </xdr:nvSpPr>
      <xdr:spPr>
        <a:xfrm>
          <a:off x="1133320" y="3322022"/>
          <a:ext cx="893781" cy="389367"/>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r"/>
          <a:fld id="{BFFD30CE-7177-428B-A589-AF4DEEA833F8}" type="TxLink">
            <a:rPr lang="en-US" sz="1200" b="1" i="0" u="none" strike="noStrike">
              <a:solidFill>
                <a:schemeClr val="tx1"/>
              </a:solidFill>
              <a:latin typeface="Aptos Narrow"/>
              <a:ea typeface="+mn-ea"/>
              <a:cs typeface="+mn-cs"/>
            </a:rPr>
            <a:pPr marL="0" indent="0" algn="r"/>
            <a:t>2</a:t>
          </a:fld>
          <a:endParaRPr lang="en-IN" sz="1200" b="1" i="0" u="none" strike="noStrike">
            <a:solidFill>
              <a:schemeClr val="tx1"/>
            </a:solidFill>
            <a:latin typeface="Aptos Narrow"/>
            <a:ea typeface="+mn-ea"/>
            <a:cs typeface="+mn-cs"/>
          </a:endParaRPr>
        </a:p>
      </xdr:txBody>
    </xdr:sp>
    <xdr:clientData/>
  </xdr:twoCellAnchor>
  <xdr:twoCellAnchor>
    <xdr:from>
      <xdr:col>0</xdr:col>
      <xdr:colOff>197224</xdr:colOff>
      <xdr:row>4</xdr:row>
      <xdr:rowOff>98612</xdr:rowOff>
    </xdr:from>
    <xdr:to>
      <xdr:col>2</xdr:col>
      <xdr:colOff>107577</xdr:colOff>
      <xdr:row>4</xdr:row>
      <xdr:rowOff>98612</xdr:rowOff>
    </xdr:to>
    <xdr:cxnSp macro="">
      <xdr:nvCxnSpPr>
        <xdr:cNvPr id="41" name="Straight Connector 40">
          <a:extLst>
            <a:ext uri="{FF2B5EF4-FFF2-40B4-BE49-F238E27FC236}">
              <a16:creationId xmlns:a16="http://schemas.microsoft.com/office/drawing/2014/main" id="{925724D0-D194-A764-7E67-64CEC910382D}"/>
            </a:ext>
          </a:extLst>
        </xdr:cNvPr>
        <xdr:cNvCxnSpPr/>
      </xdr:nvCxnSpPr>
      <xdr:spPr>
        <a:xfrm>
          <a:off x="197224" y="815788"/>
          <a:ext cx="1730188" cy="0"/>
        </a:xfrm>
        <a:prstGeom prst="line">
          <a:avLst/>
        </a:prstGeom>
        <a:ln w="12700">
          <a:solidFill>
            <a:schemeClr val="bg1">
              <a:lumMod val="6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197224</xdr:colOff>
      <xdr:row>8</xdr:row>
      <xdr:rowOff>152400</xdr:rowOff>
    </xdr:from>
    <xdr:to>
      <xdr:col>2</xdr:col>
      <xdr:colOff>107577</xdr:colOff>
      <xdr:row>8</xdr:row>
      <xdr:rowOff>152400</xdr:rowOff>
    </xdr:to>
    <xdr:cxnSp macro="">
      <xdr:nvCxnSpPr>
        <xdr:cNvPr id="43" name="Straight Connector 42">
          <a:extLst>
            <a:ext uri="{FF2B5EF4-FFF2-40B4-BE49-F238E27FC236}">
              <a16:creationId xmlns:a16="http://schemas.microsoft.com/office/drawing/2014/main" id="{723CA0BD-2437-B7B2-9BC3-ED7156CC26AB}"/>
            </a:ext>
          </a:extLst>
        </xdr:cNvPr>
        <xdr:cNvCxnSpPr/>
      </xdr:nvCxnSpPr>
      <xdr:spPr>
        <a:xfrm>
          <a:off x="197224" y="1586753"/>
          <a:ext cx="1730188" cy="0"/>
        </a:xfrm>
        <a:prstGeom prst="line">
          <a:avLst/>
        </a:prstGeom>
        <a:ln w="12700">
          <a:solidFill>
            <a:schemeClr val="bg1">
              <a:lumMod val="6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197224</xdr:colOff>
      <xdr:row>16</xdr:row>
      <xdr:rowOff>125505</xdr:rowOff>
    </xdr:from>
    <xdr:to>
      <xdr:col>2</xdr:col>
      <xdr:colOff>107577</xdr:colOff>
      <xdr:row>16</xdr:row>
      <xdr:rowOff>125505</xdr:rowOff>
    </xdr:to>
    <xdr:cxnSp macro="">
      <xdr:nvCxnSpPr>
        <xdr:cNvPr id="44" name="Straight Connector 43">
          <a:extLst>
            <a:ext uri="{FF2B5EF4-FFF2-40B4-BE49-F238E27FC236}">
              <a16:creationId xmlns:a16="http://schemas.microsoft.com/office/drawing/2014/main" id="{CC0A24A4-1B93-61BF-C939-3E2E73D65429}"/>
            </a:ext>
          </a:extLst>
        </xdr:cNvPr>
        <xdr:cNvCxnSpPr/>
      </xdr:nvCxnSpPr>
      <xdr:spPr>
        <a:xfrm>
          <a:off x="197224" y="2994211"/>
          <a:ext cx="1730188" cy="0"/>
        </a:xfrm>
        <a:prstGeom prst="line">
          <a:avLst/>
        </a:prstGeom>
        <a:ln w="12700">
          <a:solidFill>
            <a:schemeClr val="bg1">
              <a:lumMod val="6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555812</xdr:colOff>
      <xdr:row>1</xdr:row>
      <xdr:rowOff>8965</xdr:rowOff>
    </xdr:from>
    <xdr:to>
      <xdr:col>21</xdr:col>
      <xdr:colOff>233082</xdr:colOff>
      <xdr:row>3</xdr:row>
      <xdr:rowOff>80683</xdr:rowOff>
    </xdr:to>
    <xdr:sp macro="" textlink="">
      <xdr:nvSpPr>
        <xdr:cNvPr id="45" name="TextBox 44">
          <a:extLst>
            <a:ext uri="{FF2B5EF4-FFF2-40B4-BE49-F238E27FC236}">
              <a16:creationId xmlns:a16="http://schemas.microsoft.com/office/drawing/2014/main" id="{F1AB8F7C-2A46-4A17-EA38-06F6FA2CD9A2}"/>
            </a:ext>
          </a:extLst>
        </xdr:cNvPr>
        <xdr:cNvSpPr txBox="1"/>
      </xdr:nvSpPr>
      <xdr:spPr>
        <a:xfrm>
          <a:off x="2635624" y="188259"/>
          <a:ext cx="10650070" cy="4303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tx1">
                  <a:lumMod val="75000"/>
                  <a:lumOff val="25000"/>
                </a:schemeClr>
              </a:solidFill>
              <a:latin typeface="Cambria" panose="02040503050406030204" pitchFamily="18" charset="0"/>
              <a:ea typeface="Cambria" panose="02040503050406030204" pitchFamily="18" charset="0"/>
            </a:rPr>
            <a:t>Retail Clothing Sales Performance Dashboard</a:t>
          </a:r>
        </a:p>
      </xdr:txBody>
    </xdr:sp>
    <xdr:clientData/>
  </xdr:twoCellAnchor>
  <xdr:twoCellAnchor>
    <xdr:from>
      <xdr:col>9</xdr:col>
      <xdr:colOff>246530</xdr:colOff>
      <xdr:row>15</xdr:row>
      <xdr:rowOff>136377</xdr:rowOff>
    </xdr:from>
    <xdr:to>
      <xdr:col>15</xdr:col>
      <xdr:colOff>102534</xdr:colOff>
      <xdr:row>34</xdr:row>
      <xdr:rowOff>80347</xdr:rowOff>
    </xdr:to>
    <xdr:grpSp>
      <xdr:nvGrpSpPr>
        <xdr:cNvPr id="50" name="Group 49">
          <a:extLst>
            <a:ext uri="{FF2B5EF4-FFF2-40B4-BE49-F238E27FC236}">
              <a16:creationId xmlns:a16="http://schemas.microsoft.com/office/drawing/2014/main" id="{E39BFBA1-E959-3019-ACA6-7DE8167CEB38}"/>
            </a:ext>
          </a:extLst>
        </xdr:cNvPr>
        <xdr:cNvGrpSpPr/>
      </xdr:nvGrpSpPr>
      <xdr:grpSpPr>
        <a:xfrm>
          <a:off x="6007673" y="2831317"/>
          <a:ext cx="3531384" cy="3368102"/>
          <a:chOff x="5950324" y="3126442"/>
          <a:chExt cx="3490520" cy="3344843"/>
        </a:xfrm>
      </xdr:grpSpPr>
      <xdr:sp macro="" textlink="">
        <xdr:nvSpPr>
          <xdr:cNvPr id="49" name="Rectangle: Rounded Corners 48">
            <a:extLst>
              <a:ext uri="{FF2B5EF4-FFF2-40B4-BE49-F238E27FC236}">
                <a16:creationId xmlns:a16="http://schemas.microsoft.com/office/drawing/2014/main" id="{BA87FFB4-5439-0411-2091-793D4C3D609E}"/>
              </a:ext>
            </a:extLst>
          </xdr:cNvPr>
          <xdr:cNvSpPr/>
        </xdr:nvSpPr>
        <xdr:spPr>
          <a:xfrm>
            <a:off x="5950324" y="3126442"/>
            <a:ext cx="3490520" cy="3344843"/>
          </a:xfrm>
          <a:prstGeom prst="roundRect">
            <a:avLst>
              <a:gd name="adj" fmla="val 433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cx4="http://schemas.microsoft.com/office/drawing/2016/5/10/chartex" Requires="cx4">
          <xdr:graphicFrame macro="">
            <xdr:nvGraphicFramePr>
              <xdr:cNvPr id="26" name="Chart 25">
                <a:extLst>
                  <a:ext uri="{FF2B5EF4-FFF2-40B4-BE49-F238E27FC236}">
                    <a16:creationId xmlns:a16="http://schemas.microsoft.com/office/drawing/2014/main" id="{3BCB8CB2-90EE-4271-8495-8AA5330983E4}"/>
                  </a:ext>
                </a:extLst>
              </xdr:cNvPr>
              <xdr:cNvGraphicFramePr/>
            </xdr:nvGraphicFramePr>
            <xdr:xfrm>
              <a:off x="6029709" y="3227294"/>
              <a:ext cx="3341090" cy="3161964"/>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6029709" y="3227294"/>
                <a:ext cx="3341090" cy="31619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0</xdr:col>
      <xdr:colOff>199129</xdr:colOff>
      <xdr:row>12</xdr:row>
      <xdr:rowOff>152401</xdr:rowOff>
    </xdr:from>
    <xdr:to>
      <xdr:col>2</xdr:col>
      <xdr:colOff>105672</xdr:colOff>
      <xdr:row>12</xdr:row>
      <xdr:rowOff>152401</xdr:rowOff>
    </xdr:to>
    <xdr:cxnSp macro="">
      <xdr:nvCxnSpPr>
        <xdr:cNvPr id="54" name="Straight Connector 53">
          <a:extLst>
            <a:ext uri="{FF2B5EF4-FFF2-40B4-BE49-F238E27FC236}">
              <a16:creationId xmlns:a16="http://schemas.microsoft.com/office/drawing/2014/main" id="{2667BA4F-0F2B-FEE2-032E-D33ABB968198}"/>
            </a:ext>
          </a:extLst>
        </xdr:cNvPr>
        <xdr:cNvCxnSpPr/>
      </xdr:nvCxnSpPr>
      <xdr:spPr>
        <a:xfrm>
          <a:off x="199129" y="2303930"/>
          <a:ext cx="1721896" cy="0"/>
        </a:xfrm>
        <a:prstGeom prst="line">
          <a:avLst/>
        </a:prstGeom>
        <a:ln w="12700">
          <a:solidFill>
            <a:schemeClr val="bg1">
              <a:lumMod val="6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283485</xdr:colOff>
      <xdr:row>15</xdr:row>
      <xdr:rowOff>167796</xdr:rowOff>
    </xdr:from>
    <xdr:to>
      <xdr:col>23</xdr:col>
      <xdr:colOff>351385</xdr:colOff>
      <xdr:row>30</xdr:row>
      <xdr:rowOff>93457</xdr:rowOff>
    </xdr:to>
    <xdr:grpSp>
      <xdr:nvGrpSpPr>
        <xdr:cNvPr id="4" name="Group 3">
          <a:extLst>
            <a:ext uri="{FF2B5EF4-FFF2-40B4-BE49-F238E27FC236}">
              <a16:creationId xmlns:a16="http://schemas.microsoft.com/office/drawing/2014/main" id="{864F4142-AA74-46EA-B453-22AAE0787DB9}"/>
            </a:ext>
          </a:extLst>
        </xdr:cNvPr>
        <xdr:cNvGrpSpPr/>
      </xdr:nvGrpSpPr>
      <xdr:grpSpPr>
        <a:xfrm>
          <a:off x="3918001" y="2861018"/>
          <a:ext cx="10352995" cy="2615073"/>
          <a:chOff x="3931561" y="2851493"/>
          <a:chExt cx="6001332" cy="2613171"/>
        </a:xfrm>
      </xdr:grpSpPr>
      <xdr:sp macro="" textlink="">
        <xdr:nvSpPr>
          <xdr:cNvPr id="5" name="Rectangle: Rounded Corners 3">
            <a:extLst>
              <a:ext uri="{FF2B5EF4-FFF2-40B4-BE49-F238E27FC236}">
                <a16:creationId xmlns:a16="http://schemas.microsoft.com/office/drawing/2014/main" id="{47D1EF60-8E1C-79AD-599C-244A5362A148}"/>
              </a:ext>
            </a:extLst>
          </xdr:cNvPr>
          <xdr:cNvSpPr/>
        </xdr:nvSpPr>
        <xdr:spPr>
          <a:xfrm>
            <a:off x="3945971" y="2863001"/>
            <a:ext cx="5970798" cy="2601663"/>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0284DCFE-16C0-017E-5C9D-ADAF6068FAE1}"/>
              </a:ext>
            </a:extLst>
          </xdr:cNvPr>
          <xdr:cNvSpPr/>
        </xdr:nvSpPr>
        <xdr:spPr>
          <a:xfrm>
            <a:off x="3931561" y="2851493"/>
            <a:ext cx="6001332" cy="375801"/>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Explore My Portfolio (GitHub)</a:t>
            </a:r>
          </a:p>
        </xdr:txBody>
      </xdr:sp>
    </xdr:grpSp>
    <xdr:clientData/>
  </xdr:twoCellAnchor>
  <xdr:twoCellAnchor>
    <xdr:from>
      <xdr:col>0</xdr:col>
      <xdr:colOff>131044</xdr:colOff>
      <xdr:row>20</xdr:row>
      <xdr:rowOff>14910</xdr:rowOff>
    </xdr:from>
    <xdr:to>
      <xdr:col>5</xdr:col>
      <xdr:colOff>489748</xdr:colOff>
      <xdr:row>29</xdr:row>
      <xdr:rowOff>167640</xdr:rowOff>
    </xdr:to>
    <xdr:sp macro="" textlink="">
      <xdr:nvSpPr>
        <xdr:cNvPr id="2" name="Rectangle: Rounded Corners 3">
          <a:extLst>
            <a:ext uri="{FF2B5EF4-FFF2-40B4-BE49-F238E27FC236}">
              <a16:creationId xmlns:a16="http://schemas.microsoft.com/office/drawing/2014/main" id="{6FD52822-C6F0-4D84-A832-21A4F0F6E9F6}"/>
            </a:ext>
          </a:extLst>
        </xdr:cNvPr>
        <xdr:cNvSpPr/>
      </xdr:nvSpPr>
      <xdr:spPr>
        <a:xfrm>
          <a:off x="134854" y="3638220"/>
          <a:ext cx="3400989" cy="1781505"/>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105494</xdr:colOff>
      <xdr:row>0</xdr:row>
      <xdr:rowOff>99060</xdr:rowOff>
    </xdr:from>
    <xdr:to>
      <xdr:col>5</xdr:col>
      <xdr:colOff>464198</xdr:colOff>
      <xdr:row>8</xdr:row>
      <xdr:rowOff>60960</xdr:rowOff>
    </xdr:to>
    <xdr:sp macro="" textlink="">
      <xdr:nvSpPr>
        <xdr:cNvPr id="7" name="Rectangle: Rounded Corners 3">
          <a:extLst>
            <a:ext uri="{FF2B5EF4-FFF2-40B4-BE49-F238E27FC236}">
              <a16:creationId xmlns:a16="http://schemas.microsoft.com/office/drawing/2014/main" id="{CBA76CE3-2D4C-4AE4-99DD-8B605EDD78BA}"/>
            </a:ext>
          </a:extLst>
        </xdr:cNvPr>
        <xdr:cNvSpPr/>
      </xdr:nvSpPr>
      <xdr:spPr>
        <a:xfrm>
          <a:off x="103589" y="95250"/>
          <a:ext cx="3410514" cy="1409700"/>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a:ln w="31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0</xdr:row>
      <xdr:rowOff>99060</xdr:rowOff>
    </xdr:from>
    <xdr:to>
      <xdr:col>5</xdr:col>
      <xdr:colOff>464820</xdr:colOff>
      <xdr:row>2</xdr:row>
      <xdr:rowOff>160020</xdr:rowOff>
    </xdr:to>
    <xdr:sp macro="" textlink="">
      <xdr:nvSpPr>
        <xdr:cNvPr id="8" name="Rectangle: Rounded Corners 7">
          <a:extLst>
            <a:ext uri="{FF2B5EF4-FFF2-40B4-BE49-F238E27FC236}">
              <a16:creationId xmlns:a16="http://schemas.microsoft.com/office/drawing/2014/main" id="{D1E47E53-EEEF-4EE5-8292-E854160B6EF0}"/>
            </a:ext>
          </a:extLst>
        </xdr:cNvPr>
        <xdr:cNvSpPr/>
      </xdr:nvSpPr>
      <xdr:spPr>
        <a:xfrm>
          <a:off x="114300" y="95250"/>
          <a:ext cx="3400425" cy="42862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accent6">
                  <a:lumMod val="50000"/>
                </a:schemeClr>
              </a:solidFill>
              <a:latin typeface="Cambria" panose="02040503050406030204" pitchFamily="18" charset="0"/>
              <a:ea typeface="Cambria" panose="02040503050406030204" pitchFamily="18" charset="0"/>
            </a:rPr>
            <a:t>About this Project</a:t>
          </a:r>
        </a:p>
      </xdr:txBody>
    </xdr:sp>
    <xdr:clientData/>
  </xdr:twoCellAnchor>
  <xdr:twoCellAnchor>
    <xdr:from>
      <xdr:col>0</xdr:col>
      <xdr:colOff>101727</xdr:colOff>
      <xdr:row>9</xdr:row>
      <xdr:rowOff>36576</xdr:rowOff>
    </xdr:from>
    <xdr:to>
      <xdr:col>5</xdr:col>
      <xdr:colOff>477774</xdr:colOff>
      <xdr:row>19</xdr:row>
      <xdr:rowOff>19050</xdr:rowOff>
    </xdr:to>
    <xdr:grpSp>
      <xdr:nvGrpSpPr>
        <xdr:cNvPr id="9" name="Group 8">
          <a:extLst>
            <a:ext uri="{FF2B5EF4-FFF2-40B4-BE49-F238E27FC236}">
              <a16:creationId xmlns:a16="http://schemas.microsoft.com/office/drawing/2014/main" id="{E800F145-4883-4A18-83F5-9BFC216EBDD6}"/>
            </a:ext>
          </a:extLst>
        </xdr:cNvPr>
        <xdr:cNvGrpSpPr/>
      </xdr:nvGrpSpPr>
      <xdr:grpSpPr>
        <a:xfrm>
          <a:off x="97917" y="1650223"/>
          <a:ext cx="3401635" cy="1771605"/>
          <a:chOff x="103632" y="1650223"/>
          <a:chExt cx="3425952" cy="1771605"/>
        </a:xfrm>
      </xdr:grpSpPr>
      <xdr:sp macro="" textlink="">
        <xdr:nvSpPr>
          <xdr:cNvPr id="10" name="Rectangle: Rounded Corners 3">
            <a:extLst>
              <a:ext uri="{FF2B5EF4-FFF2-40B4-BE49-F238E27FC236}">
                <a16:creationId xmlns:a16="http://schemas.microsoft.com/office/drawing/2014/main" id="{742FB9A9-1C3C-BC1F-5053-9C1F2398007F}"/>
              </a:ext>
            </a:extLst>
          </xdr:cNvPr>
          <xdr:cNvSpPr/>
        </xdr:nvSpPr>
        <xdr:spPr>
          <a:xfrm>
            <a:off x="113114" y="1655451"/>
            <a:ext cx="3406704" cy="1766377"/>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432709" y="1463040"/>
                  <a:pt x="3298739"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46B21E7A-77F1-6869-960F-14DBEB164D68}"/>
              </a:ext>
            </a:extLst>
          </xdr:cNvPr>
          <xdr:cNvSpPr/>
        </xdr:nvSpPr>
        <xdr:spPr>
          <a:xfrm>
            <a:off x="103632" y="1650223"/>
            <a:ext cx="3425952" cy="370454"/>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About Me</a:t>
            </a:r>
          </a:p>
        </xdr:txBody>
      </xdr:sp>
    </xdr:grpSp>
    <xdr:clientData/>
  </xdr:twoCellAnchor>
  <xdr:twoCellAnchor>
    <xdr:from>
      <xdr:col>0</xdr:col>
      <xdr:colOff>251011</xdr:colOff>
      <xdr:row>11</xdr:row>
      <xdr:rowOff>71719</xdr:rowOff>
    </xdr:from>
    <xdr:to>
      <xdr:col>5</xdr:col>
      <xdr:colOff>295834</xdr:colOff>
      <xdr:row>13</xdr:row>
      <xdr:rowOff>44823</xdr:rowOff>
    </xdr:to>
    <xdr:sp macro="" textlink="">
      <xdr:nvSpPr>
        <xdr:cNvPr id="12" name="TextBox 11">
          <a:extLst>
            <a:ext uri="{FF2B5EF4-FFF2-40B4-BE49-F238E27FC236}">
              <a16:creationId xmlns:a16="http://schemas.microsoft.com/office/drawing/2014/main" id="{BA9540EC-5D35-402A-A86A-E1F9B7ABCD6A}"/>
            </a:ext>
          </a:extLst>
        </xdr:cNvPr>
        <xdr:cNvSpPr txBox="1"/>
      </xdr:nvSpPr>
      <xdr:spPr>
        <a:xfrm>
          <a:off x="247201" y="2060539"/>
          <a:ext cx="3094728" cy="33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latin typeface="Cambria" panose="02040503050406030204" pitchFamily="18" charset="0"/>
              <a:ea typeface="Cambria" panose="02040503050406030204" pitchFamily="18" charset="0"/>
            </a:rPr>
            <a:t>Vipul</a:t>
          </a:r>
          <a:r>
            <a:rPr lang="en-IN" sz="1600" b="1" baseline="0">
              <a:latin typeface="Cambria" panose="02040503050406030204" pitchFamily="18" charset="0"/>
              <a:ea typeface="Cambria" panose="02040503050406030204" pitchFamily="18" charset="0"/>
            </a:rPr>
            <a:t> Sourabh</a:t>
          </a:r>
          <a:br>
            <a:rPr lang="en-IN" sz="1200" b="1">
              <a:latin typeface="Cambria" panose="02040503050406030204" pitchFamily="18" charset="0"/>
              <a:ea typeface="Cambria" panose="02040503050406030204" pitchFamily="18" charset="0"/>
            </a:rPr>
          </a:br>
          <a:endParaRPr lang="en-IN" sz="1100">
            <a:latin typeface="Cambria" panose="02040503050406030204" pitchFamily="18" charset="0"/>
            <a:ea typeface="Cambria" panose="02040503050406030204" pitchFamily="18" charset="0"/>
          </a:endParaRPr>
        </a:p>
      </xdr:txBody>
    </xdr:sp>
    <xdr:clientData/>
  </xdr:twoCellAnchor>
  <xdr:oneCellAnchor>
    <xdr:from>
      <xdr:col>0</xdr:col>
      <xdr:colOff>251010</xdr:colOff>
      <xdr:row>13</xdr:row>
      <xdr:rowOff>49307</xdr:rowOff>
    </xdr:from>
    <xdr:ext cx="2671483" cy="349622"/>
    <xdr:sp macro="" textlink="">
      <xdr:nvSpPr>
        <xdr:cNvPr id="13" name="TextBox 12">
          <a:extLst>
            <a:ext uri="{FF2B5EF4-FFF2-40B4-BE49-F238E27FC236}">
              <a16:creationId xmlns:a16="http://schemas.microsoft.com/office/drawing/2014/main" id="{10D0ED59-80D9-4C2E-AB63-6D1414542637}"/>
            </a:ext>
          </a:extLst>
        </xdr:cNvPr>
        <xdr:cNvSpPr txBox="1"/>
      </xdr:nvSpPr>
      <xdr:spPr>
        <a:xfrm>
          <a:off x="247200" y="2403887"/>
          <a:ext cx="2671483" cy="3496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300" b="1">
              <a:solidFill>
                <a:schemeClr val="tx1"/>
              </a:solidFill>
              <a:effectLst/>
              <a:latin typeface="Cambria" panose="02040503050406030204" pitchFamily="18" charset="0"/>
              <a:ea typeface="Cambria" panose="02040503050406030204" pitchFamily="18" charset="0"/>
              <a:cs typeface="+mn-cs"/>
            </a:rPr>
            <a:t>Data &amp; Analytics Professional </a:t>
          </a:r>
          <a:endParaRPr lang="en-IN" sz="1300">
            <a:effectLst/>
            <a:latin typeface="Cambria" panose="02040503050406030204" pitchFamily="18" charset="0"/>
            <a:ea typeface="Cambria" panose="02040503050406030204" pitchFamily="18" charset="0"/>
          </a:endParaRPr>
        </a:p>
        <a:p>
          <a:endParaRPr lang="en-IN" sz="1300">
            <a:latin typeface="Cambria" panose="02040503050406030204" pitchFamily="18" charset="0"/>
            <a:ea typeface="Cambria" panose="02040503050406030204" pitchFamily="18" charset="0"/>
          </a:endParaRPr>
        </a:p>
      </xdr:txBody>
    </xdr:sp>
    <xdr:clientData/>
  </xdr:oneCellAnchor>
  <xdr:oneCellAnchor>
    <xdr:from>
      <xdr:col>0</xdr:col>
      <xdr:colOff>251011</xdr:colOff>
      <xdr:row>14</xdr:row>
      <xdr:rowOff>143435</xdr:rowOff>
    </xdr:from>
    <xdr:ext cx="3173506" cy="633443"/>
    <xdr:sp macro="" textlink="">
      <xdr:nvSpPr>
        <xdr:cNvPr id="14" name="TextBox 13">
          <a:extLst>
            <a:ext uri="{FF2B5EF4-FFF2-40B4-BE49-F238E27FC236}">
              <a16:creationId xmlns:a16="http://schemas.microsoft.com/office/drawing/2014/main" id="{5123116E-B7CD-4A4B-A023-713EE0D12017}"/>
            </a:ext>
          </a:extLst>
        </xdr:cNvPr>
        <xdr:cNvSpPr txBox="1"/>
      </xdr:nvSpPr>
      <xdr:spPr>
        <a:xfrm>
          <a:off x="247201" y="2675180"/>
          <a:ext cx="3173506" cy="633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1200">
              <a:latin typeface="Cambria" panose="02040503050406030204" pitchFamily="18" charset="0"/>
              <a:ea typeface="Cambria" panose="02040503050406030204" pitchFamily="18" charset="0"/>
            </a:rPr>
            <a:t>Building practical business analytics solutions using Excel, SQL, Power BI, Looker Studio, and GA4.</a:t>
          </a:r>
          <a:endParaRPr lang="en-IN" sz="1100">
            <a:latin typeface="Cambria" panose="02040503050406030204" pitchFamily="18" charset="0"/>
            <a:ea typeface="Cambria" panose="02040503050406030204" pitchFamily="18" charset="0"/>
          </a:endParaRPr>
        </a:p>
      </xdr:txBody>
    </xdr:sp>
    <xdr:clientData/>
  </xdr:oneCellAnchor>
  <xdr:twoCellAnchor>
    <xdr:from>
      <xdr:col>0</xdr:col>
      <xdr:colOff>121562</xdr:colOff>
      <xdr:row>20</xdr:row>
      <xdr:rowOff>9682</xdr:rowOff>
    </xdr:from>
    <xdr:to>
      <xdr:col>5</xdr:col>
      <xdr:colOff>499514</xdr:colOff>
      <xdr:row>22</xdr:row>
      <xdr:rowOff>21547</xdr:rowOff>
    </xdr:to>
    <xdr:sp macro="" textlink="">
      <xdr:nvSpPr>
        <xdr:cNvPr id="15" name="Rectangle: Rounded Corners 14">
          <a:extLst>
            <a:ext uri="{FF2B5EF4-FFF2-40B4-BE49-F238E27FC236}">
              <a16:creationId xmlns:a16="http://schemas.microsoft.com/office/drawing/2014/main" id="{EC12D3D9-A75C-4FD9-8792-915B1C110575}"/>
            </a:ext>
          </a:extLst>
        </xdr:cNvPr>
        <xdr:cNvSpPr/>
      </xdr:nvSpPr>
      <xdr:spPr>
        <a:xfrm>
          <a:off x="123467" y="3631087"/>
          <a:ext cx="3425952" cy="368100"/>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Connect with Me</a:t>
          </a:r>
        </a:p>
      </xdr:txBody>
    </xdr:sp>
    <xdr:clientData/>
  </xdr:twoCellAnchor>
  <xdr:twoCellAnchor>
    <xdr:from>
      <xdr:col>6</xdr:col>
      <xdr:colOff>206052</xdr:colOff>
      <xdr:row>0</xdr:row>
      <xdr:rowOff>56029</xdr:rowOff>
    </xdr:from>
    <xdr:to>
      <xdr:col>23</xdr:col>
      <xdr:colOff>414617</xdr:colOff>
      <xdr:row>15</xdr:row>
      <xdr:rowOff>21179</xdr:rowOff>
    </xdr:to>
    <xdr:grpSp>
      <xdr:nvGrpSpPr>
        <xdr:cNvPr id="51" name="Group 50">
          <a:extLst>
            <a:ext uri="{FF2B5EF4-FFF2-40B4-BE49-F238E27FC236}">
              <a16:creationId xmlns:a16="http://schemas.microsoft.com/office/drawing/2014/main" id="{BEA6A76C-DD97-3801-5985-8E918E663CE8}"/>
            </a:ext>
          </a:extLst>
        </xdr:cNvPr>
        <xdr:cNvGrpSpPr/>
      </xdr:nvGrpSpPr>
      <xdr:grpSpPr>
        <a:xfrm>
          <a:off x="3840568" y="59839"/>
          <a:ext cx="10489850" cy="2646942"/>
          <a:chOff x="3840569" y="59839"/>
          <a:chExt cx="10323666" cy="2650752"/>
        </a:xfrm>
      </xdr:grpSpPr>
      <xdr:sp macro="" textlink="">
        <xdr:nvSpPr>
          <xdr:cNvPr id="17" name="Rectangle: Rounded Corners 3">
            <a:extLst>
              <a:ext uri="{FF2B5EF4-FFF2-40B4-BE49-F238E27FC236}">
                <a16:creationId xmlns:a16="http://schemas.microsoft.com/office/drawing/2014/main" id="{CE4194EE-4E3B-210E-A7FF-70F4470D8938}"/>
              </a:ext>
            </a:extLst>
          </xdr:cNvPr>
          <xdr:cNvSpPr/>
        </xdr:nvSpPr>
        <xdr:spPr>
          <a:xfrm>
            <a:off x="3874857" y="103224"/>
            <a:ext cx="10252329" cy="2607367"/>
          </a:xfrm>
          <a:custGeom>
            <a:avLst/>
            <a:gdLst>
              <a:gd name="csX0" fmla="*/ 0 w 3402968"/>
              <a:gd name="csY0" fmla="*/ 242575 h 1455420"/>
              <a:gd name="csX1" fmla="*/ 242575 w 3402968"/>
              <a:gd name="csY1" fmla="*/ 0 h 1455420"/>
              <a:gd name="csX2" fmla="*/ 3160393 w 3402968"/>
              <a:gd name="csY2" fmla="*/ 0 h 1455420"/>
              <a:gd name="csX3" fmla="*/ 3402968 w 3402968"/>
              <a:gd name="csY3" fmla="*/ 242575 h 1455420"/>
              <a:gd name="csX4" fmla="*/ 3402968 w 3402968"/>
              <a:gd name="csY4" fmla="*/ 1212845 h 1455420"/>
              <a:gd name="csX5" fmla="*/ 3160393 w 3402968"/>
              <a:gd name="csY5" fmla="*/ 1455420 h 1455420"/>
              <a:gd name="csX6" fmla="*/ 242575 w 3402968"/>
              <a:gd name="csY6" fmla="*/ 1455420 h 1455420"/>
              <a:gd name="csX7" fmla="*/ 0 w 3402968"/>
              <a:gd name="csY7" fmla="*/ 1212845 h 1455420"/>
              <a:gd name="csX8" fmla="*/ 0 w 3402968"/>
              <a:gd name="csY8" fmla="*/ 242575 h 1455420"/>
              <a:gd name="csX0" fmla="*/ 0 w 3405518"/>
              <a:gd name="csY0" fmla="*/ 242575 h 1455420"/>
              <a:gd name="csX1" fmla="*/ 242575 w 3405518"/>
              <a:gd name="csY1" fmla="*/ 0 h 1455420"/>
              <a:gd name="csX2" fmla="*/ 3297553 w 3405518"/>
              <a:gd name="csY2" fmla="*/ 0 h 1455420"/>
              <a:gd name="csX3" fmla="*/ 3402968 w 3405518"/>
              <a:gd name="csY3" fmla="*/ 242575 h 1455420"/>
              <a:gd name="csX4" fmla="*/ 3402968 w 3405518"/>
              <a:gd name="csY4" fmla="*/ 1212845 h 1455420"/>
              <a:gd name="csX5" fmla="*/ 3160393 w 3405518"/>
              <a:gd name="csY5" fmla="*/ 1455420 h 1455420"/>
              <a:gd name="csX6" fmla="*/ 242575 w 3405518"/>
              <a:gd name="csY6" fmla="*/ 1455420 h 1455420"/>
              <a:gd name="csX7" fmla="*/ 0 w 3405518"/>
              <a:gd name="csY7" fmla="*/ 1212845 h 1455420"/>
              <a:gd name="csX8" fmla="*/ 0 w 3405518"/>
              <a:gd name="csY8" fmla="*/ 242575 h 1455420"/>
              <a:gd name="csX0" fmla="*/ 0 w 3405518"/>
              <a:gd name="csY0" fmla="*/ 242575 h 1463040"/>
              <a:gd name="csX1" fmla="*/ 242575 w 3405518"/>
              <a:gd name="csY1" fmla="*/ 0 h 1463040"/>
              <a:gd name="csX2" fmla="*/ 3297553 w 3405518"/>
              <a:gd name="csY2" fmla="*/ 0 h 1463040"/>
              <a:gd name="csX3" fmla="*/ 3402968 w 3405518"/>
              <a:gd name="csY3" fmla="*/ 242575 h 1463040"/>
              <a:gd name="csX4" fmla="*/ 3402968 w 3405518"/>
              <a:gd name="csY4" fmla="*/ 1212845 h 1463040"/>
              <a:gd name="csX5" fmla="*/ 3297553 w 3405518"/>
              <a:gd name="csY5" fmla="*/ 1463040 h 1463040"/>
              <a:gd name="csX6" fmla="*/ 242575 w 3405518"/>
              <a:gd name="csY6" fmla="*/ 1455420 h 1463040"/>
              <a:gd name="csX7" fmla="*/ 0 w 3405518"/>
              <a:gd name="csY7" fmla="*/ 1212845 h 1463040"/>
              <a:gd name="csX8" fmla="*/ 0 w 3405518"/>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24376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98739 w 3406704"/>
              <a:gd name="csY5" fmla="*/ 1463040 h 1463040"/>
              <a:gd name="csX6" fmla="*/ 121841 w 3406704"/>
              <a:gd name="csY6" fmla="*/ 1455420 h 1463040"/>
              <a:gd name="csX7" fmla="*/ 1186 w 3406704"/>
              <a:gd name="csY7" fmla="*/ 1212845 h 1463040"/>
              <a:gd name="csX8" fmla="*/ 1186 w 3406704"/>
              <a:gd name="csY8" fmla="*/ 242575 h 1463040"/>
              <a:gd name="csX0" fmla="*/ 1186 w 3406704"/>
              <a:gd name="csY0" fmla="*/ 242575 h 1463040"/>
              <a:gd name="csX1" fmla="*/ 114221 w 3406704"/>
              <a:gd name="csY1" fmla="*/ 0 h 1463040"/>
              <a:gd name="csX2" fmla="*/ 3298739 w 3406704"/>
              <a:gd name="csY2" fmla="*/ 0 h 1463040"/>
              <a:gd name="csX3" fmla="*/ 3404154 w 3406704"/>
              <a:gd name="csY3" fmla="*/ 242575 h 1463040"/>
              <a:gd name="csX4" fmla="*/ 3404154 w 3406704"/>
              <a:gd name="csY4" fmla="*/ 1212845 h 1463040"/>
              <a:gd name="csX5" fmla="*/ 3265252 w 3406704"/>
              <a:gd name="csY5" fmla="*/ 1463040 h 1463040"/>
              <a:gd name="csX6" fmla="*/ 121841 w 3406704"/>
              <a:gd name="csY6" fmla="*/ 1455420 h 1463040"/>
              <a:gd name="csX7" fmla="*/ 1186 w 3406704"/>
              <a:gd name="csY7" fmla="*/ 1212845 h 1463040"/>
              <a:gd name="csX8" fmla="*/ 1186 w 3406704"/>
              <a:gd name="csY8" fmla="*/ 242575 h 146304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3406704" h="1463040">
                <a:moveTo>
                  <a:pt x="1186" y="242575"/>
                </a:moveTo>
                <a:cubicBezTo>
                  <a:pt x="1186" y="108605"/>
                  <a:pt x="-19749" y="0"/>
                  <a:pt x="114221" y="0"/>
                </a:cubicBezTo>
                <a:lnTo>
                  <a:pt x="3298739" y="0"/>
                </a:lnTo>
                <a:cubicBezTo>
                  <a:pt x="3432709" y="0"/>
                  <a:pt x="3404154" y="108605"/>
                  <a:pt x="3404154" y="242575"/>
                </a:cubicBezTo>
                <a:lnTo>
                  <a:pt x="3404154" y="1212845"/>
                </a:lnTo>
                <a:cubicBezTo>
                  <a:pt x="3404154" y="1346815"/>
                  <a:pt x="3399222" y="1463040"/>
                  <a:pt x="3265252" y="1463040"/>
                </a:cubicBezTo>
                <a:lnTo>
                  <a:pt x="121841" y="1455420"/>
                </a:lnTo>
                <a:cubicBezTo>
                  <a:pt x="-12129" y="1455420"/>
                  <a:pt x="1186" y="1346815"/>
                  <a:pt x="1186" y="1212845"/>
                </a:cubicBezTo>
                <a:lnTo>
                  <a:pt x="1186" y="242575"/>
                </a:lnTo>
                <a:close/>
              </a:path>
            </a:pathLst>
          </a:custGeom>
          <a:solidFill>
            <a:srgbClr val="F4F9F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8" name="Rectangle: Rounded Corners 17">
            <a:extLst>
              <a:ext uri="{FF2B5EF4-FFF2-40B4-BE49-F238E27FC236}">
                <a16:creationId xmlns:a16="http://schemas.microsoft.com/office/drawing/2014/main" id="{57DF4D40-8CBF-8720-EB1F-3EC7A06E8A83}"/>
              </a:ext>
            </a:extLst>
          </xdr:cNvPr>
          <xdr:cNvSpPr/>
        </xdr:nvSpPr>
        <xdr:spPr>
          <a:xfrm>
            <a:off x="3836759" y="56029"/>
            <a:ext cx="10331286" cy="418279"/>
          </a:xfrm>
          <a:prstGeom prst="roundRect">
            <a:avLst/>
          </a:prstGeom>
          <a:gradFill flip="none" rotWithShape="1">
            <a:gsLst>
              <a:gs pos="0">
                <a:srgbClr val="008200">
                  <a:shade val="30000"/>
                  <a:satMod val="115000"/>
                </a:srgbClr>
              </a:gs>
              <a:gs pos="50000">
                <a:srgbClr val="008200">
                  <a:shade val="67500"/>
                  <a:satMod val="115000"/>
                </a:srgbClr>
              </a:gs>
              <a:gs pos="100000">
                <a:srgbClr val="008200">
                  <a:shade val="100000"/>
                  <a:satMod val="115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Cambria" panose="02040503050406030204" pitchFamily="18" charset="0"/>
                <a:ea typeface="Cambria" panose="02040503050406030204" pitchFamily="18" charset="0"/>
              </a:rPr>
              <a:t>Project Summary</a:t>
            </a:r>
          </a:p>
        </xdr:txBody>
      </xdr:sp>
    </xdr:grpSp>
    <xdr:clientData/>
  </xdr:twoCellAnchor>
  <xdr:oneCellAnchor>
    <xdr:from>
      <xdr:col>0</xdr:col>
      <xdr:colOff>242048</xdr:colOff>
      <xdr:row>3</xdr:row>
      <xdr:rowOff>19007</xdr:rowOff>
    </xdr:from>
    <xdr:ext cx="3254187" cy="633443"/>
    <xdr:sp macro="" textlink="">
      <xdr:nvSpPr>
        <xdr:cNvPr id="19" name="TextBox 18">
          <a:extLst>
            <a:ext uri="{FF2B5EF4-FFF2-40B4-BE49-F238E27FC236}">
              <a16:creationId xmlns:a16="http://schemas.microsoft.com/office/drawing/2014/main" id="{FAC5B32D-8E42-4403-B5EF-824F2BF7E854}"/>
            </a:ext>
          </a:extLst>
        </xdr:cNvPr>
        <xdr:cNvSpPr txBox="1"/>
      </xdr:nvSpPr>
      <xdr:spPr>
        <a:xfrm>
          <a:off x="245858" y="565742"/>
          <a:ext cx="3254187" cy="633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sp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a:latin typeface="Cambria" panose="02040503050406030204" pitchFamily="18" charset="0"/>
              <a:ea typeface="Cambria" panose="02040503050406030204" pitchFamily="18" charset="0"/>
            </a:rPr>
            <a:t>An interactive Excel dashboard for analyzing retail sales performance using Pivot Tables, KPI reporting, and dynamic visualizations.</a:t>
          </a:r>
        </a:p>
      </xdr:txBody>
    </xdr:sp>
    <xdr:clientData/>
  </xdr:oneCellAnchor>
  <xdr:twoCellAnchor>
    <xdr:from>
      <xdr:col>0</xdr:col>
      <xdr:colOff>236892</xdr:colOff>
      <xdr:row>24</xdr:row>
      <xdr:rowOff>14715</xdr:rowOff>
    </xdr:from>
    <xdr:to>
      <xdr:col>1</xdr:col>
      <xdr:colOff>408567</xdr:colOff>
      <xdr:row>28</xdr:row>
      <xdr:rowOff>131857</xdr:rowOff>
    </xdr:to>
    <xdr:grpSp>
      <xdr:nvGrpSpPr>
        <xdr:cNvPr id="53" name="Group 52">
          <a:hlinkClick xmlns:r="http://schemas.openxmlformats.org/officeDocument/2006/relationships" r:id="rId2"/>
          <a:extLst>
            <a:ext uri="{FF2B5EF4-FFF2-40B4-BE49-F238E27FC236}">
              <a16:creationId xmlns:a16="http://schemas.microsoft.com/office/drawing/2014/main" id="{F17FD574-8477-37B8-D356-D2242CAC0F0F}"/>
            </a:ext>
          </a:extLst>
        </xdr:cNvPr>
        <xdr:cNvGrpSpPr/>
      </xdr:nvGrpSpPr>
      <xdr:grpSpPr>
        <a:xfrm>
          <a:off x="238797" y="4321584"/>
          <a:ext cx="772983" cy="834318"/>
          <a:chOff x="234987" y="4314000"/>
          <a:chExt cx="780603" cy="840033"/>
        </a:xfrm>
      </xdr:grpSpPr>
      <xdr:sp macro="" textlink="">
        <xdr:nvSpPr>
          <xdr:cNvPr id="3" name="TextBox 2">
            <a:extLst>
              <a:ext uri="{FF2B5EF4-FFF2-40B4-BE49-F238E27FC236}">
                <a16:creationId xmlns:a16="http://schemas.microsoft.com/office/drawing/2014/main" id="{21979AC4-F33A-4AD4-BB91-B66606610B59}"/>
              </a:ext>
            </a:extLst>
          </xdr:cNvPr>
          <xdr:cNvSpPr txBox="1"/>
        </xdr:nvSpPr>
        <xdr:spPr>
          <a:xfrm>
            <a:off x="234987" y="4831305"/>
            <a:ext cx="780603" cy="3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LinkedIn</a:t>
            </a:r>
          </a:p>
        </xdr:txBody>
      </xdr:sp>
      <xdr:pic>
        <xdr:nvPicPr>
          <xdr:cNvPr id="20" name="Picture 19">
            <a:extLst>
              <a:ext uri="{FF2B5EF4-FFF2-40B4-BE49-F238E27FC236}">
                <a16:creationId xmlns:a16="http://schemas.microsoft.com/office/drawing/2014/main" id="{BE02C6AF-514A-4FA3-A5C4-51AD8C10AA24}"/>
              </a:ext>
            </a:extLst>
          </xdr:cNvPr>
          <xdr:cNvPicPr>
            <a:picLocks noChangeAspect="1"/>
          </xdr:cNvPicPr>
        </xdr:nvPicPr>
        <xdr:blipFill>
          <a:blip xmlns:r="http://schemas.openxmlformats.org/officeDocument/2006/relationships" r:embed="rId3"/>
          <a:stretch>
            <a:fillRect/>
          </a:stretch>
        </xdr:blipFill>
        <xdr:spPr>
          <a:xfrm>
            <a:off x="362399" y="4314000"/>
            <a:ext cx="488576" cy="489248"/>
          </a:xfrm>
          <a:prstGeom prst="rect">
            <a:avLst/>
          </a:prstGeom>
        </xdr:spPr>
      </xdr:pic>
    </xdr:grpSp>
    <xdr:clientData/>
  </xdr:twoCellAnchor>
  <xdr:twoCellAnchor>
    <xdr:from>
      <xdr:col>6</xdr:col>
      <xdr:colOff>287431</xdr:colOff>
      <xdr:row>3</xdr:row>
      <xdr:rowOff>103430</xdr:rowOff>
    </xdr:from>
    <xdr:to>
      <xdr:col>15</xdr:col>
      <xdr:colOff>59839</xdr:colOff>
      <xdr:row>14</xdr:row>
      <xdr:rowOff>81689</xdr:rowOff>
    </xdr:to>
    <xdr:sp macro="" textlink="">
      <xdr:nvSpPr>
        <xdr:cNvPr id="24" name="TextBox 23">
          <a:extLst>
            <a:ext uri="{FF2B5EF4-FFF2-40B4-BE49-F238E27FC236}">
              <a16:creationId xmlns:a16="http://schemas.microsoft.com/office/drawing/2014/main" id="{F74B03B2-C00F-4FE8-9140-E870A166BB8E}"/>
            </a:ext>
          </a:extLst>
        </xdr:cNvPr>
        <xdr:cNvSpPr txBox="1"/>
      </xdr:nvSpPr>
      <xdr:spPr>
        <a:xfrm>
          <a:off x="3918137" y="641312"/>
          <a:ext cx="5218467" cy="195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Cambria" panose="02040503050406030204" pitchFamily="18" charset="0"/>
              <a:ea typeface="Cambria" panose="02040503050406030204" pitchFamily="18" charset="0"/>
            </a:rPr>
            <a:t>Project</a:t>
          </a:r>
          <a:r>
            <a:rPr lang="en-IN" sz="1400" b="1" baseline="0">
              <a:latin typeface="Cambria" panose="02040503050406030204" pitchFamily="18" charset="0"/>
              <a:ea typeface="Cambria" panose="02040503050406030204" pitchFamily="18" charset="0"/>
            </a:rPr>
            <a:t> Name:       </a:t>
          </a:r>
          <a:r>
            <a:rPr lang="en-IN" sz="1400" baseline="0">
              <a:latin typeface="Cambria" panose="02040503050406030204" pitchFamily="18" charset="0"/>
              <a:ea typeface="Cambria" panose="02040503050406030204" pitchFamily="18" charset="0"/>
            </a:rPr>
            <a:t>Retail Clothing Sales Dashboard</a:t>
          </a:r>
        </a:p>
        <a:p>
          <a:r>
            <a:rPr lang="en-IN" sz="1400" b="1" baseline="0">
              <a:latin typeface="Cambria" panose="02040503050406030204" pitchFamily="18" charset="0"/>
              <a:ea typeface="Cambria" panose="02040503050406030204" pitchFamily="18" charset="0"/>
            </a:rPr>
            <a:t>Dataset:                   </a:t>
          </a:r>
          <a:r>
            <a:rPr lang="en-IN" sz="1400" baseline="0">
              <a:latin typeface="Cambria" panose="02040503050406030204" pitchFamily="18" charset="0"/>
              <a:ea typeface="Cambria" panose="02040503050406030204" pitchFamily="18" charset="0"/>
            </a:rPr>
            <a:t>Retail Clothing dataset</a:t>
          </a:r>
        </a:p>
        <a:p>
          <a:r>
            <a:rPr lang="en-IN" sz="1400" b="1" baseline="0">
              <a:latin typeface="Cambria" panose="02040503050406030204" pitchFamily="18" charset="0"/>
              <a:ea typeface="Cambria" panose="02040503050406030204" pitchFamily="18" charset="0"/>
            </a:rPr>
            <a:t>Focus:                       </a:t>
          </a:r>
          <a:r>
            <a:rPr lang="en-IN" sz="1400" b="0" baseline="0">
              <a:latin typeface="Cambria" panose="02040503050406030204" pitchFamily="18" charset="0"/>
              <a:ea typeface="Cambria" panose="02040503050406030204" pitchFamily="18" charset="0"/>
            </a:rPr>
            <a:t>Business Analytics &amp; Dashboard </a:t>
          </a:r>
          <a:r>
            <a:rPr lang="en-IN" sz="1400" baseline="0">
              <a:latin typeface="Cambria" panose="02040503050406030204" pitchFamily="18" charset="0"/>
              <a:ea typeface="Cambria" panose="02040503050406030204" pitchFamily="18" charset="0"/>
            </a:rPr>
            <a:t>Development</a:t>
          </a:r>
        </a:p>
        <a:p>
          <a:r>
            <a:rPr lang="en-IN" sz="1400" b="1" baseline="0">
              <a:latin typeface="Cambria" panose="02040503050406030204" pitchFamily="18" charset="0"/>
              <a:ea typeface="Cambria" panose="02040503050406030204" pitchFamily="18" charset="0"/>
            </a:rPr>
            <a:t>Techniques:           </a:t>
          </a:r>
          <a:r>
            <a:rPr lang="en-IN" sz="1400" baseline="0">
              <a:latin typeface="Cambria" panose="02040503050406030204" pitchFamily="18" charset="0"/>
              <a:ea typeface="Cambria" panose="02040503050406030204" pitchFamily="18" charset="0"/>
            </a:rPr>
            <a:t>Pivot Tables, Pivot Charts, KPI Cards, Slicers</a:t>
          </a:r>
        </a:p>
        <a:p>
          <a:r>
            <a:rPr lang="en-IN" sz="1400" b="1" baseline="0">
              <a:latin typeface="Cambria" panose="02040503050406030204" pitchFamily="18" charset="0"/>
              <a:ea typeface="Cambria" panose="02040503050406030204" pitchFamily="18" charset="0"/>
            </a:rPr>
            <a:t>Dashboard Type: </a:t>
          </a:r>
          <a:r>
            <a:rPr lang="en-IN" sz="1400" baseline="0">
              <a:latin typeface="Cambria" panose="02040503050406030204" pitchFamily="18" charset="0"/>
              <a:ea typeface="Cambria" panose="02040503050406030204" pitchFamily="18" charset="0"/>
            </a:rPr>
            <a:t>Executive Analytics Dashboard</a:t>
          </a:r>
        </a:p>
        <a:p>
          <a:r>
            <a:rPr lang="en-IN" sz="1400" b="1" baseline="0">
              <a:latin typeface="Cambria" panose="02040503050406030204" pitchFamily="18" charset="0"/>
              <a:ea typeface="Cambria" panose="02040503050406030204" pitchFamily="18" charset="0"/>
            </a:rPr>
            <a:t>Level:                         </a:t>
          </a:r>
          <a:r>
            <a:rPr lang="en-IN" sz="1400" baseline="0">
              <a:latin typeface="Cambria" panose="02040503050406030204" pitchFamily="18" charset="0"/>
              <a:ea typeface="Cambria" panose="02040503050406030204" pitchFamily="18" charset="0"/>
            </a:rPr>
            <a:t>Advanced</a:t>
          </a:r>
          <a:endParaRPr lang="en-IN" sz="1400">
            <a:latin typeface="Cambria" panose="02040503050406030204" pitchFamily="18" charset="0"/>
            <a:ea typeface="Cambria" panose="02040503050406030204" pitchFamily="18" charset="0"/>
          </a:endParaRPr>
        </a:p>
      </xdr:txBody>
    </xdr:sp>
    <xdr:clientData/>
  </xdr:twoCellAnchor>
  <xdr:twoCellAnchor>
    <xdr:from>
      <xdr:col>6</xdr:col>
      <xdr:colOff>507738</xdr:colOff>
      <xdr:row>18</xdr:row>
      <xdr:rowOff>86396</xdr:rowOff>
    </xdr:from>
    <xdr:to>
      <xdr:col>11</xdr:col>
      <xdr:colOff>123265</xdr:colOff>
      <xdr:row>29</xdr:row>
      <xdr:rowOff>130660</xdr:rowOff>
    </xdr:to>
    <xdr:sp macro="" textlink="">
      <xdr:nvSpPr>
        <xdr:cNvPr id="27" name="Rectangle: Rounded Corners 26">
          <a:extLst>
            <a:ext uri="{FF2B5EF4-FFF2-40B4-BE49-F238E27FC236}">
              <a16:creationId xmlns:a16="http://schemas.microsoft.com/office/drawing/2014/main" id="{6D17A877-DC59-4A12-94F2-8CCC369789F1}"/>
            </a:ext>
          </a:extLst>
        </xdr:cNvPr>
        <xdr:cNvSpPr/>
      </xdr:nvSpPr>
      <xdr:spPr>
        <a:xfrm>
          <a:off x="4138444" y="3313690"/>
          <a:ext cx="2641115" cy="201649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200" b="1" u="sng">
              <a:solidFill>
                <a:schemeClr val="accent6">
                  <a:lumMod val="50000"/>
                </a:schemeClr>
              </a:solidFill>
              <a:latin typeface="Cambria" panose="02040503050406030204" pitchFamily="18" charset="0"/>
              <a:ea typeface="Cambria" panose="02040503050406030204" pitchFamily="18" charset="0"/>
            </a:rPr>
            <a:t>Excel Analytics</a:t>
          </a:r>
          <a:r>
            <a:rPr lang="en-IN" sz="1200" b="1" u="sng" baseline="0">
              <a:solidFill>
                <a:schemeClr val="accent6">
                  <a:lumMod val="50000"/>
                </a:schemeClr>
              </a:solidFill>
              <a:latin typeface="Cambria" panose="02040503050406030204" pitchFamily="18" charset="0"/>
              <a:ea typeface="Cambria" panose="02040503050406030204" pitchFamily="18" charset="0"/>
            </a:rPr>
            <a:t> Portfolio</a:t>
          </a:r>
          <a:endParaRPr lang="en-IN" sz="1200" b="1" u="sng">
            <a:solidFill>
              <a:schemeClr val="accent6">
                <a:lumMod val="50000"/>
              </a:schemeClr>
            </a:solidFill>
            <a:latin typeface="Cambria" panose="02040503050406030204" pitchFamily="18" charset="0"/>
            <a:ea typeface="Cambria" panose="02040503050406030204" pitchFamily="18" charset="0"/>
          </a:endParaRPr>
        </a:p>
      </xdr:txBody>
    </xdr:sp>
    <xdr:clientData/>
  </xdr:twoCellAnchor>
  <xdr:twoCellAnchor>
    <xdr:from>
      <xdr:col>12</xdr:col>
      <xdr:colOff>267371</xdr:colOff>
      <xdr:row>18</xdr:row>
      <xdr:rowOff>86396</xdr:rowOff>
    </xdr:from>
    <xdr:to>
      <xdr:col>16</xdr:col>
      <xdr:colOff>13111</xdr:colOff>
      <xdr:row>29</xdr:row>
      <xdr:rowOff>130660</xdr:rowOff>
    </xdr:to>
    <xdr:sp macro="" textlink="">
      <xdr:nvSpPr>
        <xdr:cNvPr id="28" name="Rectangle: Rounded Corners 27">
          <a:extLst>
            <a:ext uri="{FF2B5EF4-FFF2-40B4-BE49-F238E27FC236}">
              <a16:creationId xmlns:a16="http://schemas.microsoft.com/office/drawing/2014/main" id="{0D08FC91-5942-436D-ABEE-7D376586AACB}"/>
            </a:ext>
          </a:extLst>
        </xdr:cNvPr>
        <xdr:cNvSpPr/>
      </xdr:nvSpPr>
      <xdr:spPr>
        <a:xfrm>
          <a:off x="7528783" y="3313690"/>
          <a:ext cx="2166210" cy="201649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u="sng">
              <a:solidFill>
                <a:schemeClr val="accent6">
                  <a:lumMod val="50000"/>
                </a:schemeClr>
              </a:solidFill>
              <a:latin typeface="Cambria" panose="02040503050406030204" pitchFamily="18" charset="0"/>
              <a:ea typeface="Cambria" panose="02040503050406030204" pitchFamily="18" charset="0"/>
            </a:rPr>
            <a:t>SQL</a:t>
          </a:r>
          <a:r>
            <a:rPr lang="en-IN" sz="1200" b="1" u="sng" baseline="0">
              <a:solidFill>
                <a:schemeClr val="accent6">
                  <a:lumMod val="50000"/>
                </a:schemeClr>
              </a:solidFill>
              <a:latin typeface="Cambria" panose="02040503050406030204" pitchFamily="18" charset="0"/>
              <a:ea typeface="Cambria" panose="02040503050406030204" pitchFamily="18" charset="0"/>
            </a:rPr>
            <a:t> Analytics Portfolio</a:t>
          </a:r>
          <a:endParaRPr lang="en-IN" sz="1200" b="1" u="sng">
            <a:solidFill>
              <a:schemeClr val="accent6">
                <a:lumMod val="50000"/>
              </a:schemeClr>
            </a:solidFill>
            <a:latin typeface="Cambria" panose="02040503050406030204" pitchFamily="18" charset="0"/>
            <a:ea typeface="Cambria" panose="02040503050406030204" pitchFamily="18" charset="0"/>
          </a:endParaRPr>
        </a:p>
      </xdr:txBody>
    </xdr:sp>
    <xdr:clientData/>
  </xdr:twoCellAnchor>
  <xdr:twoCellAnchor>
    <xdr:from>
      <xdr:col>17</xdr:col>
      <xdr:colOff>21514</xdr:colOff>
      <xdr:row>18</xdr:row>
      <xdr:rowOff>108808</xdr:rowOff>
    </xdr:from>
    <xdr:to>
      <xdr:col>20</xdr:col>
      <xdr:colOff>376181</xdr:colOff>
      <xdr:row>29</xdr:row>
      <xdr:rowOff>153072</xdr:rowOff>
    </xdr:to>
    <xdr:sp macro="" textlink="">
      <xdr:nvSpPr>
        <xdr:cNvPr id="29" name="Rectangle: Rounded Corners 28">
          <a:extLst>
            <a:ext uri="{FF2B5EF4-FFF2-40B4-BE49-F238E27FC236}">
              <a16:creationId xmlns:a16="http://schemas.microsoft.com/office/drawing/2014/main" id="{61F55437-5BAB-4FFE-87A6-D01D21DD305E}"/>
            </a:ext>
          </a:extLst>
        </xdr:cNvPr>
        <xdr:cNvSpPr/>
      </xdr:nvSpPr>
      <xdr:spPr>
        <a:xfrm>
          <a:off x="10308514" y="3336102"/>
          <a:ext cx="2170020" cy="201649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accent6">
                  <a:lumMod val="50000"/>
                </a:schemeClr>
              </a:solidFill>
              <a:latin typeface="Cambria" panose="02040503050406030204" pitchFamily="18" charset="0"/>
              <a:ea typeface="Cambria" panose="02040503050406030204" pitchFamily="18" charset="0"/>
            </a:rPr>
            <a:t>Power BI Portfolio</a:t>
          </a:r>
        </a:p>
      </xdr:txBody>
    </xdr:sp>
    <xdr:clientData/>
  </xdr:twoCellAnchor>
  <xdr:oneCellAnchor>
    <xdr:from>
      <xdr:col>6</xdr:col>
      <xdr:colOff>403412</xdr:colOff>
      <xdr:row>18</xdr:row>
      <xdr:rowOff>107575</xdr:rowOff>
    </xdr:from>
    <xdr:ext cx="357917" cy="358589"/>
    <xdr:pic>
      <xdr:nvPicPr>
        <xdr:cNvPr id="32" name="Picture 31">
          <a:hlinkClick xmlns:r="http://schemas.openxmlformats.org/officeDocument/2006/relationships" r:id="rId4"/>
          <a:extLst>
            <a:ext uri="{FF2B5EF4-FFF2-40B4-BE49-F238E27FC236}">
              <a16:creationId xmlns:a16="http://schemas.microsoft.com/office/drawing/2014/main" id="{3E0A380E-A212-4B8B-B78F-64985036F33D}"/>
            </a:ext>
          </a:extLst>
        </xdr:cNvPr>
        <xdr:cNvPicPr>
          <a:picLocks noChangeAspect="1"/>
        </xdr:cNvPicPr>
      </xdr:nvPicPr>
      <xdr:blipFill>
        <a:blip xmlns:r="http://schemas.openxmlformats.org/officeDocument/2006/relationships" r:embed="rId5"/>
        <a:stretch>
          <a:fillRect/>
        </a:stretch>
      </xdr:blipFill>
      <xdr:spPr>
        <a:xfrm>
          <a:off x="4057202" y="3363220"/>
          <a:ext cx="357917" cy="358589"/>
        </a:xfrm>
        <a:prstGeom prst="rect">
          <a:avLst/>
        </a:prstGeom>
      </xdr:spPr>
    </xdr:pic>
    <xdr:clientData/>
  </xdr:oneCellAnchor>
  <xdr:oneCellAnchor>
    <xdr:from>
      <xdr:col>12</xdr:col>
      <xdr:colOff>131557</xdr:colOff>
      <xdr:row>18</xdr:row>
      <xdr:rowOff>103767</xdr:rowOff>
    </xdr:from>
    <xdr:ext cx="349803" cy="360000"/>
    <xdr:pic>
      <xdr:nvPicPr>
        <xdr:cNvPr id="33" name="Picture 32">
          <a:extLst>
            <a:ext uri="{FF2B5EF4-FFF2-40B4-BE49-F238E27FC236}">
              <a16:creationId xmlns:a16="http://schemas.microsoft.com/office/drawing/2014/main" id="{D2884465-E4B2-4284-932E-35310510FCC5}"/>
            </a:ext>
          </a:extLst>
        </xdr:cNvPr>
        <xdr:cNvPicPr>
          <a:picLocks noChangeAspect="1"/>
        </xdr:cNvPicPr>
      </xdr:nvPicPr>
      <xdr:blipFill>
        <a:blip xmlns:r="http://schemas.openxmlformats.org/officeDocument/2006/relationships" r:embed="rId6"/>
        <a:stretch>
          <a:fillRect/>
        </a:stretch>
      </xdr:blipFill>
      <xdr:spPr>
        <a:xfrm>
          <a:off x="7392969" y="3331061"/>
          <a:ext cx="349803" cy="360000"/>
        </a:xfrm>
        <a:prstGeom prst="rect">
          <a:avLst/>
        </a:prstGeom>
      </xdr:spPr>
    </xdr:pic>
    <xdr:clientData/>
  </xdr:oneCellAnchor>
  <xdr:oneCellAnchor>
    <xdr:from>
      <xdr:col>16</xdr:col>
      <xdr:colOff>508747</xdr:colOff>
      <xdr:row>18</xdr:row>
      <xdr:rowOff>119679</xdr:rowOff>
    </xdr:from>
    <xdr:ext cx="351708" cy="360000"/>
    <xdr:pic>
      <xdr:nvPicPr>
        <xdr:cNvPr id="34" name="Graphic 33" descr="Bar chart with solid fill">
          <a:extLst>
            <a:ext uri="{FF2B5EF4-FFF2-40B4-BE49-F238E27FC236}">
              <a16:creationId xmlns:a16="http://schemas.microsoft.com/office/drawing/2014/main" id="{061D025F-B162-4A7D-82D6-F303217D094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190629" y="3346973"/>
          <a:ext cx="351708" cy="360000"/>
        </a:xfrm>
        <a:prstGeom prst="rect">
          <a:avLst/>
        </a:prstGeom>
      </xdr:spPr>
    </xdr:pic>
    <xdr:clientData/>
  </xdr:oneCellAnchor>
  <xdr:twoCellAnchor>
    <xdr:from>
      <xdr:col>12</xdr:col>
      <xdr:colOff>340993</xdr:colOff>
      <xdr:row>21</xdr:row>
      <xdr:rowOff>48635</xdr:rowOff>
    </xdr:from>
    <xdr:to>
      <xdr:col>16</xdr:col>
      <xdr:colOff>48968</xdr:colOff>
      <xdr:row>22</xdr:row>
      <xdr:rowOff>139625</xdr:rowOff>
    </xdr:to>
    <xdr:sp macro="" textlink="">
      <xdr:nvSpPr>
        <xdr:cNvPr id="35" name="TextBox 34">
          <a:extLst>
            <a:ext uri="{FF2B5EF4-FFF2-40B4-BE49-F238E27FC236}">
              <a16:creationId xmlns:a16="http://schemas.microsoft.com/office/drawing/2014/main" id="{B087600C-3EF4-4045-820F-E431B8659333}"/>
            </a:ext>
          </a:extLst>
        </xdr:cNvPr>
        <xdr:cNvSpPr txBox="1"/>
      </xdr:nvSpPr>
      <xdr:spPr>
        <a:xfrm>
          <a:off x="7602405" y="3813811"/>
          <a:ext cx="2128445" cy="270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latin typeface="Cambria" panose="02040503050406030204" pitchFamily="18" charset="0"/>
              <a:ea typeface="Cambria" panose="02040503050406030204" pitchFamily="18" charset="0"/>
              <a:cs typeface="+mn-cs"/>
            </a:rPr>
            <a:t>Data</a:t>
          </a:r>
          <a:r>
            <a:rPr lang="en-IN" sz="1200" baseline="0">
              <a:solidFill>
                <a:schemeClr val="dk1"/>
              </a:solidFill>
              <a:latin typeface="Cambria" panose="02040503050406030204" pitchFamily="18" charset="0"/>
              <a:ea typeface="Cambria" panose="02040503050406030204" pitchFamily="18" charset="0"/>
              <a:cs typeface="+mn-cs"/>
            </a:rPr>
            <a:t> Warehouse</a:t>
          </a:r>
          <a:endParaRPr lang="en-IN" sz="1200">
            <a:solidFill>
              <a:schemeClr val="dk1"/>
            </a:solidFill>
            <a:latin typeface="Cambria" panose="02040503050406030204" pitchFamily="18" charset="0"/>
            <a:ea typeface="Cambria" panose="02040503050406030204" pitchFamily="18" charset="0"/>
            <a:cs typeface="+mn-cs"/>
          </a:endParaRPr>
        </a:p>
      </xdr:txBody>
    </xdr:sp>
    <xdr:clientData/>
  </xdr:twoCellAnchor>
  <xdr:twoCellAnchor>
    <xdr:from>
      <xdr:col>12</xdr:col>
      <xdr:colOff>317909</xdr:colOff>
      <xdr:row>25</xdr:row>
      <xdr:rowOff>48636</xdr:rowOff>
    </xdr:from>
    <xdr:to>
      <xdr:col>16</xdr:col>
      <xdr:colOff>25884</xdr:colOff>
      <xdr:row>27</xdr:row>
      <xdr:rowOff>165176</xdr:rowOff>
    </xdr:to>
    <xdr:sp macro="" textlink="">
      <xdr:nvSpPr>
        <xdr:cNvPr id="36" name="TextBox 35">
          <a:extLst>
            <a:ext uri="{FF2B5EF4-FFF2-40B4-BE49-F238E27FC236}">
              <a16:creationId xmlns:a16="http://schemas.microsoft.com/office/drawing/2014/main" id="{719442F1-B605-4194-85AB-266E38853FA1}"/>
            </a:ext>
          </a:extLst>
        </xdr:cNvPr>
        <xdr:cNvSpPr txBox="1"/>
      </xdr:nvSpPr>
      <xdr:spPr>
        <a:xfrm>
          <a:off x="7579321" y="4530989"/>
          <a:ext cx="2128445" cy="475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Advanced Analytics</a:t>
          </a:r>
          <a:endParaRPr lang="en-IN" sz="1400">
            <a:effectLst/>
            <a:latin typeface="Cambria" panose="02040503050406030204" pitchFamily="18" charset="0"/>
            <a:ea typeface="Cambria" panose="02040503050406030204" pitchFamily="18" charset="0"/>
          </a:endParaRPr>
        </a:p>
      </xdr:txBody>
    </xdr:sp>
    <xdr:clientData/>
  </xdr:twoCellAnchor>
  <xdr:twoCellAnchor>
    <xdr:from>
      <xdr:col>12</xdr:col>
      <xdr:colOff>326313</xdr:colOff>
      <xdr:row>23</xdr:row>
      <xdr:rowOff>21181</xdr:rowOff>
    </xdr:from>
    <xdr:to>
      <xdr:col>16</xdr:col>
      <xdr:colOff>34288</xdr:colOff>
      <xdr:row>24</xdr:row>
      <xdr:rowOff>152400</xdr:rowOff>
    </xdr:to>
    <xdr:sp macro="" textlink="">
      <xdr:nvSpPr>
        <xdr:cNvPr id="37" name="TextBox 36">
          <a:extLst>
            <a:ext uri="{FF2B5EF4-FFF2-40B4-BE49-F238E27FC236}">
              <a16:creationId xmlns:a16="http://schemas.microsoft.com/office/drawing/2014/main" id="{23E696D3-2A20-4F1E-BE60-9787805237D0}"/>
            </a:ext>
          </a:extLst>
        </xdr:cNvPr>
        <xdr:cNvSpPr txBox="1"/>
      </xdr:nvSpPr>
      <xdr:spPr>
        <a:xfrm>
          <a:off x="7587725" y="4144946"/>
          <a:ext cx="2128445" cy="310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Exploratory Data Analysis</a:t>
          </a:r>
          <a:endParaRPr lang="en-IN" sz="1200">
            <a:effectLst/>
            <a:latin typeface="Cambria" panose="02040503050406030204" pitchFamily="18" charset="0"/>
            <a:ea typeface="Cambria" panose="02040503050406030204" pitchFamily="18" charset="0"/>
          </a:endParaRPr>
        </a:p>
      </xdr:txBody>
    </xdr:sp>
    <xdr:clientData/>
  </xdr:twoCellAnchor>
  <xdr:twoCellAnchor>
    <xdr:from>
      <xdr:col>2</xdr:col>
      <xdr:colOff>293653</xdr:colOff>
      <xdr:row>24</xdr:row>
      <xdr:rowOff>18490</xdr:rowOff>
    </xdr:from>
    <xdr:to>
      <xdr:col>3</xdr:col>
      <xdr:colOff>381953</xdr:colOff>
      <xdr:row>28</xdr:row>
      <xdr:rowOff>135703</xdr:rowOff>
    </xdr:to>
    <xdr:grpSp>
      <xdr:nvGrpSpPr>
        <xdr:cNvPr id="52" name="Group 51">
          <a:hlinkClick xmlns:r="http://schemas.openxmlformats.org/officeDocument/2006/relationships" r:id="rId1"/>
          <a:extLst>
            <a:ext uri="{FF2B5EF4-FFF2-40B4-BE49-F238E27FC236}">
              <a16:creationId xmlns:a16="http://schemas.microsoft.com/office/drawing/2014/main" id="{195BEE31-C078-7EA9-DE37-0FFC5EA88C58}"/>
            </a:ext>
          </a:extLst>
        </xdr:cNvPr>
        <xdr:cNvGrpSpPr/>
      </xdr:nvGrpSpPr>
      <xdr:grpSpPr>
        <a:xfrm>
          <a:off x="1501983" y="4325359"/>
          <a:ext cx="695323" cy="826769"/>
          <a:chOff x="1062318" y="4313929"/>
          <a:chExt cx="687703" cy="840104"/>
        </a:xfrm>
      </xdr:grpSpPr>
      <xdr:pic>
        <xdr:nvPicPr>
          <xdr:cNvPr id="21" name="Picture 20">
            <a:extLst>
              <a:ext uri="{FF2B5EF4-FFF2-40B4-BE49-F238E27FC236}">
                <a16:creationId xmlns:a16="http://schemas.microsoft.com/office/drawing/2014/main" id="{057D7094-690E-41C7-A22C-ECC5BE4AC865}"/>
              </a:ext>
            </a:extLst>
          </xdr:cNvPr>
          <xdr:cNvPicPr>
            <a:picLocks noChangeAspect="1"/>
          </xdr:cNvPicPr>
        </xdr:nvPicPr>
        <xdr:blipFill>
          <a:blip xmlns:r="http://schemas.openxmlformats.org/officeDocument/2006/relationships" r:embed="rId9"/>
          <a:stretch>
            <a:fillRect/>
          </a:stretch>
        </xdr:blipFill>
        <xdr:spPr>
          <a:xfrm>
            <a:off x="1136930" y="4313929"/>
            <a:ext cx="488717" cy="489390"/>
          </a:xfrm>
          <a:prstGeom prst="rect">
            <a:avLst/>
          </a:prstGeom>
        </xdr:spPr>
      </xdr:pic>
      <xdr:sp macro="" textlink="">
        <xdr:nvSpPr>
          <xdr:cNvPr id="38" name="TextBox 37">
            <a:extLst>
              <a:ext uri="{FF2B5EF4-FFF2-40B4-BE49-F238E27FC236}">
                <a16:creationId xmlns:a16="http://schemas.microsoft.com/office/drawing/2014/main" id="{4EA23BE6-E7F3-4755-9885-C20D2DDB0E63}"/>
              </a:ext>
            </a:extLst>
          </xdr:cNvPr>
          <xdr:cNvSpPr txBox="1"/>
        </xdr:nvSpPr>
        <xdr:spPr>
          <a:xfrm>
            <a:off x="1062318" y="4831305"/>
            <a:ext cx="687703" cy="3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GitHub</a:t>
            </a:r>
          </a:p>
        </xdr:txBody>
      </xdr:sp>
    </xdr:grpSp>
    <xdr:clientData/>
  </xdr:twoCellAnchor>
  <xdr:twoCellAnchor>
    <xdr:from>
      <xdr:col>4</xdr:col>
      <xdr:colOff>268942</xdr:colOff>
      <xdr:row>24</xdr:row>
      <xdr:rowOff>14680</xdr:rowOff>
    </xdr:from>
    <xdr:to>
      <xdr:col>5</xdr:col>
      <xdr:colOff>173580</xdr:colOff>
      <xdr:row>28</xdr:row>
      <xdr:rowOff>131893</xdr:rowOff>
    </xdr:to>
    <xdr:grpSp>
      <xdr:nvGrpSpPr>
        <xdr:cNvPr id="54" name="Group 53">
          <a:hlinkClick xmlns:r="http://schemas.openxmlformats.org/officeDocument/2006/relationships" r:id="rId10"/>
          <a:extLst>
            <a:ext uri="{FF2B5EF4-FFF2-40B4-BE49-F238E27FC236}">
              <a16:creationId xmlns:a16="http://schemas.microsoft.com/office/drawing/2014/main" id="{571D036C-50F1-15F1-25FD-A21EE80AC3A3}"/>
            </a:ext>
          </a:extLst>
        </xdr:cNvPr>
        <xdr:cNvGrpSpPr/>
      </xdr:nvGrpSpPr>
      <xdr:grpSpPr>
        <a:xfrm>
          <a:off x="2689413" y="4321549"/>
          <a:ext cx="505945" cy="834389"/>
          <a:chOff x="2689413" y="4313929"/>
          <a:chExt cx="513565" cy="840104"/>
        </a:xfrm>
      </xdr:grpSpPr>
      <xdr:pic>
        <xdr:nvPicPr>
          <xdr:cNvPr id="23" name="Picture 22">
            <a:extLst>
              <a:ext uri="{FF2B5EF4-FFF2-40B4-BE49-F238E27FC236}">
                <a16:creationId xmlns:a16="http://schemas.microsoft.com/office/drawing/2014/main" id="{9377B4ED-E9CD-4FAC-953C-A225795CFB11}"/>
              </a:ext>
            </a:extLst>
          </xdr:cNvPr>
          <xdr:cNvPicPr>
            <a:picLocks noChangeAspect="1"/>
          </xdr:cNvPicPr>
        </xdr:nvPicPr>
        <xdr:blipFill>
          <a:blip xmlns:r="http://schemas.openxmlformats.org/officeDocument/2006/relationships" r:embed="rId11"/>
          <a:stretch>
            <a:fillRect/>
          </a:stretch>
        </xdr:blipFill>
        <xdr:spPr>
          <a:xfrm>
            <a:off x="2689413" y="4313929"/>
            <a:ext cx="488717" cy="489390"/>
          </a:xfrm>
          <a:prstGeom prst="rect">
            <a:avLst/>
          </a:prstGeom>
        </xdr:spPr>
      </xdr:pic>
      <xdr:sp macro="" textlink="">
        <xdr:nvSpPr>
          <xdr:cNvPr id="40" name="TextBox 39">
            <a:extLst>
              <a:ext uri="{FF2B5EF4-FFF2-40B4-BE49-F238E27FC236}">
                <a16:creationId xmlns:a16="http://schemas.microsoft.com/office/drawing/2014/main" id="{54D9CE70-D094-4F6A-A796-E00E2211EF6B}"/>
              </a:ext>
            </a:extLst>
          </xdr:cNvPr>
          <xdr:cNvSpPr txBox="1"/>
        </xdr:nvSpPr>
        <xdr:spPr>
          <a:xfrm>
            <a:off x="2689414" y="4831305"/>
            <a:ext cx="513564" cy="3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Cambria" panose="02040503050406030204" pitchFamily="18" charset="0"/>
                <a:ea typeface="Cambria" panose="02040503050406030204" pitchFamily="18" charset="0"/>
                <a:cs typeface="+mn-cs"/>
              </a:rPr>
              <a:t>Mail</a:t>
            </a:r>
          </a:p>
        </xdr:txBody>
      </xdr:sp>
    </xdr:grpSp>
    <xdr:clientData/>
  </xdr:twoCellAnchor>
  <xdr:twoCellAnchor>
    <xdr:from>
      <xdr:col>6</xdr:col>
      <xdr:colOff>555811</xdr:colOff>
      <xdr:row>21</xdr:row>
      <xdr:rowOff>88305</xdr:rowOff>
    </xdr:from>
    <xdr:to>
      <xdr:col>11</xdr:col>
      <xdr:colOff>179294</xdr:colOff>
      <xdr:row>28</xdr:row>
      <xdr:rowOff>48634</xdr:rowOff>
    </xdr:to>
    <xdr:sp macro="" textlink="">
      <xdr:nvSpPr>
        <xdr:cNvPr id="41" name="TextBox 40">
          <a:extLst>
            <a:ext uri="{FF2B5EF4-FFF2-40B4-BE49-F238E27FC236}">
              <a16:creationId xmlns:a16="http://schemas.microsoft.com/office/drawing/2014/main" id="{6E643E59-F67E-4F16-BB77-93FBF96D9D0A}"/>
            </a:ext>
          </a:extLst>
        </xdr:cNvPr>
        <xdr:cNvSpPr txBox="1"/>
      </xdr:nvSpPr>
      <xdr:spPr>
        <a:xfrm>
          <a:off x="4186517" y="3853481"/>
          <a:ext cx="2649071" cy="1215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dk1"/>
              </a:solidFill>
              <a:effectLst/>
              <a:latin typeface="Cambria" panose="02040503050406030204" pitchFamily="18" charset="0"/>
              <a:ea typeface="Cambria" panose="02040503050406030204" pitchFamily="18" charset="0"/>
              <a:cs typeface="+mn-cs"/>
            </a:rPr>
            <a:t>Advanced</a:t>
          </a:r>
          <a:r>
            <a:rPr lang="en-IN" sz="1200" baseline="0">
              <a:solidFill>
                <a:schemeClr val="dk1"/>
              </a:solidFill>
              <a:effectLst/>
              <a:latin typeface="Cambria" panose="02040503050406030204" pitchFamily="18" charset="0"/>
              <a:ea typeface="Cambria" panose="02040503050406030204" pitchFamily="18" charset="0"/>
              <a:cs typeface="+mn-cs"/>
            </a:rPr>
            <a:t> Data Cleaning</a:t>
          </a:r>
        </a:p>
        <a:p>
          <a:pPr marL="0" marR="0" lvl="0" indent="0" defTabSz="914400" eaLnBrk="1" fontAlgn="auto" latinLnBrk="0" hangingPunct="1">
            <a:lnSpc>
              <a:spcPct val="100000"/>
            </a:lnSpc>
            <a:spcBef>
              <a:spcPts val="0"/>
            </a:spcBef>
            <a:spcAft>
              <a:spcPts val="0"/>
            </a:spcAft>
            <a:buClrTx/>
            <a:buSzTx/>
            <a:buFontTx/>
            <a:buNone/>
            <a:tabLst/>
            <a:defRPr/>
          </a:pPr>
          <a:r>
            <a:rPr lang="en-IN" sz="1200">
              <a:solidFill>
                <a:schemeClr val="dk1"/>
              </a:solidFill>
              <a:effectLst/>
              <a:latin typeface="Cambria" panose="02040503050406030204" pitchFamily="18" charset="0"/>
              <a:ea typeface="Cambria" panose="02040503050406030204" pitchFamily="18" charset="0"/>
              <a:cs typeface="+mn-cs"/>
            </a:rPr>
            <a:t>Interactive Coffee Sales Dashboard</a:t>
          </a:r>
        </a:p>
        <a:p>
          <a:pPr marL="0" marR="0" lvl="0" indent="0" defTabSz="914400" eaLnBrk="1" fontAlgn="auto" latinLnBrk="0" hangingPunct="1">
            <a:lnSpc>
              <a:spcPct val="100000"/>
            </a:lnSpc>
            <a:spcBef>
              <a:spcPts val="0"/>
            </a:spcBef>
            <a:spcAft>
              <a:spcPts val="0"/>
            </a:spcAft>
            <a:buClrTx/>
            <a:buSzTx/>
            <a:buFontTx/>
            <a:buNone/>
            <a:tabLst/>
            <a:defRPr/>
          </a:pPr>
          <a:r>
            <a:rPr lang="en-IN" sz="1200">
              <a:solidFill>
                <a:schemeClr val="dk1"/>
              </a:solidFill>
              <a:effectLst/>
              <a:latin typeface="Cambria" panose="02040503050406030204" pitchFamily="18" charset="0"/>
              <a:ea typeface="Cambria" panose="02040503050406030204" pitchFamily="18" charset="0"/>
              <a:cs typeface="+mn-cs"/>
            </a:rPr>
            <a:t>Watersports Rental Sales Dashboard</a:t>
          </a:r>
        </a:p>
        <a:p>
          <a:pPr marL="0" marR="0" lvl="0" indent="0" defTabSz="914400" eaLnBrk="1" fontAlgn="auto" latinLnBrk="0" hangingPunct="1">
            <a:lnSpc>
              <a:spcPct val="100000"/>
            </a:lnSpc>
            <a:spcBef>
              <a:spcPts val="0"/>
            </a:spcBef>
            <a:spcAft>
              <a:spcPts val="0"/>
            </a:spcAft>
            <a:buClrTx/>
            <a:buSzTx/>
            <a:buFontTx/>
            <a:buNone/>
            <a:tabLst/>
            <a:defRPr/>
          </a:pPr>
          <a:r>
            <a:rPr lang="en-IN" sz="1200">
              <a:solidFill>
                <a:schemeClr val="dk1"/>
              </a:solidFill>
              <a:effectLst/>
              <a:latin typeface="Cambria" panose="02040503050406030204" pitchFamily="18" charset="0"/>
              <a:ea typeface="Cambria" panose="02040503050406030204" pitchFamily="18" charset="0"/>
              <a:cs typeface="+mn-cs"/>
            </a:rPr>
            <a:t>Retail Sales Performance Dashboard</a:t>
          </a:r>
        </a:p>
        <a:p>
          <a:pPr marL="0" marR="0" lvl="0" indent="0" defTabSz="914400" eaLnBrk="1" fontAlgn="auto" latinLnBrk="0" hangingPunct="1">
            <a:lnSpc>
              <a:spcPct val="100000"/>
            </a:lnSpc>
            <a:spcBef>
              <a:spcPts val="0"/>
            </a:spcBef>
            <a:spcAft>
              <a:spcPts val="0"/>
            </a:spcAft>
            <a:buClrTx/>
            <a:buSzTx/>
            <a:buFontTx/>
            <a:buNone/>
            <a:tabLst/>
            <a:defRPr/>
          </a:pPr>
          <a:r>
            <a:rPr lang="en-IN" sz="1200">
              <a:solidFill>
                <a:schemeClr val="dk1"/>
              </a:solidFill>
              <a:effectLst/>
              <a:latin typeface="Cambria" panose="02040503050406030204" pitchFamily="18" charset="0"/>
              <a:ea typeface="Cambria" panose="02040503050406030204" pitchFamily="18" charset="0"/>
              <a:cs typeface="+mn-cs"/>
            </a:rPr>
            <a:t>Retail</a:t>
          </a:r>
          <a:r>
            <a:rPr lang="en-IN" sz="1200" baseline="0">
              <a:solidFill>
                <a:schemeClr val="dk1"/>
              </a:solidFill>
              <a:effectLst/>
              <a:latin typeface="Cambria" panose="02040503050406030204" pitchFamily="18" charset="0"/>
              <a:ea typeface="Cambria" panose="02040503050406030204" pitchFamily="18" charset="0"/>
              <a:cs typeface="+mn-cs"/>
            </a:rPr>
            <a:t> Clothing Advanced Dashboard</a:t>
          </a:r>
          <a:endParaRPr lang="en-IN" sz="1200">
            <a:effectLst/>
            <a:latin typeface="Cambria" panose="02040503050406030204" pitchFamily="18" charset="0"/>
            <a:ea typeface="Cambria" panose="020405030504060302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latin typeface="Cambria" panose="02040503050406030204" pitchFamily="18" charset="0"/>
            <a:ea typeface="Cambria" panose="02040503050406030204" pitchFamily="18" charset="0"/>
          </a:endParaRPr>
        </a:p>
        <a:p>
          <a:endParaRPr lang="en-IN" sz="1200">
            <a:effectLst/>
            <a:latin typeface="Cambria" panose="02040503050406030204" pitchFamily="18" charset="0"/>
            <a:ea typeface="Cambria" panose="02040503050406030204" pitchFamily="18" charset="0"/>
          </a:endParaRPr>
        </a:p>
      </xdr:txBody>
    </xdr:sp>
    <xdr:clientData/>
  </xdr:twoCellAnchor>
  <xdr:twoCellAnchor>
    <xdr:from>
      <xdr:col>15</xdr:col>
      <xdr:colOff>235323</xdr:colOff>
      <xdr:row>3</xdr:row>
      <xdr:rowOff>134695</xdr:rowOff>
    </xdr:from>
    <xdr:to>
      <xdr:col>15</xdr:col>
      <xdr:colOff>235323</xdr:colOff>
      <xdr:row>13</xdr:row>
      <xdr:rowOff>78441</xdr:rowOff>
    </xdr:to>
    <xdr:cxnSp macro="">
      <xdr:nvCxnSpPr>
        <xdr:cNvPr id="43" name="Straight Connector 42">
          <a:extLst>
            <a:ext uri="{FF2B5EF4-FFF2-40B4-BE49-F238E27FC236}">
              <a16:creationId xmlns:a16="http://schemas.microsoft.com/office/drawing/2014/main" id="{B77419BC-C135-2715-3B0E-68730E4E2C8E}"/>
            </a:ext>
          </a:extLst>
        </xdr:cNvPr>
        <xdr:cNvCxnSpPr/>
      </xdr:nvCxnSpPr>
      <xdr:spPr>
        <a:xfrm>
          <a:off x="9312088" y="672577"/>
          <a:ext cx="0" cy="1736688"/>
        </a:xfrm>
        <a:prstGeom prst="line">
          <a:avLst/>
        </a:prstGeom>
        <a:ln>
          <a:solidFill>
            <a:schemeClr val="bg1">
              <a:lumMod val="5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7396</xdr:colOff>
      <xdr:row>0</xdr:row>
      <xdr:rowOff>80850</xdr:rowOff>
    </xdr:from>
    <xdr:to>
      <xdr:col>18</xdr:col>
      <xdr:colOff>399601</xdr:colOff>
      <xdr:row>3</xdr:row>
      <xdr:rowOff>62472</xdr:rowOff>
    </xdr:to>
    <xdr:sp macro="" textlink="">
      <xdr:nvSpPr>
        <xdr:cNvPr id="46" name="TextBox 45">
          <a:extLst>
            <a:ext uri="{FF2B5EF4-FFF2-40B4-BE49-F238E27FC236}">
              <a16:creationId xmlns:a16="http://schemas.microsoft.com/office/drawing/2014/main" id="{4539C87C-8591-DFFB-858B-BF7B1E60C5DE}"/>
            </a:ext>
          </a:extLst>
        </xdr:cNvPr>
        <xdr:cNvSpPr txBox="1"/>
      </xdr:nvSpPr>
      <xdr:spPr>
        <a:xfrm>
          <a:off x="9689278" y="80850"/>
          <a:ext cx="1602441" cy="5195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latin typeface="Cambria" panose="02040503050406030204" pitchFamily="18" charset="0"/>
              <a:ea typeface="Cambria" panose="02040503050406030204" pitchFamily="18" charset="0"/>
            </a:rPr>
            <a:t>Key Metrics</a:t>
          </a:r>
          <a:endParaRPr lang="en-IN" sz="1100" b="1">
            <a:solidFill>
              <a:schemeClr val="bg1"/>
            </a:solidFill>
            <a:latin typeface="Cambria" panose="02040503050406030204" pitchFamily="18" charset="0"/>
            <a:ea typeface="Cambria" panose="02040503050406030204" pitchFamily="18" charset="0"/>
          </a:endParaRPr>
        </a:p>
      </xdr:txBody>
    </xdr:sp>
    <xdr:clientData/>
  </xdr:twoCellAnchor>
  <xdr:twoCellAnchor>
    <xdr:from>
      <xdr:col>18</xdr:col>
      <xdr:colOff>304463</xdr:colOff>
      <xdr:row>3</xdr:row>
      <xdr:rowOff>134695</xdr:rowOff>
    </xdr:from>
    <xdr:to>
      <xdr:col>18</xdr:col>
      <xdr:colOff>304463</xdr:colOff>
      <xdr:row>13</xdr:row>
      <xdr:rowOff>78441</xdr:rowOff>
    </xdr:to>
    <xdr:cxnSp macro="">
      <xdr:nvCxnSpPr>
        <xdr:cNvPr id="47" name="Straight Connector 46">
          <a:extLst>
            <a:ext uri="{FF2B5EF4-FFF2-40B4-BE49-F238E27FC236}">
              <a16:creationId xmlns:a16="http://schemas.microsoft.com/office/drawing/2014/main" id="{074BB5AA-3DFA-8313-32F0-7A6E35444A52}"/>
            </a:ext>
          </a:extLst>
        </xdr:cNvPr>
        <xdr:cNvCxnSpPr/>
      </xdr:nvCxnSpPr>
      <xdr:spPr>
        <a:xfrm>
          <a:off x="11196581" y="672577"/>
          <a:ext cx="0" cy="1736688"/>
        </a:xfrm>
        <a:prstGeom prst="line">
          <a:avLst/>
        </a:prstGeom>
        <a:ln>
          <a:solidFill>
            <a:schemeClr val="bg1">
              <a:lumMod val="5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369459</xdr:colOff>
      <xdr:row>3</xdr:row>
      <xdr:rowOff>103430</xdr:rowOff>
    </xdr:from>
    <xdr:to>
      <xdr:col>18</xdr:col>
      <xdr:colOff>315670</xdr:colOff>
      <xdr:row>14</xdr:row>
      <xdr:rowOff>81689</xdr:rowOff>
    </xdr:to>
    <xdr:sp macro="" textlink="">
      <xdr:nvSpPr>
        <xdr:cNvPr id="48" name="TextBox 47">
          <a:extLst>
            <a:ext uri="{FF2B5EF4-FFF2-40B4-BE49-F238E27FC236}">
              <a16:creationId xmlns:a16="http://schemas.microsoft.com/office/drawing/2014/main" id="{901B4DBF-B92C-1FA7-72C2-A582D4096DC0}"/>
            </a:ext>
          </a:extLst>
        </xdr:cNvPr>
        <xdr:cNvSpPr txBox="1"/>
      </xdr:nvSpPr>
      <xdr:spPr>
        <a:xfrm>
          <a:off x="9446224" y="641312"/>
          <a:ext cx="1761564" cy="195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400">
              <a:latin typeface="Cambria" panose="02040503050406030204" pitchFamily="18" charset="0"/>
              <a:ea typeface="Cambria" panose="02040503050406030204" pitchFamily="18" charset="0"/>
            </a:rPr>
            <a:t>Total Orders </a:t>
          </a:r>
        </a:p>
        <a:p>
          <a:pPr algn="l"/>
          <a:r>
            <a:rPr lang="en-IN" sz="1400">
              <a:latin typeface="Cambria" panose="02040503050406030204" pitchFamily="18" charset="0"/>
              <a:ea typeface="Cambria" panose="02040503050406030204" pitchFamily="18" charset="0"/>
            </a:rPr>
            <a:t>Total Quantity </a:t>
          </a:r>
        </a:p>
        <a:p>
          <a:pPr algn="l"/>
          <a:r>
            <a:rPr lang="en-IN" sz="1400">
              <a:latin typeface="Cambria" panose="02040503050406030204" pitchFamily="18" charset="0"/>
              <a:ea typeface="Cambria" panose="02040503050406030204" pitchFamily="18" charset="0"/>
            </a:rPr>
            <a:t>Total Amount </a:t>
          </a:r>
        </a:p>
        <a:p>
          <a:pPr algn="l"/>
          <a:r>
            <a:rPr lang="en-IN" sz="1400">
              <a:latin typeface="Cambria" panose="02040503050406030204" pitchFamily="18" charset="0"/>
              <a:ea typeface="Cambria" panose="02040503050406030204" pitchFamily="18" charset="0"/>
            </a:rPr>
            <a:t>Avg. Rating </a:t>
          </a:r>
        </a:p>
        <a:p>
          <a:pPr algn="l"/>
          <a:r>
            <a:rPr lang="en-IN" sz="1400">
              <a:latin typeface="Cambria" panose="02040503050406030204" pitchFamily="18" charset="0"/>
              <a:ea typeface="Cambria" panose="02040503050406030204" pitchFamily="18" charset="0"/>
            </a:rPr>
            <a:t>Avg. Days to Deliver </a:t>
          </a:r>
        </a:p>
        <a:p>
          <a:endParaRPr lang="en-IN" sz="1400">
            <a:latin typeface="Cambria" panose="02040503050406030204" pitchFamily="18" charset="0"/>
            <a:ea typeface="Cambria" panose="02040503050406030204" pitchFamily="18" charset="0"/>
          </a:endParaRPr>
        </a:p>
      </xdr:txBody>
    </xdr:sp>
    <xdr:clientData/>
  </xdr:twoCellAnchor>
  <xdr:twoCellAnchor>
    <xdr:from>
      <xdr:col>19</xdr:col>
      <xdr:colOff>169993</xdr:colOff>
      <xdr:row>0</xdr:row>
      <xdr:rowOff>76088</xdr:rowOff>
    </xdr:from>
    <xdr:to>
      <xdr:col>23</xdr:col>
      <xdr:colOff>190499</xdr:colOff>
      <xdr:row>3</xdr:row>
      <xdr:rowOff>67235</xdr:rowOff>
    </xdr:to>
    <xdr:sp macro="" textlink="">
      <xdr:nvSpPr>
        <xdr:cNvPr id="49" name="TextBox 48">
          <a:extLst>
            <a:ext uri="{FF2B5EF4-FFF2-40B4-BE49-F238E27FC236}">
              <a16:creationId xmlns:a16="http://schemas.microsoft.com/office/drawing/2014/main" id="{E0D07E6A-AF81-EE97-CC83-294ADF0C0CEC}"/>
            </a:ext>
          </a:extLst>
        </xdr:cNvPr>
        <xdr:cNvSpPr txBox="1"/>
      </xdr:nvSpPr>
      <xdr:spPr>
        <a:xfrm>
          <a:off x="11667228" y="76088"/>
          <a:ext cx="2440977" cy="5290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latin typeface="Cambria" panose="02040503050406030204" pitchFamily="18" charset="0"/>
              <a:ea typeface="Cambria" panose="02040503050406030204" pitchFamily="18" charset="0"/>
            </a:rPr>
            <a:t>Business Questions</a:t>
          </a:r>
          <a:endParaRPr lang="en-IN" sz="1100" b="1">
            <a:solidFill>
              <a:schemeClr val="bg1"/>
            </a:solidFill>
            <a:latin typeface="Cambria" panose="02040503050406030204" pitchFamily="18" charset="0"/>
            <a:ea typeface="Cambria" panose="02040503050406030204" pitchFamily="18" charset="0"/>
          </a:endParaRPr>
        </a:p>
      </xdr:txBody>
    </xdr:sp>
    <xdr:clientData/>
  </xdr:twoCellAnchor>
  <xdr:twoCellAnchor>
    <xdr:from>
      <xdr:col>18</xdr:col>
      <xdr:colOff>388396</xdr:colOff>
      <xdr:row>3</xdr:row>
      <xdr:rowOff>103430</xdr:rowOff>
    </xdr:from>
    <xdr:to>
      <xdr:col>23</xdr:col>
      <xdr:colOff>401507</xdr:colOff>
      <xdr:row>14</xdr:row>
      <xdr:rowOff>89309</xdr:rowOff>
    </xdr:to>
    <xdr:sp macro="" textlink="">
      <xdr:nvSpPr>
        <xdr:cNvPr id="50" name="TextBox 49">
          <a:extLst>
            <a:ext uri="{FF2B5EF4-FFF2-40B4-BE49-F238E27FC236}">
              <a16:creationId xmlns:a16="http://schemas.microsoft.com/office/drawing/2014/main" id="{A755865F-6521-DCB7-53EC-DF60F7DB9D47}"/>
            </a:ext>
          </a:extLst>
        </xdr:cNvPr>
        <xdr:cNvSpPr txBox="1"/>
      </xdr:nvSpPr>
      <xdr:spPr>
        <a:xfrm>
          <a:off x="11280514" y="641312"/>
          <a:ext cx="3038699" cy="1958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400">
              <a:latin typeface="Cambria" panose="02040503050406030204" pitchFamily="18" charset="0"/>
              <a:ea typeface="Cambria" panose="02040503050406030204" pitchFamily="18" charset="0"/>
            </a:rPr>
            <a:t>How our customers like to buy? </a:t>
          </a:r>
        </a:p>
        <a:p>
          <a:pPr algn="l"/>
          <a:r>
            <a:rPr lang="en-IN" sz="1400">
              <a:latin typeface="Cambria" panose="02040503050406030204" pitchFamily="18" charset="0"/>
              <a:ea typeface="Cambria" panose="02040503050406030204" pitchFamily="18" charset="0"/>
            </a:rPr>
            <a:t>How many they buy? </a:t>
          </a:r>
        </a:p>
        <a:p>
          <a:pPr algn="l"/>
          <a:r>
            <a:rPr lang="en-IN" sz="1400">
              <a:latin typeface="Cambria" panose="02040503050406030204" pitchFamily="18" charset="0"/>
              <a:ea typeface="Cambria" panose="02040503050406030204" pitchFamily="18" charset="0"/>
            </a:rPr>
            <a:t>Which products are popular? </a:t>
          </a:r>
        </a:p>
        <a:p>
          <a:pPr algn="l"/>
          <a:r>
            <a:rPr lang="en-IN" sz="1400">
              <a:latin typeface="Cambria" panose="02040503050406030204" pitchFamily="18" charset="0"/>
              <a:ea typeface="Cambria" panose="02040503050406030204" pitchFamily="18" charset="0"/>
            </a:rPr>
            <a:t>Overall gender split </a:t>
          </a:r>
        </a:p>
        <a:p>
          <a:pPr algn="l"/>
          <a:r>
            <a:rPr lang="en-IN" sz="1400">
              <a:latin typeface="Cambria" panose="02040503050406030204" pitchFamily="18" charset="0"/>
              <a:ea typeface="Cambria" panose="02040503050406030204" pitchFamily="18" charset="0"/>
            </a:rPr>
            <a:t>Where do our customers live? </a:t>
          </a:r>
        </a:p>
        <a:p>
          <a:pPr algn="l"/>
          <a:r>
            <a:rPr lang="en-IN" sz="1400">
              <a:latin typeface="Cambria" panose="02040503050406030204" pitchFamily="18" charset="0"/>
              <a:ea typeface="Cambria" panose="02040503050406030204" pitchFamily="18" charset="0"/>
            </a:rPr>
            <a:t>How long we take to ship the orders </a:t>
          </a:r>
        </a:p>
        <a:p>
          <a:pPr algn="l"/>
          <a:r>
            <a:rPr lang="en-IN" sz="1400">
              <a:latin typeface="Cambria" panose="02040503050406030204" pitchFamily="18" charset="0"/>
              <a:ea typeface="Cambria" panose="02040503050406030204" pitchFamily="18" charset="0"/>
            </a:rPr>
            <a:t>How happy are our customers? </a:t>
          </a:r>
        </a:p>
        <a:p>
          <a:pPr algn="l"/>
          <a:endParaRPr lang="en-IN" sz="1400">
            <a:latin typeface="Cambria" panose="02040503050406030204" pitchFamily="18" charset="0"/>
            <a:ea typeface="Cambria" panose="02040503050406030204" pitchFamily="18" charset="0"/>
          </a:endParaRPr>
        </a:p>
        <a:p>
          <a:endParaRPr lang="en-IN" sz="1400">
            <a:latin typeface="Cambria" panose="02040503050406030204" pitchFamily="18" charset="0"/>
            <a:ea typeface="Cambria" panose="020405030504060302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434340</xdr:colOff>
      <xdr:row>6</xdr:row>
      <xdr:rowOff>41910</xdr:rowOff>
    </xdr:from>
    <xdr:to>
      <xdr:col>8</xdr:col>
      <xdr:colOff>114300</xdr:colOff>
      <xdr:row>16</xdr:row>
      <xdr:rowOff>167640</xdr:rowOff>
    </xdr:to>
    <xdr:graphicFrame macro="">
      <xdr:nvGraphicFramePr>
        <xdr:cNvPr id="2" name="Chart 1">
          <a:extLst>
            <a:ext uri="{FF2B5EF4-FFF2-40B4-BE49-F238E27FC236}">
              <a16:creationId xmlns:a16="http://schemas.microsoft.com/office/drawing/2014/main" id="{6D429472-9C5A-0CBE-0D32-E4B9BDFF0A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586740</xdr:colOff>
      <xdr:row>5</xdr:row>
      <xdr:rowOff>224790</xdr:rowOff>
    </xdr:from>
    <xdr:to>
      <xdr:col>9</xdr:col>
      <xdr:colOff>449580</xdr:colOff>
      <xdr:row>19</xdr:row>
      <xdr:rowOff>179070</xdr:rowOff>
    </xdr:to>
    <xdr:graphicFrame macro="">
      <xdr:nvGraphicFramePr>
        <xdr:cNvPr id="2" name="Chart 1">
          <a:extLst>
            <a:ext uri="{FF2B5EF4-FFF2-40B4-BE49-F238E27FC236}">
              <a16:creationId xmlns:a16="http://schemas.microsoft.com/office/drawing/2014/main" id="{92C0343B-71E1-2C85-4DD6-AE94EFA70D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586740</xdr:colOff>
      <xdr:row>5</xdr:row>
      <xdr:rowOff>224790</xdr:rowOff>
    </xdr:from>
    <xdr:to>
      <xdr:col>7</xdr:col>
      <xdr:colOff>350520</xdr:colOff>
      <xdr:row>19</xdr:row>
      <xdr:rowOff>179070</xdr:rowOff>
    </xdr:to>
    <xdr:graphicFrame macro="">
      <xdr:nvGraphicFramePr>
        <xdr:cNvPr id="2" name="Chart 1">
          <a:extLst>
            <a:ext uri="{FF2B5EF4-FFF2-40B4-BE49-F238E27FC236}">
              <a16:creationId xmlns:a16="http://schemas.microsoft.com/office/drawing/2014/main" id="{C93A5A6C-3D36-4CD2-A9C7-E8F7EFF90B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190500</xdr:colOff>
      <xdr:row>5</xdr:row>
      <xdr:rowOff>224790</xdr:rowOff>
    </xdr:from>
    <xdr:to>
      <xdr:col>7</xdr:col>
      <xdr:colOff>525780</xdr:colOff>
      <xdr:row>19</xdr:row>
      <xdr:rowOff>179070</xdr:rowOff>
    </xdr:to>
    <xdr:graphicFrame macro="">
      <xdr:nvGraphicFramePr>
        <xdr:cNvPr id="3" name="Chart 2">
          <a:extLst>
            <a:ext uri="{FF2B5EF4-FFF2-40B4-BE49-F238E27FC236}">
              <a16:creationId xmlns:a16="http://schemas.microsoft.com/office/drawing/2014/main" id="{177C628B-DF39-519B-1EB8-E81D2D44AE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350520</xdr:colOff>
      <xdr:row>11</xdr:row>
      <xdr:rowOff>125730</xdr:rowOff>
    </xdr:from>
    <xdr:to>
      <xdr:col>4</xdr:col>
      <xdr:colOff>967740</xdr:colOff>
      <xdr:row>26</xdr:row>
      <xdr:rowOff>125730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FACB8947-B753-6BCE-E06A-C24D215DD2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2425" y="2358390"/>
              <a:ext cx="4600575" cy="27146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99060</xdr:colOff>
      <xdr:row>17</xdr:row>
      <xdr:rowOff>121920</xdr:rowOff>
    </xdr:from>
    <xdr:to>
      <xdr:col>10</xdr:col>
      <xdr:colOff>22860</xdr:colOff>
      <xdr:row>26</xdr:row>
      <xdr:rowOff>34290</xdr:rowOff>
    </xdr:to>
    <mc:AlternateContent xmlns:mc="http://schemas.openxmlformats.org/markup-compatibility/2006">
      <mc:Choice xmlns:cx4="http://schemas.microsoft.com/office/drawing/2016/5/10/chartex" Requires="cx4">
        <xdr:graphicFrame macro="">
          <xdr:nvGraphicFramePr>
            <xdr:cNvPr id="5" name="Chart 4">
              <a:extLst>
                <a:ext uri="{FF2B5EF4-FFF2-40B4-BE49-F238E27FC236}">
                  <a16:creationId xmlns:a16="http://schemas.microsoft.com/office/drawing/2014/main" id="{CA2F712C-2FB7-1BD1-7FFD-20E0FF860C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81675" y="3438525"/>
              <a:ext cx="2952750" cy="15392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3</xdr:col>
      <xdr:colOff>388620</xdr:colOff>
      <xdr:row>5</xdr:row>
      <xdr:rowOff>224790</xdr:rowOff>
    </xdr:from>
    <xdr:to>
      <xdr:col>9</xdr:col>
      <xdr:colOff>251460</xdr:colOff>
      <xdr:row>19</xdr:row>
      <xdr:rowOff>179070</xdr:rowOff>
    </xdr:to>
    <xdr:graphicFrame macro="">
      <xdr:nvGraphicFramePr>
        <xdr:cNvPr id="3" name="Chart 2">
          <a:extLst>
            <a:ext uri="{FF2B5EF4-FFF2-40B4-BE49-F238E27FC236}">
              <a16:creationId xmlns:a16="http://schemas.microsoft.com/office/drawing/2014/main" id="{91F7528C-4CCE-D45B-2498-EB0EF0905D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388620</xdr:colOff>
      <xdr:row>5</xdr:row>
      <xdr:rowOff>224790</xdr:rowOff>
    </xdr:from>
    <xdr:to>
      <xdr:col>9</xdr:col>
      <xdr:colOff>251460</xdr:colOff>
      <xdr:row>19</xdr:row>
      <xdr:rowOff>179070</xdr:rowOff>
    </xdr:to>
    <xdr:graphicFrame macro="">
      <xdr:nvGraphicFramePr>
        <xdr:cNvPr id="2" name="Chart 1">
          <a:extLst>
            <a:ext uri="{FF2B5EF4-FFF2-40B4-BE49-F238E27FC236}">
              <a16:creationId xmlns:a16="http://schemas.microsoft.com/office/drawing/2014/main" id="{782D2051-6E24-43C5-9025-1E20D0A6B0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27</xdr:row>
      <xdr:rowOff>0</xdr:rowOff>
    </xdr:from>
    <xdr:to>
      <xdr:col>3</xdr:col>
      <xdr:colOff>304800</xdr:colOff>
      <xdr:row>29</xdr:row>
      <xdr:rowOff>67829</xdr:rowOff>
    </xdr:to>
    <xdr:pic>
      <xdr:nvPicPr>
        <xdr:cNvPr id="3" name="Picture 2">
          <a:hlinkClick xmlns:r="http://schemas.openxmlformats.org/officeDocument/2006/relationships" r:id="rId1"/>
          <a:extLst>
            <a:ext uri="{FF2B5EF4-FFF2-40B4-BE49-F238E27FC236}">
              <a16:creationId xmlns:a16="http://schemas.microsoft.com/office/drawing/2014/main" id="{602BB025-83F9-4955-BC88-7D277D7994E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600" y="4937760"/>
          <a:ext cx="1524000" cy="43358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pul" refreshedDate="46231.830033333332" createdVersion="8" refreshedVersion="8" minRefreshableVersion="3" recordCount="2400" xr:uid="{F9D4A742-493C-44E9-9177-C71F6E3348C7}">
  <cacheSource type="worksheet">
    <worksheetSource name="orders"/>
  </cacheSource>
  <cacheFields count="18">
    <cacheField name="TX ID" numFmtId="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s>
  <extLst>
    <ext xmlns:x14="http://schemas.microsoft.com/office/spreadsheetml/2009/9/main" uri="{725AE2AE-9491-48be-B2B4-4EB974FC3084}">
      <x14:pivotCacheDefinition pivotCacheId="804152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s v="TX500001"/>
    <x v="0"/>
    <x v="0"/>
    <n v="10.9"/>
    <n v="10.9"/>
    <x v="0"/>
    <d v="2025-01-06T00:00:00"/>
    <x v="0"/>
    <x v="0"/>
    <x v="0"/>
    <x v="0"/>
    <x v="0"/>
    <x v="0"/>
    <x v="0"/>
    <x v="0"/>
  </r>
  <r>
    <s v="TX500002"/>
    <x v="1"/>
    <x v="1"/>
    <n v="30.6"/>
    <n v="61.2"/>
    <x v="0"/>
    <d v="2025-01-03T00:00:00"/>
    <x v="1"/>
    <x v="0"/>
    <x v="0"/>
    <x v="0"/>
    <x v="1"/>
    <x v="1"/>
    <x v="0"/>
    <x v="1"/>
  </r>
  <r>
    <s v="TX500003"/>
    <x v="2"/>
    <x v="2"/>
    <n v="109.4"/>
    <n v="328.20000000000005"/>
    <x v="0"/>
    <d v="2025-01-04T00:00:00"/>
    <x v="2"/>
    <x v="0"/>
    <x v="1"/>
    <x v="0"/>
    <x v="2"/>
    <x v="2"/>
    <x v="0"/>
    <x v="2"/>
  </r>
  <r>
    <s v="TX500004"/>
    <x v="3"/>
    <x v="3"/>
    <n v="37.700000000000003"/>
    <n v="263.90000000000003"/>
    <x v="0"/>
    <d v="2025-01-02T00:00:00"/>
    <x v="2"/>
    <x v="0"/>
    <x v="0"/>
    <x v="0"/>
    <x v="2"/>
    <x v="3"/>
    <x v="0"/>
    <x v="2"/>
  </r>
  <r>
    <s v="TX500005"/>
    <x v="4"/>
    <x v="2"/>
    <n v="56.7"/>
    <n v="170.10000000000002"/>
    <x v="0"/>
    <d v="2025-01-04T00:00:00"/>
    <x v="2"/>
    <x v="0"/>
    <x v="2"/>
    <x v="0"/>
    <x v="3"/>
    <x v="2"/>
    <x v="0"/>
    <x v="2"/>
  </r>
  <r>
    <s v="TX500006"/>
    <x v="1"/>
    <x v="4"/>
    <n v="83.5"/>
    <n v="1002"/>
    <x v="0"/>
    <d v="2025-01-04T00:00:00"/>
    <x v="1"/>
    <x v="1"/>
    <x v="0"/>
    <x v="0"/>
    <x v="3"/>
    <x v="2"/>
    <x v="0"/>
    <x v="1"/>
  </r>
  <r>
    <s v="TX500007"/>
    <x v="5"/>
    <x v="0"/>
    <n v="55.3"/>
    <n v="55.3"/>
    <x v="0"/>
    <d v="2025-01-02T00:00:00"/>
    <x v="2"/>
    <x v="0"/>
    <x v="0"/>
    <x v="0"/>
    <x v="3"/>
    <x v="3"/>
    <x v="0"/>
    <x v="2"/>
  </r>
  <r>
    <s v="TX500008"/>
    <x v="6"/>
    <x v="1"/>
    <n v="40.299999999999997"/>
    <n v="80.599999999999994"/>
    <x v="0"/>
    <d v="2025-01-02T00:00:00"/>
    <x v="1"/>
    <x v="2"/>
    <x v="2"/>
    <x v="0"/>
    <x v="3"/>
    <x v="3"/>
    <x v="0"/>
    <x v="1"/>
  </r>
  <r>
    <s v="TX500009"/>
    <x v="7"/>
    <x v="5"/>
    <n v="35.700000000000003"/>
    <n v="392.70000000000005"/>
    <x v="0"/>
    <d v="2025-01-02T00:00:00"/>
    <x v="2"/>
    <x v="0"/>
    <x v="0"/>
    <x v="0"/>
    <x v="3"/>
    <x v="3"/>
    <x v="0"/>
    <x v="2"/>
  </r>
  <r>
    <s v="TX500010"/>
    <x v="8"/>
    <x v="3"/>
    <n v="22.4"/>
    <n v="156.79999999999998"/>
    <x v="0"/>
    <d v="2025-01-04T00:00:00"/>
    <x v="1"/>
    <x v="0"/>
    <x v="1"/>
    <x v="0"/>
    <x v="3"/>
    <x v="2"/>
    <x v="0"/>
    <x v="1"/>
  </r>
  <r>
    <s v="TX500011"/>
    <x v="9"/>
    <x v="1"/>
    <n v="54.4"/>
    <n v="108.8"/>
    <x v="0"/>
    <d v="2025-01-07T00:00:00"/>
    <x v="2"/>
    <x v="0"/>
    <x v="0"/>
    <x v="0"/>
    <x v="3"/>
    <x v="4"/>
    <x v="0"/>
    <x v="2"/>
  </r>
  <r>
    <s v="TX500012"/>
    <x v="9"/>
    <x v="1"/>
    <n v="49"/>
    <n v="98"/>
    <x v="0"/>
    <d v="2025-01-03T00:00:00"/>
    <x v="2"/>
    <x v="2"/>
    <x v="1"/>
    <x v="0"/>
    <x v="3"/>
    <x v="1"/>
    <x v="0"/>
    <x v="2"/>
  </r>
  <r>
    <s v="TX500013"/>
    <x v="5"/>
    <x v="3"/>
    <n v="118.6"/>
    <n v="830.19999999999993"/>
    <x v="0"/>
    <d v="2025-01-05T00:00:00"/>
    <x v="2"/>
    <x v="1"/>
    <x v="0"/>
    <x v="0"/>
    <x v="4"/>
    <x v="5"/>
    <x v="0"/>
    <x v="2"/>
  </r>
  <r>
    <s v="TX500014"/>
    <x v="6"/>
    <x v="6"/>
    <n v="88.4"/>
    <n v="2386.8000000000002"/>
    <x v="0"/>
    <d v="2025-01-08T00:00:00"/>
    <x v="1"/>
    <x v="3"/>
    <x v="0"/>
    <x v="0"/>
    <x v="5"/>
    <x v="6"/>
    <x v="0"/>
    <x v="1"/>
  </r>
  <r>
    <s v="TX500015"/>
    <x v="10"/>
    <x v="0"/>
    <n v="66.7"/>
    <n v="66.7"/>
    <x v="0"/>
    <d v="2025-01-04T00:00:00"/>
    <x v="1"/>
    <x v="0"/>
    <x v="0"/>
    <x v="0"/>
    <x v="6"/>
    <x v="2"/>
    <x v="0"/>
    <x v="1"/>
  </r>
  <r>
    <s v="TX500016"/>
    <x v="9"/>
    <x v="7"/>
    <n v="30.9"/>
    <n v="309"/>
    <x v="0"/>
    <d v="2025-01-02T00:00:00"/>
    <x v="1"/>
    <x v="1"/>
    <x v="2"/>
    <x v="0"/>
    <x v="6"/>
    <x v="3"/>
    <x v="0"/>
    <x v="1"/>
  </r>
  <r>
    <s v="TX500017"/>
    <x v="4"/>
    <x v="2"/>
    <n v="31.1"/>
    <n v="93.300000000000011"/>
    <x v="0"/>
    <d v="2025-01-02T00:00:00"/>
    <x v="2"/>
    <x v="0"/>
    <x v="1"/>
    <x v="0"/>
    <x v="6"/>
    <x v="3"/>
    <x v="0"/>
    <x v="2"/>
  </r>
  <r>
    <s v="TX500018"/>
    <x v="7"/>
    <x v="2"/>
    <n v="36.6"/>
    <n v="109.80000000000001"/>
    <x v="0"/>
    <d v="2025-01-04T00:00:00"/>
    <x v="2"/>
    <x v="0"/>
    <x v="0"/>
    <x v="0"/>
    <x v="7"/>
    <x v="2"/>
    <x v="0"/>
    <x v="2"/>
  </r>
  <r>
    <s v="TX500019"/>
    <x v="6"/>
    <x v="8"/>
    <n v="51.1"/>
    <n v="408.8"/>
    <x v="0"/>
    <d v="2025-01-04T00:00:00"/>
    <x v="2"/>
    <x v="2"/>
    <x v="3"/>
    <x v="0"/>
    <x v="7"/>
    <x v="2"/>
    <x v="0"/>
    <x v="2"/>
  </r>
  <r>
    <s v="TX500020"/>
    <x v="9"/>
    <x v="0"/>
    <n v="25.2"/>
    <n v="25.2"/>
    <x v="0"/>
    <d v="2025-01-02T00:00:00"/>
    <x v="2"/>
    <x v="1"/>
    <x v="2"/>
    <x v="0"/>
    <x v="8"/>
    <x v="3"/>
    <x v="0"/>
    <x v="2"/>
  </r>
  <r>
    <s v="TX500021"/>
    <x v="9"/>
    <x v="9"/>
    <n v="43.8"/>
    <n v="219"/>
    <x v="0"/>
    <d v="2025-01-04T00:00:00"/>
    <x v="2"/>
    <x v="2"/>
    <x v="0"/>
    <x v="0"/>
    <x v="8"/>
    <x v="2"/>
    <x v="0"/>
    <x v="2"/>
  </r>
  <r>
    <s v="TX500022"/>
    <x v="8"/>
    <x v="4"/>
    <n v="46.7"/>
    <n v="560.40000000000009"/>
    <x v="0"/>
    <d v="2025-01-02T00:00:00"/>
    <x v="2"/>
    <x v="1"/>
    <x v="1"/>
    <x v="0"/>
    <x v="8"/>
    <x v="3"/>
    <x v="0"/>
    <x v="2"/>
  </r>
  <r>
    <s v="TX500023"/>
    <x v="3"/>
    <x v="10"/>
    <n v="79.900000000000006"/>
    <n v="1518.1000000000001"/>
    <x v="0"/>
    <d v="2025-01-02T00:00:00"/>
    <x v="1"/>
    <x v="0"/>
    <x v="2"/>
    <x v="0"/>
    <x v="8"/>
    <x v="3"/>
    <x v="0"/>
    <x v="1"/>
  </r>
  <r>
    <s v="TX500024"/>
    <x v="11"/>
    <x v="8"/>
    <n v="26.4"/>
    <n v="211.2"/>
    <x v="0"/>
    <d v="2025-01-02T00:00:00"/>
    <x v="2"/>
    <x v="3"/>
    <x v="0"/>
    <x v="0"/>
    <x v="8"/>
    <x v="3"/>
    <x v="0"/>
    <x v="2"/>
  </r>
  <r>
    <s v="TX500025"/>
    <x v="12"/>
    <x v="8"/>
    <n v="88.8"/>
    <n v="710.4"/>
    <x v="0"/>
    <d v="2025-01-02T00:00:00"/>
    <x v="2"/>
    <x v="4"/>
    <x v="0"/>
    <x v="0"/>
    <x v="8"/>
    <x v="3"/>
    <x v="0"/>
    <x v="2"/>
  </r>
  <r>
    <s v="TX500026"/>
    <x v="0"/>
    <x v="7"/>
    <n v="17.5"/>
    <n v="175"/>
    <x v="0"/>
    <d v="2025-01-02T00:00:00"/>
    <x v="2"/>
    <x v="2"/>
    <x v="0"/>
    <x v="0"/>
    <x v="9"/>
    <x v="3"/>
    <x v="0"/>
    <x v="2"/>
  </r>
  <r>
    <s v="TX500027"/>
    <x v="1"/>
    <x v="11"/>
    <n v="38.700000000000003"/>
    <n v="348.3"/>
    <x v="0"/>
    <d v="2025-01-04T00:00:00"/>
    <x v="1"/>
    <x v="1"/>
    <x v="0"/>
    <x v="0"/>
    <x v="10"/>
    <x v="2"/>
    <x v="0"/>
    <x v="1"/>
  </r>
  <r>
    <s v="TX500028"/>
    <x v="13"/>
    <x v="12"/>
    <n v="57.2"/>
    <n v="228.8"/>
    <x v="0"/>
    <d v="2025-01-03T00:00:00"/>
    <x v="0"/>
    <x v="1"/>
    <x v="2"/>
    <x v="0"/>
    <x v="11"/>
    <x v="1"/>
    <x v="0"/>
    <x v="0"/>
  </r>
  <r>
    <s v="TX500029"/>
    <x v="6"/>
    <x v="9"/>
    <n v="50.9"/>
    <n v="254.5"/>
    <x v="0"/>
    <d v="2025-01-07T00:00:00"/>
    <x v="0"/>
    <x v="1"/>
    <x v="2"/>
    <x v="0"/>
    <x v="12"/>
    <x v="4"/>
    <x v="0"/>
    <x v="0"/>
  </r>
  <r>
    <s v="TX500030"/>
    <x v="14"/>
    <x v="3"/>
    <n v="41"/>
    <n v="287"/>
    <x v="0"/>
    <d v="2025-01-05T00:00:00"/>
    <x v="2"/>
    <x v="1"/>
    <x v="0"/>
    <x v="0"/>
    <x v="13"/>
    <x v="5"/>
    <x v="0"/>
    <x v="2"/>
  </r>
  <r>
    <s v="TX500031"/>
    <x v="8"/>
    <x v="3"/>
    <n v="19.100000000000001"/>
    <n v="133.70000000000002"/>
    <x v="0"/>
    <d v="2025-01-05T00:00:00"/>
    <x v="1"/>
    <x v="0"/>
    <x v="2"/>
    <x v="0"/>
    <x v="14"/>
    <x v="5"/>
    <x v="0"/>
    <x v="1"/>
  </r>
  <r>
    <s v="TX500032"/>
    <x v="2"/>
    <x v="9"/>
    <n v="166.1"/>
    <n v="830.5"/>
    <x v="0"/>
    <d v="2025-01-04T00:00:00"/>
    <x v="1"/>
    <x v="0"/>
    <x v="0"/>
    <x v="0"/>
    <x v="15"/>
    <x v="2"/>
    <x v="0"/>
    <x v="1"/>
  </r>
  <r>
    <s v="TX500033"/>
    <x v="4"/>
    <x v="2"/>
    <n v="29.9"/>
    <n v="89.699999999999989"/>
    <x v="0"/>
    <d v="2025-01-02T00:00:00"/>
    <x v="1"/>
    <x v="3"/>
    <x v="0"/>
    <x v="0"/>
    <x v="3"/>
    <x v="3"/>
    <x v="0"/>
    <x v="1"/>
  </r>
  <r>
    <s v="TX500034"/>
    <x v="10"/>
    <x v="13"/>
    <n v="21.7"/>
    <n v="130.19999999999999"/>
    <x v="0"/>
    <d v="2025-01-03T00:00:00"/>
    <x v="3"/>
    <x v="2"/>
    <x v="2"/>
    <x v="0"/>
    <x v="3"/>
    <x v="1"/>
    <x v="0"/>
    <x v="3"/>
  </r>
  <r>
    <s v="TX500035"/>
    <x v="11"/>
    <x v="1"/>
    <n v="32"/>
    <n v="64"/>
    <x v="0"/>
    <d v="2025-01-04T00:00:00"/>
    <x v="1"/>
    <x v="0"/>
    <x v="2"/>
    <x v="0"/>
    <x v="3"/>
    <x v="2"/>
    <x v="0"/>
    <x v="1"/>
  </r>
  <r>
    <s v="TX500036"/>
    <x v="8"/>
    <x v="1"/>
    <n v="15.8"/>
    <n v="31.6"/>
    <x v="0"/>
    <d v="2025-01-02T00:00:00"/>
    <x v="1"/>
    <x v="4"/>
    <x v="2"/>
    <x v="0"/>
    <x v="3"/>
    <x v="3"/>
    <x v="0"/>
    <x v="1"/>
  </r>
  <r>
    <s v="TX500037"/>
    <x v="2"/>
    <x v="14"/>
    <n v="203.1"/>
    <n v="3452.7"/>
    <x v="0"/>
    <d v="2025-01-05T00:00:00"/>
    <x v="1"/>
    <x v="3"/>
    <x v="1"/>
    <x v="0"/>
    <x v="3"/>
    <x v="5"/>
    <x v="0"/>
    <x v="1"/>
  </r>
  <r>
    <s v="TX500038"/>
    <x v="7"/>
    <x v="15"/>
    <n v="39"/>
    <n v="507"/>
    <x v="0"/>
    <d v="2025-01-07T00:00:00"/>
    <x v="1"/>
    <x v="0"/>
    <x v="2"/>
    <x v="0"/>
    <x v="3"/>
    <x v="4"/>
    <x v="0"/>
    <x v="1"/>
  </r>
  <r>
    <s v="TX500039"/>
    <x v="10"/>
    <x v="0"/>
    <n v="26.5"/>
    <n v="26.5"/>
    <x v="1"/>
    <d v="2025-01-03T00:00:00"/>
    <x v="1"/>
    <x v="2"/>
    <x v="0"/>
    <x v="0"/>
    <x v="3"/>
    <x v="3"/>
    <x v="0"/>
    <x v="1"/>
  </r>
  <r>
    <s v="TX500040"/>
    <x v="5"/>
    <x v="0"/>
    <n v="43.1"/>
    <n v="43.1"/>
    <x v="1"/>
    <d v="2025-01-03T00:00:00"/>
    <x v="2"/>
    <x v="2"/>
    <x v="1"/>
    <x v="0"/>
    <x v="3"/>
    <x v="3"/>
    <x v="0"/>
    <x v="2"/>
  </r>
  <r>
    <s v="TX500041"/>
    <x v="1"/>
    <x v="2"/>
    <n v="139"/>
    <n v="417"/>
    <x v="1"/>
    <d v="2025-01-03T00:00:00"/>
    <x v="2"/>
    <x v="4"/>
    <x v="2"/>
    <x v="0"/>
    <x v="3"/>
    <x v="3"/>
    <x v="0"/>
    <x v="2"/>
  </r>
  <r>
    <s v="TX500042"/>
    <x v="12"/>
    <x v="0"/>
    <n v="80.7"/>
    <n v="80.7"/>
    <x v="1"/>
    <d v="2025-01-03T00:00:00"/>
    <x v="1"/>
    <x v="0"/>
    <x v="2"/>
    <x v="0"/>
    <x v="16"/>
    <x v="3"/>
    <x v="0"/>
    <x v="1"/>
  </r>
  <r>
    <s v="TX500043"/>
    <x v="4"/>
    <x v="1"/>
    <n v="54.5"/>
    <n v="109"/>
    <x v="1"/>
    <d v="2025-01-04T00:00:00"/>
    <x v="1"/>
    <x v="1"/>
    <x v="1"/>
    <x v="0"/>
    <x v="6"/>
    <x v="1"/>
    <x v="0"/>
    <x v="1"/>
  </r>
  <r>
    <s v="TX500044"/>
    <x v="6"/>
    <x v="2"/>
    <n v="68.599999999999994"/>
    <n v="205.79999999999998"/>
    <x v="1"/>
    <d v="2025-01-02T00:00:00"/>
    <x v="2"/>
    <x v="0"/>
    <x v="1"/>
    <x v="0"/>
    <x v="8"/>
    <x v="7"/>
    <x v="0"/>
    <x v="2"/>
  </r>
  <r>
    <s v="TX500045"/>
    <x v="2"/>
    <x v="12"/>
    <n v="135.9"/>
    <n v="543.6"/>
    <x v="1"/>
    <d v="2025-01-03T00:00:00"/>
    <x v="2"/>
    <x v="2"/>
    <x v="2"/>
    <x v="0"/>
    <x v="8"/>
    <x v="3"/>
    <x v="0"/>
    <x v="2"/>
  </r>
  <r>
    <s v="TX500046"/>
    <x v="2"/>
    <x v="12"/>
    <n v="70.900000000000006"/>
    <n v="283.60000000000002"/>
    <x v="1"/>
    <d v="2025-01-03T00:00:00"/>
    <x v="2"/>
    <x v="0"/>
    <x v="0"/>
    <x v="0"/>
    <x v="17"/>
    <x v="3"/>
    <x v="0"/>
    <x v="2"/>
  </r>
  <r>
    <s v="TX500047"/>
    <x v="1"/>
    <x v="9"/>
    <n v="63.7"/>
    <n v="318.5"/>
    <x v="1"/>
    <d v="2025-01-03T00:00:00"/>
    <x v="1"/>
    <x v="1"/>
    <x v="1"/>
    <x v="0"/>
    <x v="9"/>
    <x v="3"/>
    <x v="0"/>
    <x v="1"/>
  </r>
  <r>
    <s v="TX500048"/>
    <x v="13"/>
    <x v="0"/>
    <n v="29.7"/>
    <n v="29.7"/>
    <x v="1"/>
    <d v="2025-01-04T00:00:00"/>
    <x v="2"/>
    <x v="1"/>
    <x v="0"/>
    <x v="0"/>
    <x v="11"/>
    <x v="1"/>
    <x v="0"/>
    <x v="2"/>
  </r>
  <r>
    <s v="TX500049"/>
    <x v="4"/>
    <x v="2"/>
    <n v="26.8"/>
    <n v="80.400000000000006"/>
    <x v="1"/>
    <d v="2025-01-11T00:00:00"/>
    <x v="2"/>
    <x v="1"/>
    <x v="2"/>
    <x v="0"/>
    <x v="11"/>
    <x v="8"/>
    <x v="0"/>
    <x v="2"/>
  </r>
  <r>
    <s v="TX500050"/>
    <x v="14"/>
    <x v="0"/>
    <n v="27"/>
    <n v="27"/>
    <x v="1"/>
    <d v="2025-01-04T00:00:00"/>
    <x v="2"/>
    <x v="0"/>
    <x v="0"/>
    <x v="0"/>
    <x v="18"/>
    <x v="1"/>
    <x v="0"/>
    <x v="2"/>
  </r>
  <r>
    <s v="TX500051"/>
    <x v="8"/>
    <x v="0"/>
    <n v="41.4"/>
    <n v="41.4"/>
    <x v="1"/>
    <d v="2025-01-03T00:00:00"/>
    <x v="1"/>
    <x v="1"/>
    <x v="2"/>
    <x v="0"/>
    <x v="19"/>
    <x v="3"/>
    <x v="0"/>
    <x v="1"/>
  </r>
  <r>
    <s v="TX500052"/>
    <x v="8"/>
    <x v="1"/>
    <n v="24.3"/>
    <n v="48.6"/>
    <x v="1"/>
    <d v="2025-01-05T00:00:00"/>
    <x v="2"/>
    <x v="1"/>
    <x v="0"/>
    <x v="0"/>
    <x v="19"/>
    <x v="2"/>
    <x v="0"/>
    <x v="2"/>
  </r>
  <r>
    <s v="TX500053"/>
    <x v="8"/>
    <x v="2"/>
    <n v="41.7"/>
    <n v="125.10000000000001"/>
    <x v="1"/>
    <d v="2025-01-04T00:00:00"/>
    <x v="1"/>
    <x v="0"/>
    <x v="2"/>
    <x v="0"/>
    <x v="20"/>
    <x v="1"/>
    <x v="0"/>
    <x v="1"/>
  </r>
  <r>
    <s v="TX500054"/>
    <x v="0"/>
    <x v="1"/>
    <n v="18"/>
    <n v="36"/>
    <x v="1"/>
    <d v="2025-01-03T00:00:00"/>
    <x v="2"/>
    <x v="0"/>
    <x v="2"/>
    <x v="0"/>
    <x v="21"/>
    <x v="3"/>
    <x v="0"/>
    <x v="2"/>
  </r>
  <r>
    <s v="TX500055"/>
    <x v="7"/>
    <x v="2"/>
    <n v="91.3"/>
    <n v="273.89999999999998"/>
    <x v="1"/>
    <d v="2025-01-05T00:00:00"/>
    <x v="1"/>
    <x v="2"/>
    <x v="2"/>
    <x v="0"/>
    <x v="3"/>
    <x v="2"/>
    <x v="0"/>
    <x v="1"/>
  </r>
  <r>
    <s v="TX500056"/>
    <x v="8"/>
    <x v="8"/>
    <n v="19.3"/>
    <n v="154.4"/>
    <x v="1"/>
    <d v="2025-01-03T00:00:00"/>
    <x v="1"/>
    <x v="0"/>
    <x v="0"/>
    <x v="0"/>
    <x v="3"/>
    <x v="3"/>
    <x v="0"/>
    <x v="1"/>
  </r>
  <r>
    <s v="TX500057"/>
    <x v="12"/>
    <x v="15"/>
    <n v="63.2"/>
    <n v="821.6"/>
    <x v="1"/>
    <d v="2025-01-03T00:00:00"/>
    <x v="2"/>
    <x v="0"/>
    <x v="0"/>
    <x v="0"/>
    <x v="3"/>
    <x v="3"/>
    <x v="0"/>
    <x v="2"/>
  </r>
  <r>
    <s v="TX500058"/>
    <x v="10"/>
    <x v="11"/>
    <n v="33.299999999999997"/>
    <n v="299.7"/>
    <x v="2"/>
    <d v="2025-01-11T00:00:00"/>
    <x v="2"/>
    <x v="0"/>
    <x v="2"/>
    <x v="0"/>
    <x v="3"/>
    <x v="9"/>
    <x v="0"/>
    <x v="2"/>
  </r>
  <r>
    <s v="TX500059"/>
    <x v="7"/>
    <x v="1"/>
    <n v="64.2"/>
    <n v="128.4"/>
    <x v="2"/>
    <d v="2025-01-04T00:00:00"/>
    <x v="1"/>
    <x v="0"/>
    <x v="2"/>
    <x v="0"/>
    <x v="3"/>
    <x v="3"/>
    <x v="0"/>
    <x v="1"/>
  </r>
  <r>
    <s v="TX500060"/>
    <x v="9"/>
    <x v="2"/>
    <n v="23.1"/>
    <n v="69.300000000000011"/>
    <x v="2"/>
    <d v="2025-01-06T00:00:00"/>
    <x v="2"/>
    <x v="1"/>
    <x v="2"/>
    <x v="0"/>
    <x v="3"/>
    <x v="2"/>
    <x v="0"/>
    <x v="2"/>
  </r>
  <r>
    <s v="TX500061"/>
    <x v="15"/>
    <x v="1"/>
    <n v="71.099999999999994"/>
    <n v="142.19999999999999"/>
    <x v="2"/>
    <d v="2025-01-05T00:00:00"/>
    <x v="2"/>
    <x v="3"/>
    <x v="1"/>
    <x v="0"/>
    <x v="3"/>
    <x v="1"/>
    <x v="0"/>
    <x v="2"/>
  </r>
  <r>
    <s v="TX500062"/>
    <x v="0"/>
    <x v="1"/>
    <n v="11.5"/>
    <n v="23"/>
    <x v="2"/>
    <d v="2025-01-04T00:00:00"/>
    <x v="2"/>
    <x v="0"/>
    <x v="0"/>
    <x v="0"/>
    <x v="3"/>
    <x v="3"/>
    <x v="0"/>
    <x v="2"/>
  </r>
  <r>
    <s v="TX500063"/>
    <x v="15"/>
    <x v="10"/>
    <n v="69.2"/>
    <n v="1314.8"/>
    <x v="2"/>
    <d v="2025-01-08T00:00:00"/>
    <x v="2"/>
    <x v="0"/>
    <x v="0"/>
    <x v="0"/>
    <x v="3"/>
    <x v="0"/>
    <x v="0"/>
    <x v="2"/>
  </r>
  <r>
    <s v="TX500064"/>
    <x v="0"/>
    <x v="0"/>
    <n v="26.8"/>
    <n v="26.8"/>
    <x v="2"/>
    <d v="2025-01-04T00:00:00"/>
    <x v="1"/>
    <x v="2"/>
    <x v="4"/>
    <x v="0"/>
    <x v="3"/>
    <x v="3"/>
    <x v="0"/>
    <x v="1"/>
  </r>
  <r>
    <s v="TX500065"/>
    <x v="16"/>
    <x v="2"/>
    <n v="31.2"/>
    <n v="93.6"/>
    <x v="2"/>
    <d v="2025-01-06T00:00:00"/>
    <x v="2"/>
    <x v="0"/>
    <x v="0"/>
    <x v="0"/>
    <x v="3"/>
    <x v="2"/>
    <x v="0"/>
    <x v="2"/>
  </r>
  <r>
    <s v="TX500066"/>
    <x v="12"/>
    <x v="1"/>
    <n v="113.2"/>
    <n v="226.4"/>
    <x v="2"/>
    <d v="2025-01-04T00:00:00"/>
    <x v="2"/>
    <x v="4"/>
    <x v="0"/>
    <x v="0"/>
    <x v="3"/>
    <x v="3"/>
    <x v="0"/>
    <x v="2"/>
  </r>
  <r>
    <s v="TX500067"/>
    <x v="10"/>
    <x v="8"/>
    <n v="21"/>
    <n v="168"/>
    <x v="2"/>
    <d v="2025-01-04T00:00:00"/>
    <x v="1"/>
    <x v="0"/>
    <x v="0"/>
    <x v="0"/>
    <x v="6"/>
    <x v="3"/>
    <x v="0"/>
    <x v="1"/>
  </r>
  <r>
    <s v="TX500068"/>
    <x v="1"/>
    <x v="1"/>
    <n v="89.1"/>
    <n v="178.2"/>
    <x v="2"/>
    <d v="2025-01-04T00:00:00"/>
    <x v="2"/>
    <x v="2"/>
    <x v="2"/>
    <x v="0"/>
    <x v="6"/>
    <x v="3"/>
    <x v="0"/>
    <x v="2"/>
  </r>
  <r>
    <s v="TX500069"/>
    <x v="1"/>
    <x v="0"/>
    <n v="97.7"/>
    <n v="97.7"/>
    <x v="2"/>
    <d v="2025-01-05T00:00:00"/>
    <x v="2"/>
    <x v="0"/>
    <x v="1"/>
    <x v="0"/>
    <x v="6"/>
    <x v="1"/>
    <x v="0"/>
    <x v="2"/>
  </r>
  <r>
    <s v="TX500070"/>
    <x v="15"/>
    <x v="12"/>
    <n v="97.7"/>
    <n v="390.8"/>
    <x v="2"/>
    <d v="2025-01-05T00:00:00"/>
    <x v="1"/>
    <x v="3"/>
    <x v="0"/>
    <x v="0"/>
    <x v="6"/>
    <x v="1"/>
    <x v="0"/>
    <x v="1"/>
  </r>
  <r>
    <s v="TX500071"/>
    <x v="17"/>
    <x v="2"/>
    <n v="47.4"/>
    <n v="142.19999999999999"/>
    <x v="2"/>
    <d v="2025-01-06T00:00:00"/>
    <x v="1"/>
    <x v="3"/>
    <x v="2"/>
    <x v="0"/>
    <x v="8"/>
    <x v="2"/>
    <x v="0"/>
    <x v="1"/>
  </r>
  <r>
    <s v="TX500072"/>
    <x v="7"/>
    <x v="0"/>
    <n v="89.6"/>
    <n v="89.6"/>
    <x v="2"/>
    <d v="2025-01-06T00:00:00"/>
    <x v="2"/>
    <x v="0"/>
    <x v="2"/>
    <x v="0"/>
    <x v="8"/>
    <x v="2"/>
    <x v="0"/>
    <x v="2"/>
  </r>
  <r>
    <s v="TX500073"/>
    <x v="10"/>
    <x v="16"/>
    <n v="28.4"/>
    <n v="511.2"/>
    <x v="2"/>
    <d v="2025-01-06T00:00:00"/>
    <x v="2"/>
    <x v="3"/>
    <x v="2"/>
    <x v="0"/>
    <x v="17"/>
    <x v="2"/>
    <x v="0"/>
    <x v="2"/>
  </r>
  <r>
    <s v="TX500074"/>
    <x v="0"/>
    <x v="1"/>
    <n v="17.899999999999999"/>
    <n v="35.799999999999997"/>
    <x v="2"/>
    <d v="2025-01-04T00:00:00"/>
    <x v="2"/>
    <x v="0"/>
    <x v="2"/>
    <x v="0"/>
    <x v="9"/>
    <x v="3"/>
    <x v="0"/>
    <x v="2"/>
  </r>
  <r>
    <s v="TX500075"/>
    <x v="9"/>
    <x v="1"/>
    <n v="48.4"/>
    <n v="96.8"/>
    <x v="2"/>
    <d v="2025-01-06T00:00:00"/>
    <x v="1"/>
    <x v="1"/>
    <x v="0"/>
    <x v="0"/>
    <x v="9"/>
    <x v="2"/>
    <x v="0"/>
    <x v="1"/>
  </r>
  <r>
    <s v="TX500076"/>
    <x v="12"/>
    <x v="12"/>
    <n v="44.4"/>
    <n v="177.6"/>
    <x v="2"/>
    <d v="2025-01-04T00:00:00"/>
    <x v="3"/>
    <x v="1"/>
    <x v="1"/>
    <x v="0"/>
    <x v="11"/>
    <x v="3"/>
    <x v="0"/>
    <x v="3"/>
  </r>
  <r>
    <s v="TX500077"/>
    <x v="2"/>
    <x v="8"/>
    <n v="103.7"/>
    <n v="829.6"/>
    <x v="2"/>
    <d v="2025-01-04T00:00:00"/>
    <x v="2"/>
    <x v="0"/>
    <x v="1"/>
    <x v="0"/>
    <x v="19"/>
    <x v="3"/>
    <x v="0"/>
    <x v="2"/>
  </r>
  <r>
    <s v="TX500078"/>
    <x v="5"/>
    <x v="12"/>
    <n v="58.6"/>
    <n v="234.4"/>
    <x v="2"/>
    <d v="2025-01-05T00:00:00"/>
    <x v="1"/>
    <x v="3"/>
    <x v="0"/>
    <x v="0"/>
    <x v="19"/>
    <x v="1"/>
    <x v="0"/>
    <x v="1"/>
  </r>
  <r>
    <s v="TX500079"/>
    <x v="9"/>
    <x v="12"/>
    <n v="54.8"/>
    <n v="219.2"/>
    <x v="2"/>
    <d v="2025-01-07T00:00:00"/>
    <x v="2"/>
    <x v="2"/>
    <x v="1"/>
    <x v="0"/>
    <x v="13"/>
    <x v="5"/>
    <x v="0"/>
    <x v="2"/>
  </r>
  <r>
    <s v="TX500080"/>
    <x v="12"/>
    <x v="2"/>
    <n v="78.8"/>
    <n v="236.39999999999998"/>
    <x v="2"/>
    <d v="2025-01-09T00:00:00"/>
    <x v="2"/>
    <x v="4"/>
    <x v="1"/>
    <x v="0"/>
    <x v="21"/>
    <x v="4"/>
    <x v="0"/>
    <x v="2"/>
  </r>
  <r>
    <s v="TX500081"/>
    <x v="18"/>
    <x v="9"/>
    <n v="36.799999999999997"/>
    <n v="184"/>
    <x v="2"/>
    <d v="2025-01-06T00:00:00"/>
    <x v="1"/>
    <x v="4"/>
    <x v="1"/>
    <x v="0"/>
    <x v="22"/>
    <x v="2"/>
    <x v="0"/>
    <x v="1"/>
  </r>
  <r>
    <s v="TX500082"/>
    <x v="6"/>
    <x v="13"/>
    <n v="50.6"/>
    <n v="303.60000000000002"/>
    <x v="2"/>
    <d v="2025-01-05T00:00:00"/>
    <x v="2"/>
    <x v="3"/>
    <x v="0"/>
    <x v="0"/>
    <x v="3"/>
    <x v="1"/>
    <x v="0"/>
    <x v="2"/>
  </r>
  <r>
    <s v="TX500083"/>
    <x v="15"/>
    <x v="2"/>
    <n v="36.799999999999997"/>
    <n v="110.39999999999999"/>
    <x v="2"/>
    <d v="2025-01-03T00:00:00"/>
    <x v="1"/>
    <x v="2"/>
    <x v="1"/>
    <x v="0"/>
    <x v="3"/>
    <x v="7"/>
    <x v="0"/>
    <x v="1"/>
  </r>
  <r>
    <s v="TX500084"/>
    <x v="8"/>
    <x v="11"/>
    <n v="41.8"/>
    <n v="376.2"/>
    <x v="3"/>
    <d v="2025-01-10T00:00:00"/>
    <x v="2"/>
    <x v="3"/>
    <x v="0"/>
    <x v="0"/>
    <x v="3"/>
    <x v="4"/>
    <x v="0"/>
    <x v="2"/>
  </r>
  <r>
    <s v="TX500085"/>
    <x v="18"/>
    <x v="0"/>
    <n v="77.3"/>
    <n v="77.3"/>
    <x v="3"/>
    <d v="2025-01-05T00:00:00"/>
    <x v="1"/>
    <x v="4"/>
    <x v="4"/>
    <x v="0"/>
    <x v="3"/>
    <x v="3"/>
    <x v="0"/>
    <x v="1"/>
  </r>
  <r>
    <s v="TX500086"/>
    <x v="8"/>
    <x v="12"/>
    <n v="19.8"/>
    <n v="79.2"/>
    <x v="3"/>
    <d v="2025-01-10T00:00:00"/>
    <x v="1"/>
    <x v="1"/>
    <x v="2"/>
    <x v="0"/>
    <x v="3"/>
    <x v="4"/>
    <x v="0"/>
    <x v="1"/>
  </r>
  <r>
    <s v="TX500087"/>
    <x v="13"/>
    <x v="12"/>
    <n v="15.5"/>
    <n v="62"/>
    <x v="3"/>
    <d v="2025-01-05T00:00:00"/>
    <x v="2"/>
    <x v="1"/>
    <x v="2"/>
    <x v="0"/>
    <x v="3"/>
    <x v="3"/>
    <x v="0"/>
    <x v="2"/>
  </r>
  <r>
    <s v="TX500088"/>
    <x v="12"/>
    <x v="0"/>
    <n v="46.8"/>
    <n v="46.8"/>
    <x v="3"/>
    <d v="2025-01-08T00:00:00"/>
    <x v="1"/>
    <x v="0"/>
    <x v="2"/>
    <x v="0"/>
    <x v="3"/>
    <x v="5"/>
    <x v="0"/>
    <x v="1"/>
  </r>
  <r>
    <s v="TX500089"/>
    <x v="9"/>
    <x v="11"/>
    <n v="28.6"/>
    <n v="257.40000000000003"/>
    <x v="3"/>
    <d v="2025-01-08T00:00:00"/>
    <x v="1"/>
    <x v="0"/>
    <x v="2"/>
    <x v="0"/>
    <x v="3"/>
    <x v="5"/>
    <x v="0"/>
    <x v="1"/>
  </r>
  <r>
    <s v="TX500090"/>
    <x v="2"/>
    <x v="0"/>
    <n v="97.7"/>
    <n v="97.7"/>
    <x v="3"/>
    <d v="2025-01-07T00:00:00"/>
    <x v="2"/>
    <x v="1"/>
    <x v="0"/>
    <x v="0"/>
    <x v="3"/>
    <x v="2"/>
    <x v="0"/>
    <x v="2"/>
  </r>
  <r>
    <s v="TX500091"/>
    <x v="9"/>
    <x v="9"/>
    <n v="54.7"/>
    <n v="273.5"/>
    <x v="3"/>
    <d v="2025-01-07T00:00:00"/>
    <x v="0"/>
    <x v="0"/>
    <x v="2"/>
    <x v="0"/>
    <x v="23"/>
    <x v="2"/>
    <x v="0"/>
    <x v="0"/>
  </r>
  <r>
    <s v="TX500092"/>
    <x v="2"/>
    <x v="13"/>
    <n v="130.5"/>
    <n v="783"/>
    <x v="3"/>
    <d v="2025-01-06T00:00:00"/>
    <x v="2"/>
    <x v="0"/>
    <x v="1"/>
    <x v="0"/>
    <x v="23"/>
    <x v="1"/>
    <x v="0"/>
    <x v="2"/>
  </r>
  <r>
    <s v="TX500093"/>
    <x v="11"/>
    <x v="1"/>
    <n v="50.4"/>
    <n v="100.8"/>
    <x v="3"/>
    <d v="2025-01-06T00:00:00"/>
    <x v="1"/>
    <x v="2"/>
    <x v="2"/>
    <x v="0"/>
    <x v="6"/>
    <x v="1"/>
    <x v="0"/>
    <x v="1"/>
  </r>
  <r>
    <s v="TX500094"/>
    <x v="6"/>
    <x v="15"/>
    <n v="61.5"/>
    <n v="799.5"/>
    <x v="3"/>
    <d v="2025-01-05T00:00:00"/>
    <x v="0"/>
    <x v="3"/>
    <x v="1"/>
    <x v="0"/>
    <x v="11"/>
    <x v="3"/>
    <x v="0"/>
    <x v="0"/>
  </r>
  <r>
    <s v="TX500095"/>
    <x v="9"/>
    <x v="12"/>
    <n v="30.1"/>
    <n v="120.4"/>
    <x v="3"/>
    <d v="2025-01-05T00:00:00"/>
    <x v="2"/>
    <x v="0"/>
    <x v="2"/>
    <x v="0"/>
    <x v="21"/>
    <x v="3"/>
    <x v="0"/>
    <x v="2"/>
  </r>
  <r>
    <s v="TX500096"/>
    <x v="2"/>
    <x v="9"/>
    <n v="74.8"/>
    <n v="374"/>
    <x v="3"/>
    <d v="2025-01-05T00:00:00"/>
    <x v="2"/>
    <x v="1"/>
    <x v="0"/>
    <x v="0"/>
    <x v="1"/>
    <x v="3"/>
    <x v="0"/>
    <x v="2"/>
  </r>
  <r>
    <s v="TX500097"/>
    <x v="16"/>
    <x v="2"/>
    <n v="64.900000000000006"/>
    <n v="194.70000000000002"/>
    <x v="3"/>
    <d v="2025-01-11T00:00:00"/>
    <x v="1"/>
    <x v="0"/>
    <x v="0"/>
    <x v="0"/>
    <x v="2"/>
    <x v="6"/>
    <x v="0"/>
    <x v="1"/>
  </r>
  <r>
    <s v="TX500098"/>
    <x v="9"/>
    <x v="1"/>
    <n v="50.5"/>
    <n v="101"/>
    <x v="3"/>
    <d v="2025-01-06T00:00:00"/>
    <x v="1"/>
    <x v="1"/>
    <x v="0"/>
    <x v="0"/>
    <x v="22"/>
    <x v="1"/>
    <x v="0"/>
    <x v="1"/>
  </r>
  <r>
    <s v="TX500099"/>
    <x v="11"/>
    <x v="3"/>
    <n v="63"/>
    <n v="441"/>
    <x v="3"/>
    <d v="2025-01-07T00:00:00"/>
    <x v="1"/>
    <x v="3"/>
    <x v="2"/>
    <x v="0"/>
    <x v="3"/>
    <x v="2"/>
    <x v="0"/>
    <x v="1"/>
  </r>
  <r>
    <s v="TX500100"/>
    <x v="2"/>
    <x v="2"/>
    <n v="93.6"/>
    <n v="280.79999999999995"/>
    <x v="3"/>
    <d v="2025-01-17T00:00:00"/>
    <x v="2"/>
    <x v="0"/>
    <x v="2"/>
    <x v="0"/>
    <x v="3"/>
    <x v="10"/>
    <x v="0"/>
    <x v="2"/>
  </r>
  <r>
    <s v="TX500101"/>
    <x v="5"/>
    <x v="17"/>
    <n v="41.4"/>
    <n v="1242"/>
    <x v="3"/>
    <d v="2025-01-08T00:00:00"/>
    <x v="1"/>
    <x v="2"/>
    <x v="2"/>
    <x v="0"/>
    <x v="3"/>
    <x v="5"/>
    <x v="0"/>
    <x v="1"/>
  </r>
  <r>
    <s v="TX500102"/>
    <x v="2"/>
    <x v="1"/>
    <n v="160"/>
    <n v="320"/>
    <x v="4"/>
    <d v="2025-01-06T00:00:00"/>
    <x v="1"/>
    <x v="2"/>
    <x v="2"/>
    <x v="0"/>
    <x v="5"/>
    <x v="3"/>
    <x v="1"/>
    <x v="1"/>
  </r>
  <r>
    <s v="TX500103"/>
    <x v="19"/>
    <x v="5"/>
    <n v="10.5"/>
    <n v="115.5"/>
    <x v="4"/>
    <d v="2025-01-08T00:00:00"/>
    <x v="2"/>
    <x v="4"/>
    <x v="0"/>
    <x v="0"/>
    <x v="8"/>
    <x v="2"/>
    <x v="1"/>
    <x v="2"/>
  </r>
  <r>
    <s v="TX500104"/>
    <x v="10"/>
    <x v="1"/>
    <n v="53"/>
    <n v="106"/>
    <x v="4"/>
    <d v="2025-01-05T00:00:00"/>
    <x v="1"/>
    <x v="2"/>
    <x v="4"/>
    <x v="0"/>
    <x v="17"/>
    <x v="7"/>
    <x v="1"/>
    <x v="1"/>
  </r>
  <r>
    <s v="TX500105"/>
    <x v="8"/>
    <x v="2"/>
    <n v="18.5"/>
    <n v="55.5"/>
    <x v="4"/>
    <d v="2025-01-10T00:00:00"/>
    <x v="2"/>
    <x v="1"/>
    <x v="2"/>
    <x v="0"/>
    <x v="11"/>
    <x v="0"/>
    <x v="1"/>
    <x v="2"/>
  </r>
  <r>
    <s v="TX500106"/>
    <x v="16"/>
    <x v="2"/>
    <n v="84.5"/>
    <n v="253.5"/>
    <x v="4"/>
    <d v="2025-01-07T00:00:00"/>
    <x v="2"/>
    <x v="4"/>
    <x v="1"/>
    <x v="0"/>
    <x v="13"/>
    <x v="1"/>
    <x v="1"/>
    <x v="2"/>
  </r>
  <r>
    <s v="TX500107"/>
    <x v="15"/>
    <x v="3"/>
    <n v="31.2"/>
    <n v="218.4"/>
    <x v="4"/>
    <d v="2025-01-05T00:00:00"/>
    <x v="2"/>
    <x v="2"/>
    <x v="2"/>
    <x v="0"/>
    <x v="3"/>
    <x v="7"/>
    <x v="1"/>
    <x v="2"/>
  </r>
  <r>
    <s v="TX500108"/>
    <x v="8"/>
    <x v="16"/>
    <n v="32.6"/>
    <n v="586.80000000000007"/>
    <x v="4"/>
    <d v="2025-01-06T00:00:00"/>
    <x v="1"/>
    <x v="1"/>
    <x v="1"/>
    <x v="0"/>
    <x v="3"/>
    <x v="3"/>
    <x v="1"/>
    <x v="1"/>
  </r>
  <r>
    <s v="TX500109"/>
    <x v="10"/>
    <x v="12"/>
    <n v="45.4"/>
    <n v="181.6"/>
    <x v="4"/>
    <d v="2025-01-07T00:00:00"/>
    <x v="1"/>
    <x v="1"/>
    <x v="0"/>
    <x v="0"/>
    <x v="3"/>
    <x v="1"/>
    <x v="1"/>
    <x v="1"/>
  </r>
  <r>
    <s v="TX500110"/>
    <x v="2"/>
    <x v="4"/>
    <n v="120"/>
    <n v="1440"/>
    <x v="4"/>
    <d v="2025-01-06T00:00:00"/>
    <x v="2"/>
    <x v="2"/>
    <x v="4"/>
    <x v="0"/>
    <x v="3"/>
    <x v="3"/>
    <x v="1"/>
    <x v="2"/>
  </r>
  <r>
    <s v="TX500111"/>
    <x v="0"/>
    <x v="12"/>
    <n v="18.899999999999999"/>
    <n v="75.599999999999994"/>
    <x v="4"/>
    <d v="2025-01-07T00:00:00"/>
    <x v="1"/>
    <x v="0"/>
    <x v="2"/>
    <x v="0"/>
    <x v="3"/>
    <x v="1"/>
    <x v="1"/>
    <x v="1"/>
  </r>
  <r>
    <s v="TX500112"/>
    <x v="4"/>
    <x v="0"/>
    <n v="32"/>
    <n v="32"/>
    <x v="4"/>
    <d v="2025-01-07T00:00:00"/>
    <x v="2"/>
    <x v="4"/>
    <x v="0"/>
    <x v="0"/>
    <x v="3"/>
    <x v="1"/>
    <x v="1"/>
    <x v="2"/>
  </r>
  <r>
    <s v="TX500113"/>
    <x v="7"/>
    <x v="1"/>
    <n v="37.299999999999997"/>
    <n v="74.599999999999994"/>
    <x v="4"/>
    <d v="2025-01-06T00:00:00"/>
    <x v="1"/>
    <x v="2"/>
    <x v="0"/>
    <x v="0"/>
    <x v="3"/>
    <x v="3"/>
    <x v="1"/>
    <x v="1"/>
  </r>
  <r>
    <s v="TX500114"/>
    <x v="18"/>
    <x v="0"/>
    <n v="119.8"/>
    <n v="119.8"/>
    <x v="4"/>
    <d v="2025-01-06T00:00:00"/>
    <x v="1"/>
    <x v="1"/>
    <x v="1"/>
    <x v="0"/>
    <x v="3"/>
    <x v="3"/>
    <x v="1"/>
    <x v="1"/>
  </r>
  <r>
    <s v="TX500115"/>
    <x v="10"/>
    <x v="1"/>
    <n v="26.4"/>
    <n v="52.8"/>
    <x v="4"/>
    <d v="2025-01-08T00:00:00"/>
    <x v="1"/>
    <x v="2"/>
    <x v="0"/>
    <x v="0"/>
    <x v="3"/>
    <x v="2"/>
    <x v="1"/>
    <x v="1"/>
  </r>
  <r>
    <s v="TX500116"/>
    <x v="6"/>
    <x v="13"/>
    <n v="76.5"/>
    <n v="459"/>
    <x v="4"/>
    <d v="2025-01-06T00:00:00"/>
    <x v="2"/>
    <x v="1"/>
    <x v="1"/>
    <x v="0"/>
    <x v="3"/>
    <x v="3"/>
    <x v="1"/>
    <x v="2"/>
  </r>
  <r>
    <s v="TX500117"/>
    <x v="4"/>
    <x v="7"/>
    <n v="45.7"/>
    <n v="457"/>
    <x v="4"/>
    <d v="2025-01-06T00:00:00"/>
    <x v="2"/>
    <x v="2"/>
    <x v="0"/>
    <x v="0"/>
    <x v="24"/>
    <x v="3"/>
    <x v="1"/>
    <x v="2"/>
  </r>
  <r>
    <s v="TX500118"/>
    <x v="1"/>
    <x v="4"/>
    <n v="92.6"/>
    <n v="1111.1999999999998"/>
    <x v="4"/>
    <d v="2025-01-07T00:00:00"/>
    <x v="2"/>
    <x v="2"/>
    <x v="0"/>
    <x v="0"/>
    <x v="25"/>
    <x v="1"/>
    <x v="1"/>
    <x v="2"/>
  </r>
  <r>
    <s v="TX500119"/>
    <x v="6"/>
    <x v="13"/>
    <n v="60.1"/>
    <n v="360.6"/>
    <x v="4"/>
    <d v="2025-01-06T00:00:00"/>
    <x v="1"/>
    <x v="1"/>
    <x v="0"/>
    <x v="0"/>
    <x v="23"/>
    <x v="3"/>
    <x v="1"/>
    <x v="1"/>
  </r>
  <r>
    <s v="TX500120"/>
    <x v="1"/>
    <x v="2"/>
    <n v="73"/>
    <n v="219"/>
    <x v="4"/>
    <d v="2025-01-06T00:00:00"/>
    <x v="2"/>
    <x v="3"/>
    <x v="1"/>
    <x v="0"/>
    <x v="6"/>
    <x v="3"/>
    <x v="1"/>
    <x v="2"/>
  </r>
  <r>
    <s v="TX500121"/>
    <x v="6"/>
    <x v="2"/>
    <n v="44.3"/>
    <n v="132.89999999999998"/>
    <x v="4"/>
    <d v="2025-01-09T00:00:00"/>
    <x v="0"/>
    <x v="2"/>
    <x v="2"/>
    <x v="0"/>
    <x v="6"/>
    <x v="5"/>
    <x v="1"/>
    <x v="0"/>
  </r>
  <r>
    <s v="TX500122"/>
    <x v="6"/>
    <x v="2"/>
    <n v="63.3"/>
    <n v="189.89999999999998"/>
    <x v="4"/>
    <d v="2025-01-06T00:00:00"/>
    <x v="1"/>
    <x v="2"/>
    <x v="0"/>
    <x v="0"/>
    <x v="6"/>
    <x v="3"/>
    <x v="1"/>
    <x v="1"/>
  </r>
  <r>
    <s v="TX500123"/>
    <x v="12"/>
    <x v="0"/>
    <n v="66.8"/>
    <n v="66.8"/>
    <x v="4"/>
    <d v="2025-01-06T00:00:00"/>
    <x v="2"/>
    <x v="1"/>
    <x v="0"/>
    <x v="0"/>
    <x v="6"/>
    <x v="3"/>
    <x v="1"/>
    <x v="2"/>
  </r>
  <r>
    <s v="TX500124"/>
    <x v="2"/>
    <x v="1"/>
    <n v="59.7"/>
    <n v="119.4"/>
    <x v="4"/>
    <d v="2025-01-06T00:00:00"/>
    <x v="2"/>
    <x v="0"/>
    <x v="0"/>
    <x v="0"/>
    <x v="7"/>
    <x v="3"/>
    <x v="1"/>
    <x v="2"/>
  </r>
  <r>
    <s v="TX500125"/>
    <x v="1"/>
    <x v="13"/>
    <n v="92"/>
    <n v="552"/>
    <x v="4"/>
    <d v="2025-01-07T00:00:00"/>
    <x v="1"/>
    <x v="0"/>
    <x v="4"/>
    <x v="0"/>
    <x v="7"/>
    <x v="1"/>
    <x v="1"/>
    <x v="1"/>
  </r>
  <r>
    <s v="TX500126"/>
    <x v="7"/>
    <x v="1"/>
    <n v="87.6"/>
    <n v="175.2"/>
    <x v="4"/>
    <d v="2025-01-07T00:00:00"/>
    <x v="1"/>
    <x v="1"/>
    <x v="1"/>
    <x v="0"/>
    <x v="8"/>
    <x v="1"/>
    <x v="1"/>
    <x v="1"/>
  </r>
  <r>
    <s v="TX500127"/>
    <x v="6"/>
    <x v="2"/>
    <n v="84.5"/>
    <n v="253.5"/>
    <x v="4"/>
    <d v="2025-01-06T00:00:00"/>
    <x v="2"/>
    <x v="1"/>
    <x v="1"/>
    <x v="0"/>
    <x v="8"/>
    <x v="3"/>
    <x v="1"/>
    <x v="2"/>
  </r>
  <r>
    <s v="TX500128"/>
    <x v="1"/>
    <x v="1"/>
    <n v="116.3"/>
    <n v="232.6"/>
    <x v="5"/>
    <d v="2025-01-08T00:00:00"/>
    <x v="1"/>
    <x v="2"/>
    <x v="2"/>
    <x v="0"/>
    <x v="8"/>
    <x v="1"/>
    <x v="1"/>
    <x v="1"/>
  </r>
  <r>
    <s v="TX500129"/>
    <x v="6"/>
    <x v="9"/>
    <n v="52.7"/>
    <n v="263.5"/>
    <x v="5"/>
    <d v="2025-01-10T00:00:00"/>
    <x v="1"/>
    <x v="0"/>
    <x v="0"/>
    <x v="0"/>
    <x v="8"/>
    <x v="5"/>
    <x v="1"/>
    <x v="1"/>
  </r>
  <r>
    <s v="TX500130"/>
    <x v="16"/>
    <x v="2"/>
    <n v="34.200000000000003"/>
    <n v="102.60000000000001"/>
    <x v="5"/>
    <d v="2025-01-07T00:00:00"/>
    <x v="1"/>
    <x v="0"/>
    <x v="2"/>
    <x v="0"/>
    <x v="26"/>
    <x v="3"/>
    <x v="1"/>
    <x v="1"/>
  </r>
  <r>
    <s v="TX500131"/>
    <x v="9"/>
    <x v="0"/>
    <n v="23.3"/>
    <n v="23.3"/>
    <x v="5"/>
    <d v="2025-01-15T00:00:00"/>
    <x v="3"/>
    <x v="2"/>
    <x v="2"/>
    <x v="0"/>
    <x v="9"/>
    <x v="8"/>
    <x v="1"/>
    <x v="3"/>
  </r>
  <r>
    <s v="TX500132"/>
    <x v="0"/>
    <x v="18"/>
    <n v="25.9"/>
    <n v="673.4"/>
    <x v="5"/>
    <d v="2025-01-09T00:00:00"/>
    <x v="2"/>
    <x v="4"/>
    <x v="1"/>
    <x v="0"/>
    <x v="9"/>
    <x v="2"/>
    <x v="1"/>
    <x v="2"/>
  </r>
  <r>
    <s v="TX500133"/>
    <x v="6"/>
    <x v="19"/>
    <n v="54.9"/>
    <n v="1592.1"/>
    <x v="5"/>
    <d v="2025-01-07T00:00:00"/>
    <x v="1"/>
    <x v="1"/>
    <x v="2"/>
    <x v="0"/>
    <x v="9"/>
    <x v="3"/>
    <x v="1"/>
    <x v="1"/>
  </r>
  <r>
    <s v="TX500134"/>
    <x v="5"/>
    <x v="2"/>
    <n v="75.8"/>
    <n v="227.39999999999998"/>
    <x v="5"/>
    <d v="2025-01-11T00:00:00"/>
    <x v="3"/>
    <x v="1"/>
    <x v="0"/>
    <x v="0"/>
    <x v="18"/>
    <x v="0"/>
    <x v="1"/>
    <x v="3"/>
  </r>
  <r>
    <s v="TX500135"/>
    <x v="1"/>
    <x v="11"/>
    <n v="44.9"/>
    <n v="404.09999999999997"/>
    <x v="5"/>
    <d v="2025-01-09T00:00:00"/>
    <x v="2"/>
    <x v="2"/>
    <x v="2"/>
    <x v="0"/>
    <x v="2"/>
    <x v="2"/>
    <x v="1"/>
    <x v="2"/>
  </r>
  <r>
    <s v="TX500136"/>
    <x v="11"/>
    <x v="1"/>
    <n v="48.8"/>
    <n v="97.6"/>
    <x v="5"/>
    <d v="2025-01-08T00:00:00"/>
    <x v="2"/>
    <x v="3"/>
    <x v="0"/>
    <x v="0"/>
    <x v="27"/>
    <x v="1"/>
    <x v="1"/>
    <x v="2"/>
  </r>
  <r>
    <s v="TX500137"/>
    <x v="15"/>
    <x v="0"/>
    <n v="20.3"/>
    <n v="20.3"/>
    <x v="5"/>
    <d v="2025-01-07T00:00:00"/>
    <x v="2"/>
    <x v="0"/>
    <x v="2"/>
    <x v="0"/>
    <x v="22"/>
    <x v="3"/>
    <x v="1"/>
    <x v="2"/>
  </r>
  <r>
    <s v="TX500138"/>
    <x v="5"/>
    <x v="3"/>
    <n v="36.4"/>
    <n v="254.79999999999998"/>
    <x v="5"/>
    <d v="2025-01-09T00:00:00"/>
    <x v="2"/>
    <x v="0"/>
    <x v="1"/>
    <x v="0"/>
    <x v="3"/>
    <x v="2"/>
    <x v="1"/>
    <x v="2"/>
  </r>
  <r>
    <s v="TX500139"/>
    <x v="0"/>
    <x v="0"/>
    <n v="19"/>
    <n v="19"/>
    <x v="5"/>
    <d v="2025-01-11T00:00:00"/>
    <x v="2"/>
    <x v="1"/>
    <x v="2"/>
    <x v="0"/>
    <x v="3"/>
    <x v="0"/>
    <x v="1"/>
    <x v="2"/>
  </r>
  <r>
    <s v="TX500140"/>
    <x v="8"/>
    <x v="0"/>
    <n v="17.8"/>
    <n v="17.8"/>
    <x v="5"/>
    <d v="2025-01-06T00:00:00"/>
    <x v="1"/>
    <x v="0"/>
    <x v="0"/>
    <x v="0"/>
    <x v="3"/>
    <x v="7"/>
    <x v="1"/>
    <x v="1"/>
  </r>
  <r>
    <s v="TX500141"/>
    <x v="2"/>
    <x v="13"/>
    <n v="139.6"/>
    <n v="837.59999999999991"/>
    <x v="5"/>
    <d v="2025-01-09T00:00:00"/>
    <x v="1"/>
    <x v="0"/>
    <x v="0"/>
    <x v="0"/>
    <x v="3"/>
    <x v="2"/>
    <x v="1"/>
    <x v="1"/>
  </r>
  <r>
    <s v="TX500142"/>
    <x v="9"/>
    <x v="0"/>
    <n v="31.7"/>
    <n v="31.7"/>
    <x v="5"/>
    <d v="2025-01-06T00:00:00"/>
    <x v="0"/>
    <x v="0"/>
    <x v="0"/>
    <x v="0"/>
    <x v="3"/>
    <x v="7"/>
    <x v="1"/>
    <x v="0"/>
  </r>
  <r>
    <s v="TX500143"/>
    <x v="8"/>
    <x v="8"/>
    <n v="26.3"/>
    <n v="210.4"/>
    <x v="5"/>
    <d v="2025-01-09T00:00:00"/>
    <x v="2"/>
    <x v="4"/>
    <x v="4"/>
    <x v="0"/>
    <x v="3"/>
    <x v="2"/>
    <x v="1"/>
    <x v="2"/>
  </r>
  <r>
    <s v="TX500144"/>
    <x v="4"/>
    <x v="1"/>
    <n v="47.8"/>
    <n v="95.6"/>
    <x v="5"/>
    <d v="2025-01-07T00:00:00"/>
    <x v="0"/>
    <x v="0"/>
    <x v="0"/>
    <x v="0"/>
    <x v="3"/>
    <x v="3"/>
    <x v="1"/>
    <x v="0"/>
  </r>
  <r>
    <s v="TX500145"/>
    <x v="9"/>
    <x v="2"/>
    <n v="69.400000000000006"/>
    <n v="208.20000000000002"/>
    <x v="5"/>
    <d v="2025-01-10T00:00:00"/>
    <x v="2"/>
    <x v="0"/>
    <x v="0"/>
    <x v="0"/>
    <x v="3"/>
    <x v="5"/>
    <x v="1"/>
    <x v="2"/>
  </r>
  <r>
    <s v="TX500146"/>
    <x v="18"/>
    <x v="4"/>
    <n v="25.8"/>
    <n v="309.60000000000002"/>
    <x v="5"/>
    <d v="2025-01-07T00:00:00"/>
    <x v="1"/>
    <x v="4"/>
    <x v="4"/>
    <x v="0"/>
    <x v="3"/>
    <x v="3"/>
    <x v="1"/>
    <x v="1"/>
  </r>
  <r>
    <s v="TX500147"/>
    <x v="0"/>
    <x v="12"/>
    <n v="26.4"/>
    <n v="105.6"/>
    <x v="5"/>
    <d v="2025-01-07T00:00:00"/>
    <x v="1"/>
    <x v="1"/>
    <x v="2"/>
    <x v="0"/>
    <x v="3"/>
    <x v="3"/>
    <x v="1"/>
    <x v="1"/>
  </r>
  <r>
    <s v="TX500148"/>
    <x v="8"/>
    <x v="12"/>
    <n v="15.7"/>
    <n v="62.8"/>
    <x v="5"/>
    <d v="2025-01-07T00:00:00"/>
    <x v="1"/>
    <x v="2"/>
    <x v="0"/>
    <x v="0"/>
    <x v="3"/>
    <x v="3"/>
    <x v="1"/>
    <x v="1"/>
  </r>
  <r>
    <s v="TX500149"/>
    <x v="8"/>
    <x v="0"/>
    <n v="39.700000000000003"/>
    <n v="39.700000000000003"/>
    <x v="5"/>
    <d v="2025-01-10T00:00:00"/>
    <x v="1"/>
    <x v="0"/>
    <x v="0"/>
    <x v="0"/>
    <x v="3"/>
    <x v="5"/>
    <x v="1"/>
    <x v="1"/>
  </r>
  <r>
    <s v="TX500150"/>
    <x v="10"/>
    <x v="12"/>
    <n v="31.1"/>
    <n v="124.4"/>
    <x v="5"/>
    <d v="2025-01-08T00:00:00"/>
    <x v="2"/>
    <x v="2"/>
    <x v="1"/>
    <x v="0"/>
    <x v="3"/>
    <x v="1"/>
    <x v="1"/>
    <x v="2"/>
  </r>
  <r>
    <s v="TX500151"/>
    <x v="13"/>
    <x v="20"/>
    <n v="23.4"/>
    <n v="351"/>
    <x v="5"/>
    <d v="2025-01-15T00:00:00"/>
    <x v="1"/>
    <x v="0"/>
    <x v="0"/>
    <x v="0"/>
    <x v="3"/>
    <x v="8"/>
    <x v="1"/>
    <x v="1"/>
  </r>
  <r>
    <s v="TX500152"/>
    <x v="1"/>
    <x v="12"/>
    <n v="57.1"/>
    <n v="228.4"/>
    <x v="6"/>
    <d v="2025-01-08T00:00:00"/>
    <x v="1"/>
    <x v="2"/>
    <x v="0"/>
    <x v="0"/>
    <x v="25"/>
    <x v="3"/>
    <x v="1"/>
    <x v="1"/>
  </r>
  <r>
    <s v="TX500153"/>
    <x v="2"/>
    <x v="9"/>
    <n v="89.9"/>
    <n v="449.5"/>
    <x v="6"/>
    <d v="2025-01-07T00:00:00"/>
    <x v="2"/>
    <x v="0"/>
    <x v="3"/>
    <x v="0"/>
    <x v="23"/>
    <x v="7"/>
    <x v="1"/>
    <x v="2"/>
  </r>
  <r>
    <s v="TX500154"/>
    <x v="10"/>
    <x v="3"/>
    <n v="48.1"/>
    <n v="336.7"/>
    <x v="6"/>
    <d v="2025-01-09T00:00:00"/>
    <x v="2"/>
    <x v="1"/>
    <x v="2"/>
    <x v="0"/>
    <x v="6"/>
    <x v="1"/>
    <x v="1"/>
    <x v="2"/>
  </r>
  <r>
    <s v="TX500155"/>
    <x v="8"/>
    <x v="1"/>
    <n v="29.3"/>
    <n v="58.6"/>
    <x v="6"/>
    <d v="2025-01-07T00:00:00"/>
    <x v="2"/>
    <x v="1"/>
    <x v="1"/>
    <x v="0"/>
    <x v="6"/>
    <x v="7"/>
    <x v="1"/>
    <x v="2"/>
  </r>
  <r>
    <s v="TX500156"/>
    <x v="8"/>
    <x v="12"/>
    <n v="28.8"/>
    <n v="115.2"/>
    <x v="6"/>
    <d v="2025-01-08T00:00:00"/>
    <x v="2"/>
    <x v="0"/>
    <x v="4"/>
    <x v="0"/>
    <x v="6"/>
    <x v="3"/>
    <x v="1"/>
    <x v="2"/>
  </r>
  <r>
    <s v="TX500157"/>
    <x v="10"/>
    <x v="9"/>
    <n v="40.5"/>
    <n v="202.5"/>
    <x v="6"/>
    <d v="2025-01-11T00:00:00"/>
    <x v="2"/>
    <x v="3"/>
    <x v="0"/>
    <x v="0"/>
    <x v="6"/>
    <x v="5"/>
    <x v="1"/>
    <x v="2"/>
  </r>
  <r>
    <s v="TX500158"/>
    <x v="18"/>
    <x v="21"/>
    <n v="65.099999999999994"/>
    <n v="911.39999999999986"/>
    <x v="6"/>
    <d v="2025-01-08T00:00:00"/>
    <x v="2"/>
    <x v="4"/>
    <x v="0"/>
    <x v="0"/>
    <x v="7"/>
    <x v="3"/>
    <x v="1"/>
    <x v="2"/>
  </r>
  <r>
    <s v="TX500159"/>
    <x v="8"/>
    <x v="12"/>
    <n v="40.299999999999997"/>
    <n v="161.19999999999999"/>
    <x v="6"/>
    <d v="2025-01-12T00:00:00"/>
    <x v="2"/>
    <x v="2"/>
    <x v="0"/>
    <x v="0"/>
    <x v="7"/>
    <x v="0"/>
    <x v="1"/>
    <x v="2"/>
  </r>
  <r>
    <s v="TX500160"/>
    <x v="6"/>
    <x v="9"/>
    <n v="51.8"/>
    <n v="259"/>
    <x v="6"/>
    <d v="2025-01-08T00:00:00"/>
    <x v="1"/>
    <x v="2"/>
    <x v="2"/>
    <x v="0"/>
    <x v="8"/>
    <x v="3"/>
    <x v="1"/>
    <x v="1"/>
  </r>
  <r>
    <s v="TX500161"/>
    <x v="6"/>
    <x v="2"/>
    <n v="61.3"/>
    <n v="183.89999999999998"/>
    <x v="6"/>
    <d v="2025-01-08T00:00:00"/>
    <x v="2"/>
    <x v="3"/>
    <x v="0"/>
    <x v="0"/>
    <x v="8"/>
    <x v="3"/>
    <x v="1"/>
    <x v="2"/>
  </r>
  <r>
    <s v="TX500162"/>
    <x v="2"/>
    <x v="12"/>
    <n v="122.5"/>
    <n v="490"/>
    <x v="6"/>
    <d v="2025-01-08T00:00:00"/>
    <x v="1"/>
    <x v="0"/>
    <x v="0"/>
    <x v="0"/>
    <x v="8"/>
    <x v="3"/>
    <x v="1"/>
    <x v="1"/>
  </r>
  <r>
    <s v="TX500163"/>
    <x v="0"/>
    <x v="11"/>
    <n v="12.5"/>
    <n v="112.5"/>
    <x v="6"/>
    <d v="2025-01-08T00:00:00"/>
    <x v="0"/>
    <x v="1"/>
    <x v="2"/>
    <x v="0"/>
    <x v="8"/>
    <x v="3"/>
    <x v="1"/>
    <x v="0"/>
  </r>
  <r>
    <s v="TX500164"/>
    <x v="15"/>
    <x v="8"/>
    <n v="37.5"/>
    <n v="300"/>
    <x v="6"/>
    <d v="2025-01-08T00:00:00"/>
    <x v="2"/>
    <x v="0"/>
    <x v="0"/>
    <x v="0"/>
    <x v="9"/>
    <x v="3"/>
    <x v="1"/>
    <x v="2"/>
  </r>
  <r>
    <s v="TX500165"/>
    <x v="6"/>
    <x v="2"/>
    <n v="40"/>
    <n v="120"/>
    <x v="6"/>
    <d v="2025-01-10T00:00:00"/>
    <x v="1"/>
    <x v="0"/>
    <x v="4"/>
    <x v="0"/>
    <x v="11"/>
    <x v="2"/>
    <x v="1"/>
    <x v="1"/>
  </r>
  <r>
    <s v="TX500166"/>
    <x v="17"/>
    <x v="8"/>
    <n v="38.5"/>
    <n v="308"/>
    <x v="6"/>
    <d v="2025-01-12T00:00:00"/>
    <x v="2"/>
    <x v="2"/>
    <x v="1"/>
    <x v="0"/>
    <x v="11"/>
    <x v="0"/>
    <x v="1"/>
    <x v="2"/>
  </r>
  <r>
    <s v="TX500167"/>
    <x v="2"/>
    <x v="1"/>
    <n v="86.4"/>
    <n v="172.8"/>
    <x v="6"/>
    <d v="2025-01-09T00:00:00"/>
    <x v="2"/>
    <x v="0"/>
    <x v="0"/>
    <x v="0"/>
    <x v="18"/>
    <x v="1"/>
    <x v="1"/>
    <x v="2"/>
  </r>
  <r>
    <s v="TX500168"/>
    <x v="10"/>
    <x v="0"/>
    <n v="50.7"/>
    <n v="50.7"/>
    <x v="6"/>
    <d v="2025-01-11T00:00:00"/>
    <x v="2"/>
    <x v="1"/>
    <x v="0"/>
    <x v="0"/>
    <x v="18"/>
    <x v="5"/>
    <x v="1"/>
    <x v="2"/>
  </r>
  <r>
    <s v="TX500169"/>
    <x v="10"/>
    <x v="1"/>
    <n v="61"/>
    <n v="122"/>
    <x v="6"/>
    <d v="2025-01-18T00:00:00"/>
    <x v="2"/>
    <x v="4"/>
    <x v="1"/>
    <x v="0"/>
    <x v="18"/>
    <x v="11"/>
    <x v="1"/>
    <x v="2"/>
  </r>
  <r>
    <s v="TX500170"/>
    <x v="4"/>
    <x v="1"/>
    <n v="19.899999999999999"/>
    <n v="39.799999999999997"/>
    <x v="6"/>
    <d v="2025-01-10T00:00:00"/>
    <x v="2"/>
    <x v="1"/>
    <x v="0"/>
    <x v="0"/>
    <x v="28"/>
    <x v="2"/>
    <x v="1"/>
    <x v="2"/>
  </r>
  <r>
    <s v="TX500171"/>
    <x v="5"/>
    <x v="0"/>
    <n v="78.3"/>
    <n v="78.3"/>
    <x v="6"/>
    <d v="2025-01-07T00:00:00"/>
    <x v="2"/>
    <x v="0"/>
    <x v="2"/>
    <x v="0"/>
    <x v="1"/>
    <x v="7"/>
    <x v="1"/>
    <x v="2"/>
  </r>
  <r>
    <s v="TX500172"/>
    <x v="0"/>
    <x v="10"/>
    <n v="10.4"/>
    <n v="197.6"/>
    <x v="6"/>
    <d v="2025-01-09T00:00:00"/>
    <x v="1"/>
    <x v="0"/>
    <x v="2"/>
    <x v="0"/>
    <x v="2"/>
    <x v="1"/>
    <x v="1"/>
    <x v="1"/>
  </r>
  <r>
    <s v="TX500173"/>
    <x v="10"/>
    <x v="0"/>
    <n v="36.1"/>
    <n v="36.1"/>
    <x v="6"/>
    <d v="2025-01-10T00:00:00"/>
    <x v="1"/>
    <x v="3"/>
    <x v="2"/>
    <x v="0"/>
    <x v="3"/>
    <x v="2"/>
    <x v="1"/>
    <x v="1"/>
  </r>
  <r>
    <s v="TX500174"/>
    <x v="14"/>
    <x v="1"/>
    <n v="17.3"/>
    <n v="34.6"/>
    <x v="6"/>
    <d v="2025-01-09T00:00:00"/>
    <x v="2"/>
    <x v="1"/>
    <x v="2"/>
    <x v="0"/>
    <x v="3"/>
    <x v="1"/>
    <x v="1"/>
    <x v="2"/>
  </r>
  <r>
    <s v="TX500175"/>
    <x v="10"/>
    <x v="1"/>
    <n v="30.5"/>
    <n v="61"/>
    <x v="6"/>
    <d v="2025-01-08T00:00:00"/>
    <x v="2"/>
    <x v="1"/>
    <x v="2"/>
    <x v="0"/>
    <x v="3"/>
    <x v="3"/>
    <x v="1"/>
    <x v="2"/>
  </r>
  <r>
    <s v="TX500176"/>
    <x v="18"/>
    <x v="22"/>
    <n v="70.099999999999994"/>
    <n v="4346.2"/>
    <x v="6"/>
    <d v="2025-01-07T00:00:00"/>
    <x v="2"/>
    <x v="2"/>
    <x v="0"/>
    <x v="0"/>
    <x v="3"/>
    <x v="7"/>
    <x v="1"/>
    <x v="2"/>
  </r>
  <r>
    <s v="TX500177"/>
    <x v="3"/>
    <x v="0"/>
    <n v="76.099999999999994"/>
    <n v="76.099999999999994"/>
    <x v="6"/>
    <d v="2025-01-07T00:00:00"/>
    <x v="2"/>
    <x v="2"/>
    <x v="1"/>
    <x v="0"/>
    <x v="3"/>
    <x v="7"/>
    <x v="1"/>
    <x v="2"/>
  </r>
  <r>
    <s v="TX500178"/>
    <x v="15"/>
    <x v="15"/>
    <n v="34.200000000000003"/>
    <n v="444.6"/>
    <x v="6"/>
    <d v="2025-01-08T00:00:00"/>
    <x v="1"/>
    <x v="0"/>
    <x v="0"/>
    <x v="0"/>
    <x v="3"/>
    <x v="3"/>
    <x v="1"/>
    <x v="1"/>
  </r>
  <r>
    <s v="TX500179"/>
    <x v="8"/>
    <x v="9"/>
    <n v="30.3"/>
    <n v="151.5"/>
    <x v="6"/>
    <d v="2025-01-12T00:00:00"/>
    <x v="2"/>
    <x v="4"/>
    <x v="0"/>
    <x v="0"/>
    <x v="3"/>
    <x v="0"/>
    <x v="1"/>
    <x v="2"/>
  </r>
  <r>
    <s v="TX500180"/>
    <x v="6"/>
    <x v="9"/>
    <n v="52.5"/>
    <n v="262.5"/>
    <x v="6"/>
    <d v="2025-01-11T00:00:00"/>
    <x v="0"/>
    <x v="3"/>
    <x v="0"/>
    <x v="0"/>
    <x v="3"/>
    <x v="5"/>
    <x v="1"/>
    <x v="0"/>
  </r>
  <r>
    <s v="TX500181"/>
    <x v="9"/>
    <x v="5"/>
    <n v="28.7"/>
    <n v="315.7"/>
    <x v="6"/>
    <d v="2025-01-08T00:00:00"/>
    <x v="2"/>
    <x v="2"/>
    <x v="0"/>
    <x v="0"/>
    <x v="3"/>
    <x v="3"/>
    <x v="1"/>
    <x v="2"/>
  </r>
  <r>
    <s v="TX500182"/>
    <x v="7"/>
    <x v="3"/>
    <n v="52"/>
    <n v="364"/>
    <x v="6"/>
    <d v="2025-01-08T00:00:00"/>
    <x v="1"/>
    <x v="1"/>
    <x v="4"/>
    <x v="0"/>
    <x v="3"/>
    <x v="3"/>
    <x v="1"/>
    <x v="1"/>
  </r>
  <r>
    <s v="TX500183"/>
    <x v="0"/>
    <x v="0"/>
    <n v="13.3"/>
    <n v="13.3"/>
    <x v="7"/>
    <d v="2025-01-12T00:00:00"/>
    <x v="2"/>
    <x v="2"/>
    <x v="1"/>
    <x v="0"/>
    <x v="3"/>
    <x v="5"/>
    <x v="1"/>
    <x v="2"/>
  </r>
  <r>
    <s v="TX500184"/>
    <x v="0"/>
    <x v="2"/>
    <n v="15.7"/>
    <n v="47.099999999999994"/>
    <x v="7"/>
    <d v="2025-01-09T00:00:00"/>
    <x v="2"/>
    <x v="1"/>
    <x v="0"/>
    <x v="0"/>
    <x v="29"/>
    <x v="3"/>
    <x v="1"/>
    <x v="2"/>
  </r>
  <r>
    <s v="TX500185"/>
    <x v="8"/>
    <x v="1"/>
    <n v="25.6"/>
    <n v="51.2"/>
    <x v="7"/>
    <d v="2025-01-09T00:00:00"/>
    <x v="1"/>
    <x v="0"/>
    <x v="2"/>
    <x v="0"/>
    <x v="23"/>
    <x v="3"/>
    <x v="1"/>
    <x v="1"/>
  </r>
  <r>
    <s v="TX500186"/>
    <x v="8"/>
    <x v="0"/>
    <n v="43.4"/>
    <n v="43.4"/>
    <x v="7"/>
    <d v="2025-01-13T00:00:00"/>
    <x v="1"/>
    <x v="0"/>
    <x v="0"/>
    <x v="0"/>
    <x v="6"/>
    <x v="0"/>
    <x v="1"/>
    <x v="1"/>
  </r>
  <r>
    <s v="TX500187"/>
    <x v="11"/>
    <x v="11"/>
    <n v="33.4"/>
    <n v="300.59999999999997"/>
    <x v="7"/>
    <d v="2025-01-08T00:00:00"/>
    <x v="2"/>
    <x v="0"/>
    <x v="0"/>
    <x v="0"/>
    <x v="8"/>
    <x v="7"/>
    <x v="1"/>
    <x v="2"/>
  </r>
  <r>
    <s v="TX500188"/>
    <x v="8"/>
    <x v="10"/>
    <n v="55"/>
    <n v="1045"/>
    <x v="7"/>
    <d v="2025-01-09T00:00:00"/>
    <x v="2"/>
    <x v="1"/>
    <x v="2"/>
    <x v="0"/>
    <x v="8"/>
    <x v="3"/>
    <x v="1"/>
    <x v="2"/>
  </r>
  <r>
    <s v="TX500189"/>
    <x v="8"/>
    <x v="2"/>
    <n v="23.6"/>
    <n v="70.800000000000011"/>
    <x v="7"/>
    <d v="2025-01-09T00:00:00"/>
    <x v="1"/>
    <x v="0"/>
    <x v="2"/>
    <x v="0"/>
    <x v="8"/>
    <x v="3"/>
    <x v="1"/>
    <x v="1"/>
  </r>
  <r>
    <s v="TX500190"/>
    <x v="12"/>
    <x v="11"/>
    <n v="104"/>
    <n v="936"/>
    <x v="7"/>
    <d v="2025-01-10T00:00:00"/>
    <x v="2"/>
    <x v="2"/>
    <x v="2"/>
    <x v="0"/>
    <x v="17"/>
    <x v="1"/>
    <x v="1"/>
    <x v="2"/>
  </r>
  <r>
    <s v="TX500191"/>
    <x v="6"/>
    <x v="1"/>
    <n v="51.8"/>
    <n v="103.6"/>
    <x v="7"/>
    <d v="2025-01-12T00:00:00"/>
    <x v="0"/>
    <x v="0"/>
    <x v="2"/>
    <x v="0"/>
    <x v="10"/>
    <x v="5"/>
    <x v="1"/>
    <x v="0"/>
  </r>
  <r>
    <s v="TX500192"/>
    <x v="10"/>
    <x v="9"/>
    <n v="34.5"/>
    <n v="172.5"/>
    <x v="7"/>
    <d v="2025-01-10T00:00:00"/>
    <x v="0"/>
    <x v="2"/>
    <x v="2"/>
    <x v="0"/>
    <x v="11"/>
    <x v="1"/>
    <x v="1"/>
    <x v="0"/>
  </r>
  <r>
    <s v="TX500193"/>
    <x v="6"/>
    <x v="1"/>
    <n v="51.8"/>
    <n v="103.6"/>
    <x v="7"/>
    <d v="2025-01-10T00:00:00"/>
    <x v="1"/>
    <x v="1"/>
    <x v="2"/>
    <x v="0"/>
    <x v="30"/>
    <x v="1"/>
    <x v="1"/>
    <x v="1"/>
  </r>
  <r>
    <s v="TX500194"/>
    <x v="18"/>
    <x v="23"/>
    <n v="131.5"/>
    <n v="5654.5"/>
    <x v="7"/>
    <d v="2025-01-09T00:00:00"/>
    <x v="2"/>
    <x v="0"/>
    <x v="2"/>
    <x v="0"/>
    <x v="18"/>
    <x v="3"/>
    <x v="1"/>
    <x v="2"/>
  </r>
  <r>
    <s v="TX500195"/>
    <x v="8"/>
    <x v="3"/>
    <n v="47.8"/>
    <n v="334.59999999999997"/>
    <x v="7"/>
    <d v="2025-01-08T00:00:00"/>
    <x v="2"/>
    <x v="0"/>
    <x v="0"/>
    <x v="0"/>
    <x v="19"/>
    <x v="7"/>
    <x v="1"/>
    <x v="2"/>
  </r>
  <r>
    <s v="TX500196"/>
    <x v="0"/>
    <x v="1"/>
    <n v="10.199999999999999"/>
    <n v="20.399999999999999"/>
    <x v="7"/>
    <d v="2025-01-10T00:00:00"/>
    <x v="2"/>
    <x v="0"/>
    <x v="0"/>
    <x v="0"/>
    <x v="19"/>
    <x v="1"/>
    <x v="1"/>
    <x v="2"/>
  </r>
  <r>
    <s v="TX500197"/>
    <x v="8"/>
    <x v="8"/>
    <n v="41"/>
    <n v="328"/>
    <x v="7"/>
    <d v="2025-01-08T00:00:00"/>
    <x v="2"/>
    <x v="1"/>
    <x v="2"/>
    <x v="0"/>
    <x v="19"/>
    <x v="7"/>
    <x v="1"/>
    <x v="2"/>
  </r>
  <r>
    <s v="TX500198"/>
    <x v="10"/>
    <x v="3"/>
    <n v="50.8"/>
    <n v="355.59999999999997"/>
    <x v="7"/>
    <d v="2025-01-11T00:00:00"/>
    <x v="2"/>
    <x v="1"/>
    <x v="0"/>
    <x v="0"/>
    <x v="21"/>
    <x v="2"/>
    <x v="1"/>
    <x v="2"/>
  </r>
  <r>
    <s v="TX500199"/>
    <x v="18"/>
    <x v="2"/>
    <n v="39.6"/>
    <n v="118.80000000000001"/>
    <x v="7"/>
    <d v="2025-01-09T00:00:00"/>
    <x v="1"/>
    <x v="2"/>
    <x v="2"/>
    <x v="0"/>
    <x v="1"/>
    <x v="3"/>
    <x v="1"/>
    <x v="1"/>
  </r>
  <r>
    <s v="TX500200"/>
    <x v="5"/>
    <x v="1"/>
    <n v="69.5"/>
    <n v="139"/>
    <x v="7"/>
    <d v="2025-01-10T00:00:00"/>
    <x v="1"/>
    <x v="0"/>
    <x v="2"/>
    <x v="0"/>
    <x v="2"/>
    <x v="1"/>
    <x v="1"/>
    <x v="1"/>
  </r>
  <r>
    <s v="TX500201"/>
    <x v="8"/>
    <x v="8"/>
    <n v="32.6"/>
    <n v="260.8"/>
    <x v="7"/>
    <d v="2025-01-11T00:00:00"/>
    <x v="1"/>
    <x v="1"/>
    <x v="0"/>
    <x v="0"/>
    <x v="3"/>
    <x v="2"/>
    <x v="1"/>
    <x v="1"/>
  </r>
  <r>
    <s v="TX500202"/>
    <x v="7"/>
    <x v="1"/>
    <n v="49.1"/>
    <n v="98.2"/>
    <x v="7"/>
    <d v="2025-01-16T00:00:00"/>
    <x v="1"/>
    <x v="3"/>
    <x v="2"/>
    <x v="0"/>
    <x v="3"/>
    <x v="9"/>
    <x v="1"/>
    <x v="1"/>
  </r>
  <r>
    <s v="TX500203"/>
    <x v="6"/>
    <x v="1"/>
    <n v="49.4"/>
    <n v="98.8"/>
    <x v="8"/>
    <d v="2025-01-10T00:00:00"/>
    <x v="2"/>
    <x v="2"/>
    <x v="0"/>
    <x v="0"/>
    <x v="3"/>
    <x v="3"/>
    <x v="1"/>
    <x v="2"/>
  </r>
  <r>
    <s v="TX500204"/>
    <x v="7"/>
    <x v="3"/>
    <n v="65.099999999999994"/>
    <n v="455.69999999999993"/>
    <x v="8"/>
    <d v="2025-01-12T00:00:00"/>
    <x v="2"/>
    <x v="2"/>
    <x v="2"/>
    <x v="0"/>
    <x v="3"/>
    <x v="2"/>
    <x v="1"/>
    <x v="2"/>
  </r>
  <r>
    <s v="TX500205"/>
    <x v="3"/>
    <x v="1"/>
    <n v="52.1"/>
    <n v="104.2"/>
    <x v="8"/>
    <d v="2025-01-13T00:00:00"/>
    <x v="2"/>
    <x v="2"/>
    <x v="0"/>
    <x v="0"/>
    <x v="3"/>
    <x v="5"/>
    <x v="1"/>
    <x v="2"/>
  </r>
  <r>
    <s v="TX500206"/>
    <x v="2"/>
    <x v="12"/>
    <n v="129.19999999999999"/>
    <n v="516.79999999999995"/>
    <x v="8"/>
    <d v="2025-01-10T00:00:00"/>
    <x v="2"/>
    <x v="1"/>
    <x v="0"/>
    <x v="0"/>
    <x v="3"/>
    <x v="3"/>
    <x v="1"/>
    <x v="2"/>
  </r>
  <r>
    <s v="TX500207"/>
    <x v="1"/>
    <x v="10"/>
    <n v="81.8"/>
    <n v="1554.2"/>
    <x v="8"/>
    <d v="2025-01-09T00:00:00"/>
    <x v="2"/>
    <x v="1"/>
    <x v="1"/>
    <x v="0"/>
    <x v="3"/>
    <x v="7"/>
    <x v="1"/>
    <x v="2"/>
  </r>
  <r>
    <s v="TX500208"/>
    <x v="17"/>
    <x v="0"/>
    <n v="24.9"/>
    <n v="24.9"/>
    <x v="8"/>
    <d v="2025-01-13T00:00:00"/>
    <x v="2"/>
    <x v="1"/>
    <x v="0"/>
    <x v="0"/>
    <x v="3"/>
    <x v="5"/>
    <x v="1"/>
    <x v="2"/>
  </r>
  <r>
    <s v="TX500209"/>
    <x v="0"/>
    <x v="2"/>
    <n v="49.4"/>
    <n v="148.19999999999999"/>
    <x v="8"/>
    <d v="2025-01-12T00:00:00"/>
    <x v="2"/>
    <x v="4"/>
    <x v="4"/>
    <x v="0"/>
    <x v="3"/>
    <x v="2"/>
    <x v="1"/>
    <x v="2"/>
  </r>
  <r>
    <s v="TX500210"/>
    <x v="8"/>
    <x v="1"/>
    <n v="22.7"/>
    <n v="45.4"/>
    <x v="8"/>
    <d v="2025-01-10T00:00:00"/>
    <x v="1"/>
    <x v="3"/>
    <x v="2"/>
    <x v="0"/>
    <x v="3"/>
    <x v="3"/>
    <x v="1"/>
    <x v="1"/>
  </r>
  <r>
    <s v="TX500211"/>
    <x v="1"/>
    <x v="0"/>
    <n v="77.3"/>
    <n v="77.3"/>
    <x v="8"/>
    <d v="2025-01-09T00:00:00"/>
    <x v="2"/>
    <x v="0"/>
    <x v="2"/>
    <x v="0"/>
    <x v="6"/>
    <x v="7"/>
    <x v="1"/>
    <x v="2"/>
  </r>
  <r>
    <s v="TX500212"/>
    <x v="1"/>
    <x v="9"/>
    <n v="109.1"/>
    <n v="545.5"/>
    <x v="8"/>
    <d v="2025-01-12T00:00:00"/>
    <x v="2"/>
    <x v="0"/>
    <x v="0"/>
    <x v="0"/>
    <x v="6"/>
    <x v="2"/>
    <x v="1"/>
    <x v="2"/>
  </r>
  <r>
    <s v="TX500213"/>
    <x v="2"/>
    <x v="12"/>
    <n v="53.9"/>
    <n v="215.6"/>
    <x v="8"/>
    <d v="2025-01-10T00:00:00"/>
    <x v="1"/>
    <x v="0"/>
    <x v="1"/>
    <x v="0"/>
    <x v="8"/>
    <x v="3"/>
    <x v="1"/>
    <x v="1"/>
  </r>
  <r>
    <s v="TX500214"/>
    <x v="9"/>
    <x v="18"/>
    <n v="21.2"/>
    <n v="551.19999999999993"/>
    <x v="8"/>
    <d v="2025-01-09T00:00:00"/>
    <x v="2"/>
    <x v="0"/>
    <x v="0"/>
    <x v="0"/>
    <x v="9"/>
    <x v="7"/>
    <x v="1"/>
    <x v="2"/>
  </r>
  <r>
    <s v="TX500215"/>
    <x v="16"/>
    <x v="12"/>
    <n v="69"/>
    <n v="276"/>
    <x v="8"/>
    <d v="2025-01-11T00:00:00"/>
    <x v="2"/>
    <x v="1"/>
    <x v="1"/>
    <x v="0"/>
    <x v="18"/>
    <x v="1"/>
    <x v="1"/>
    <x v="2"/>
  </r>
  <r>
    <s v="TX500216"/>
    <x v="6"/>
    <x v="2"/>
    <n v="46.2"/>
    <n v="138.60000000000002"/>
    <x v="8"/>
    <d v="2025-01-11T00:00:00"/>
    <x v="2"/>
    <x v="0"/>
    <x v="2"/>
    <x v="0"/>
    <x v="31"/>
    <x v="1"/>
    <x v="1"/>
    <x v="2"/>
  </r>
  <r>
    <s v="TX500217"/>
    <x v="1"/>
    <x v="9"/>
    <n v="97.4"/>
    <n v="487"/>
    <x v="8"/>
    <d v="2025-01-13T00:00:00"/>
    <x v="2"/>
    <x v="4"/>
    <x v="2"/>
    <x v="0"/>
    <x v="21"/>
    <x v="5"/>
    <x v="1"/>
    <x v="2"/>
  </r>
  <r>
    <s v="TX500218"/>
    <x v="8"/>
    <x v="9"/>
    <n v="21"/>
    <n v="105"/>
    <x v="8"/>
    <d v="2025-01-10T00:00:00"/>
    <x v="1"/>
    <x v="0"/>
    <x v="1"/>
    <x v="0"/>
    <x v="21"/>
    <x v="3"/>
    <x v="1"/>
    <x v="1"/>
  </r>
  <r>
    <s v="TX500219"/>
    <x v="5"/>
    <x v="1"/>
    <n v="32.700000000000003"/>
    <n v="65.400000000000006"/>
    <x v="9"/>
    <d v="2025-01-13T00:00:00"/>
    <x v="2"/>
    <x v="1"/>
    <x v="0"/>
    <x v="0"/>
    <x v="2"/>
    <x v="2"/>
    <x v="1"/>
    <x v="2"/>
  </r>
  <r>
    <s v="TX500220"/>
    <x v="6"/>
    <x v="12"/>
    <n v="48"/>
    <n v="192"/>
    <x v="9"/>
    <d v="2025-01-11T00:00:00"/>
    <x v="1"/>
    <x v="3"/>
    <x v="0"/>
    <x v="0"/>
    <x v="3"/>
    <x v="3"/>
    <x v="1"/>
    <x v="1"/>
  </r>
  <r>
    <s v="TX500221"/>
    <x v="6"/>
    <x v="2"/>
    <n v="68.2"/>
    <n v="204.60000000000002"/>
    <x v="9"/>
    <d v="2025-01-14T00:00:00"/>
    <x v="0"/>
    <x v="0"/>
    <x v="2"/>
    <x v="0"/>
    <x v="3"/>
    <x v="5"/>
    <x v="1"/>
    <x v="0"/>
  </r>
  <r>
    <s v="TX500222"/>
    <x v="5"/>
    <x v="0"/>
    <n v="45.4"/>
    <n v="45.4"/>
    <x v="9"/>
    <d v="2025-01-12T00:00:00"/>
    <x v="1"/>
    <x v="1"/>
    <x v="0"/>
    <x v="0"/>
    <x v="3"/>
    <x v="1"/>
    <x v="1"/>
    <x v="1"/>
  </r>
  <r>
    <s v="TX500223"/>
    <x v="12"/>
    <x v="1"/>
    <n v="53.9"/>
    <n v="107.8"/>
    <x v="9"/>
    <d v="2025-01-11T00:00:00"/>
    <x v="2"/>
    <x v="2"/>
    <x v="0"/>
    <x v="0"/>
    <x v="3"/>
    <x v="3"/>
    <x v="1"/>
    <x v="2"/>
  </r>
  <r>
    <s v="TX500224"/>
    <x v="2"/>
    <x v="12"/>
    <n v="62.1"/>
    <n v="248.4"/>
    <x v="9"/>
    <d v="2025-01-14T00:00:00"/>
    <x v="2"/>
    <x v="0"/>
    <x v="0"/>
    <x v="0"/>
    <x v="4"/>
    <x v="5"/>
    <x v="1"/>
    <x v="2"/>
  </r>
  <r>
    <s v="TX500225"/>
    <x v="13"/>
    <x v="3"/>
    <n v="33.1"/>
    <n v="231.70000000000002"/>
    <x v="9"/>
    <d v="2025-01-15T00:00:00"/>
    <x v="1"/>
    <x v="1"/>
    <x v="0"/>
    <x v="0"/>
    <x v="6"/>
    <x v="0"/>
    <x v="1"/>
    <x v="1"/>
  </r>
  <r>
    <s v="TX500226"/>
    <x v="18"/>
    <x v="9"/>
    <n v="35.200000000000003"/>
    <n v="176"/>
    <x v="9"/>
    <d v="2025-01-10T00:00:00"/>
    <x v="2"/>
    <x v="1"/>
    <x v="0"/>
    <x v="0"/>
    <x v="6"/>
    <x v="7"/>
    <x v="1"/>
    <x v="2"/>
  </r>
  <r>
    <s v="TX500227"/>
    <x v="9"/>
    <x v="2"/>
    <n v="32.1"/>
    <n v="96.300000000000011"/>
    <x v="9"/>
    <d v="2025-01-15T00:00:00"/>
    <x v="1"/>
    <x v="3"/>
    <x v="0"/>
    <x v="0"/>
    <x v="8"/>
    <x v="0"/>
    <x v="1"/>
    <x v="1"/>
  </r>
  <r>
    <s v="TX500228"/>
    <x v="11"/>
    <x v="0"/>
    <n v="38.1"/>
    <n v="38.1"/>
    <x v="9"/>
    <d v="2025-01-15T00:00:00"/>
    <x v="2"/>
    <x v="0"/>
    <x v="2"/>
    <x v="0"/>
    <x v="8"/>
    <x v="0"/>
    <x v="1"/>
    <x v="2"/>
  </r>
  <r>
    <s v="TX500229"/>
    <x v="8"/>
    <x v="0"/>
    <n v="65.2"/>
    <n v="65.2"/>
    <x v="9"/>
    <d v="2025-01-15T00:00:00"/>
    <x v="2"/>
    <x v="3"/>
    <x v="1"/>
    <x v="0"/>
    <x v="8"/>
    <x v="0"/>
    <x v="1"/>
    <x v="2"/>
  </r>
  <r>
    <s v="TX500230"/>
    <x v="10"/>
    <x v="3"/>
    <n v="55.2"/>
    <n v="386.40000000000003"/>
    <x v="9"/>
    <d v="2025-01-11T00:00:00"/>
    <x v="1"/>
    <x v="2"/>
    <x v="0"/>
    <x v="0"/>
    <x v="11"/>
    <x v="3"/>
    <x v="1"/>
    <x v="1"/>
  </r>
  <r>
    <s v="TX500231"/>
    <x v="6"/>
    <x v="0"/>
    <n v="62"/>
    <n v="62"/>
    <x v="9"/>
    <d v="2025-01-14T00:00:00"/>
    <x v="2"/>
    <x v="0"/>
    <x v="0"/>
    <x v="0"/>
    <x v="11"/>
    <x v="5"/>
    <x v="1"/>
    <x v="2"/>
  </r>
  <r>
    <s v="TX500232"/>
    <x v="7"/>
    <x v="2"/>
    <n v="45.9"/>
    <n v="137.69999999999999"/>
    <x v="9"/>
    <d v="2025-01-11T00:00:00"/>
    <x v="2"/>
    <x v="2"/>
    <x v="0"/>
    <x v="0"/>
    <x v="32"/>
    <x v="3"/>
    <x v="1"/>
    <x v="2"/>
  </r>
  <r>
    <s v="TX500233"/>
    <x v="18"/>
    <x v="2"/>
    <n v="58.3"/>
    <n v="174.89999999999998"/>
    <x v="9"/>
    <d v="2025-01-10T00:00:00"/>
    <x v="1"/>
    <x v="1"/>
    <x v="1"/>
    <x v="0"/>
    <x v="18"/>
    <x v="7"/>
    <x v="1"/>
    <x v="1"/>
  </r>
  <r>
    <s v="TX500234"/>
    <x v="8"/>
    <x v="1"/>
    <n v="22.3"/>
    <n v="44.6"/>
    <x v="9"/>
    <d v="2025-01-13T00:00:00"/>
    <x v="2"/>
    <x v="0"/>
    <x v="2"/>
    <x v="0"/>
    <x v="20"/>
    <x v="2"/>
    <x v="1"/>
    <x v="2"/>
  </r>
  <r>
    <s v="TX500235"/>
    <x v="19"/>
    <x v="9"/>
    <n v="24"/>
    <n v="120"/>
    <x v="9"/>
    <d v="2025-01-11T00:00:00"/>
    <x v="1"/>
    <x v="4"/>
    <x v="0"/>
    <x v="0"/>
    <x v="1"/>
    <x v="3"/>
    <x v="1"/>
    <x v="1"/>
  </r>
  <r>
    <s v="TX500236"/>
    <x v="0"/>
    <x v="7"/>
    <n v="21.3"/>
    <n v="213"/>
    <x v="9"/>
    <d v="2025-01-10T00:00:00"/>
    <x v="2"/>
    <x v="1"/>
    <x v="2"/>
    <x v="0"/>
    <x v="22"/>
    <x v="7"/>
    <x v="1"/>
    <x v="2"/>
  </r>
  <r>
    <s v="TX500237"/>
    <x v="6"/>
    <x v="24"/>
    <n v="57.8"/>
    <n v="2369.7999999999997"/>
    <x v="9"/>
    <d v="2025-01-12T00:00:00"/>
    <x v="2"/>
    <x v="0"/>
    <x v="2"/>
    <x v="0"/>
    <x v="3"/>
    <x v="1"/>
    <x v="1"/>
    <x v="2"/>
  </r>
  <r>
    <s v="TX500238"/>
    <x v="10"/>
    <x v="2"/>
    <n v="67.599999999999994"/>
    <n v="202.79999999999998"/>
    <x v="9"/>
    <d v="2025-01-11T00:00:00"/>
    <x v="2"/>
    <x v="0"/>
    <x v="0"/>
    <x v="0"/>
    <x v="3"/>
    <x v="3"/>
    <x v="1"/>
    <x v="2"/>
  </r>
  <r>
    <s v="TX500239"/>
    <x v="6"/>
    <x v="13"/>
    <n v="66.7"/>
    <n v="400.20000000000005"/>
    <x v="9"/>
    <d v="2025-01-14T00:00:00"/>
    <x v="1"/>
    <x v="4"/>
    <x v="1"/>
    <x v="0"/>
    <x v="3"/>
    <x v="5"/>
    <x v="1"/>
    <x v="1"/>
  </r>
  <r>
    <s v="TX500240"/>
    <x v="1"/>
    <x v="12"/>
    <n v="53.1"/>
    <n v="212.4"/>
    <x v="9"/>
    <d v="2025-01-12T00:00:00"/>
    <x v="2"/>
    <x v="1"/>
    <x v="0"/>
    <x v="0"/>
    <x v="3"/>
    <x v="1"/>
    <x v="1"/>
    <x v="2"/>
  </r>
  <r>
    <s v="TX500241"/>
    <x v="12"/>
    <x v="2"/>
    <n v="57.4"/>
    <n v="172.2"/>
    <x v="9"/>
    <d v="2025-01-13T00:00:00"/>
    <x v="2"/>
    <x v="0"/>
    <x v="2"/>
    <x v="0"/>
    <x v="29"/>
    <x v="2"/>
    <x v="1"/>
    <x v="2"/>
  </r>
  <r>
    <s v="TX500242"/>
    <x v="2"/>
    <x v="9"/>
    <n v="58.1"/>
    <n v="290.5"/>
    <x v="9"/>
    <d v="2025-01-10T00:00:00"/>
    <x v="1"/>
    <x v="2"/>
    <x v="2"/>
    <x v="0"/>
    <x v="6"/>
    <x v="7"/>
    <x v="1"/>
    <x v="1"/>
  </r>
  <r>
    <s v="TX500243"/>
    <x v="5"/>
    <x v="2"/>
    <n v="31.8"/>
    <n v="95.4"/>
    <x v="10"/>
    <d v="2025-01-13T00:00:00"/>
    <x v="1"/>
    <x v="3"/>
    <x v="0"/>
    <x v="0"/>
    <x v="6"/>
    <x v="1"/>
    <x v="1"/>
    <x v="1"/>
  </r>
  <r>
    <s v="TX500244"/>
    <x v="4"/>
    <x v="2"/>
    <n v="31.5"/>
    <n v="94.5"/>
    <x v="10"/>
    <d v="2025-01-14T00:00:00"/>
    <x v="1"/>
    <x v="0"/>
    <x v="1"/>
    <x v="0"/>
    <x v="8"/>
    <x v="2"/>
    <x v="1"/>
    <x v="1"/>
  </r>
  <r>
    <s v="TX500245"/>
    <x v="6"/>
    <x v="3"/>
    <n v="55.9"/>
    <n v="391.3"/>
    <x v="10"/>
    <d v="2025-01-15T00:00:00"/>
    <x v="2"/>
    <x v="1"/>
    <x v="2"/>
    <x v="0"/>
    <x v="8"/>
    <x v="5"/>
    <x v="1"/>
    <x v="2"/>
  </r>
  <r>
    <s v="TX500246"/>
    <x v="8"/>
    <x v="1"/>
    <n v="36.4"/>
    <n v="72.8"/>
    <x v="10"/>
    <d v="2025-01-12T00:00:00"/>
    <x v="1"/>
    <x v="1"/>
    <x v="1"/>
    <x v="0"/>
    <x v="9"/>
    <x v="3"/>
    <x v="1"/>
    <x v="1"/>
  </r>
  <r>
    <s v="TX500247"/>
    <x v="1"/>
    <x v="9"/>
    <n v="47.3"/>
    <n v="236.5"/>
    <x v="10"/>
    <d v="2025-01-14T00:00:00"/>
    <x v="1"/>
    <x v="2"/>
    <x v="0"/>
    <x v="0"/>
    <x v="10"/>
    <x v="2"/>
    <x v="1"/>
    <x v="1"/>
  </r>
  <r>
    <s v="TX500248"/>
    <x v="6"/>
    <x v="2"/>
    <n v="82.5"/>
    <n v="247.5"/>
    <x v="10"/>
    <d v="2025-01-12T00:00:00"/>
    <x v="1"/>
    <x v="0"/>
    <x v="0"/>
    <x v="0"/>
    <x v="11"/>
    <x v="3"/>
    <x v="1"/>
    <x v="1"/>
  </r>
  <r>
    <s v="TX500249"/>
    <x v="0"/>
    <x v="0"/>
    <n v="14.3"/>
    <n v="14.3"/>
    <x v="10"/>
    <d v="2025-01-12T00:00:00"/>
    <x v="2"/>
    <x v="0"/>
    <x v="0"/>
    <x v="0"/>
    <x v="21"/>
    <x v="3"/>
    <x v="1"/>
    <x v="2"/>
  </r>
  <r>
    <s v="TX500250"/>
    <x v="2"/>
    <x v="13"/>
    <n v="57.6"/>
    <n v="345.6"/>
    <x v="10"/>
    <d v="2025-01-25T00:00:00"/>
    <x v="2"/>
    <x v="0"/>
    <x v="0"/>
    <x v="0"/>
    <x v="21"/>
    <x v="12"/>
    <x v="1"/>
    <x v="2"/>
  </r>
  <r>
    <s v="TX500251"/>
    <x v="2"/>
    <x v="2"/>
    <n v="142.4"/>
    <n v="427.20000000000005"/>
    <x v="10"/>
    <d v="2025-01-13T00:00:00"/>
    <x v="1"/>
    <x v="4"/>
    <x v="1"/>
    <x v="0"/>
    <x v="21"/>
    <x v="1"/>
    <x v="1"/>
    <x v="1"/>
  </r>
  <r>
    <s v="TX500252"/>
    <x v="12"/>
    <x v="0"/>
    <n v="30.2"/>
    <n v="30.2"/>
    <x v="10"/>
    <d v="2025-01-15T00:00:00"/>
    <x v="1"/>
    <x v="1"/>
    <x v="2"/>
    <x v="0"/>
    <x v="2"/>
    <x v="5"/>
    <x v="1"/>
    <x v="1"/>
  </r>
  <r>
    <s v="TX500253"/>
    <x v="18"/>
    <x v="2"/>
    <n v="65.3"/>
    <n v="195.89999999999998"/>
    <x v="10"/>
    <d v="2025-01-12T00:00:00"/>
    <x v="3"/>
    <x v="1"/>
    <x v="0"/>
    <x v="0"/>
    <x v="33"/>
    <x v="3"/>
    <x v="1"/>
    <x v="3"/>
  </r>
  <r>
    <s v="TX500254"/>
    <x v="0"/>
    <x v="1"/>
    <n v="33.4"/>
    <n v="66.8"/>
    <x v="10"/>
    <d v="2025-01-12T00:00:00"/>
    <x v="1"/>
    <x v="1"/>
    <x v="1"/>
    <x v="0"/>
    <x v="22"/>
    <x v="3"/>
    <x v="1"/>
    <x v="1"/>
  </r>
  <r>
    <s v="TX500255"/>
    <x v="7"/>
    <x v="1"/>
    <n v="45.1"/>
    <n v="90.2"/>
    <x v="10"/>
    <d v="2025-01-19T00:00:00"/>
    <x v="1"/>
    <x v="0"/>
    <x v="0"/>
    <x v="0"/>
    <x v="34"/>
    <x v="9"/>
    <x v="1"/>
    <x v="1"/>
  </r>
  <r>
    <s v="TX500256"/>
    <x v="2"/>
    <x v="3"/>
    <n v="61.7"/>
    <n v="431.90000000000003"/>
    <x v="10"/>
    <d v="2025-01-13T00:00:00"/>
    <x v="2"/>
    <x v="4"/>
    <x v="0"/>
    <x v="0"/>
    <x v="3"/>
    <x v="1"/>
    <x v="1"/>
    <x v="2"/>
  </r>
  <r>
    <s v="TX500257"/>
    <x v="9"/>
    <x v="2"/>
    <n v="45.1"/>
    <n v="135.30000000000001"/>
    <x v="11"/>
    <d v="2025-01-13T00:00:00"/>
    <x v="1"/>
    <x v="4"/>
    <x v="1"/>
    <x v="0"/>
    <x v="3"/>
    <x v="3"/>
    <x v="2"/>
    <x v="1"/>
  </r>
  <r>
    <s v="TX500258"/>
    <x v="15"/>
    <x v="9"/>
    <n v="22.7"/>
    <n v="113.5"/>
    <x v="11"/>
    <d v="2025-01-17T00:00:00"/>
    <x v="1"/>
    <x v="0"/>
    <x v="2"/>
    <x v="0"/>
    <x v="35"/>
    <x v="0"/>
    <x v="2"/>
    <x v="1"/>
  </r>
  <r>
    <s v="TX500259"/>
    <x v="8"/>
    <x v="0"/>
    <n v="17.600000000000001"/>
    <n v="17.600000000000001"/>
    <x v="11"/>
    <d v="2025-01-13T00:00:00"/>
    <x v="2"/>
    <x v="0"/>
    <x v="2"/>
    <x v="0"/>
    <x v="23"/>
    <x v="3"/>
    <x v="2"/>
    <x v="2"/>
  </r>
  <r>
    <s v="TX500260"/>
    <x v="14"/>
    <x v="1"/>
    <n v="11.3"/>
    <n v="22.6"/>
    <x v="11"/>
    <d v="2025-01-15T00:00:00"/>
    <x v="2"/>
    <x v="3"/>
    <x v="2"/>
    <x v="0"/>
    <x v="23"/>
    <x v="2"/>
    <x v="2"/>
    <x v="2"/>
  </r>
  <r>
    <s v="TX500261"/>
    <x v="6"/>
    <x v="2"/>
    <n v="53.4"/>
    <n v="160.19999999999999"/>
    <x v="11"/>
    <d v="2025-01-15T00:00:00"/>
    <x v="1"/>
    <x v="3"/>
    <x v="2"/>
    <x v="0"/>
    <x v="36"/>
    <x v="2"/>
    <x v="2"/>
    <x v="1"/>
  </r>
  <r>
    <s v="TX500262"/>
    <x v="6"/>
    <x v="5"/>
    <n v="51.1"/>
    <n v="562.1"/>
    <x v="11"/>
    <d v="2025-01-14T00:00:00"/>
    <x v="2"/>
    <x v="2"/>
    <x v="2"/>
    <x v="0"/>
    <x v="8"/>
    <x v="1"/>
    <x v="2"/>
    <x v="2"/>
  </r>
  <r>
    <s v="TX500263"/>
    <x v="8"/>
    <x v="1"/>
    <n v="27.5"/>
    <n v="55"/>
    <x v="11"/>
    <d v="2025-01-13T00:00:00"/>
    <x v="1"/>
    <x v="4"/>
    <x v="1"/>
    <x v="0"/>
    <x v="8"/>
    <x v="3"/>
    <x v="2"/>
    <x v="1"/>
  </r>
  <r>
    <s v="TX500264"/>
    <x v="9"/>
    <x v="0"/>
    <n v="33.5"/>
    <n v="33.5"/>
    <x v="11"/>
    <d v="2025-01-14T00:00:00"/>
    <x v="2"/>
    <x v="0"/>
    <x v="4"/>
    <x v="0"/>
    <x v="8"/>
    <x v="1"/>
    <x v="2"/>
    <x v="2"/>
  </r>
  <r>
    <s v="TX500265"/>
    <x v="4"/>
    <x v="0"/>
    <n v="59.5"/>
    <n v="59.5"/>
    <x v="11"/>
    <d v="2025-01-12T00:00:00"/>
    <x v="1"/>
    <x v="0"/>
    <x v="2"/>
    <x v="0"/>
    <x v="18"/>
    <x v="7"/>
    <x v="2"/>
    <x v="1"/>
  </r>
  <r>
    <s v="TX500266"/>
    <x v="17"/>
    <x v="12"/>
    <n v="23.5"/>
    <n v="94"/>
    <x v="11"/>
    <d v="2025-01-13T00:00:00"/>
    <x v="2"/>
    <x v="3"/>
    <x v="3"/>
    <x v="0"/>
    <x v="19"/>
    <x v="3"/>
    <x v="2"/>
    <x v="2"/>
  </r>
  <r>
    <s v="TX500267"/>
    <x v="6"/>
    <x v="0"/>
    <n v="49.7"/>
    <n v="49.7"/>
    <x v="11"/>
    <d v="2025-01-13T00:00:00"/>
    <x v="0"/>
    <x v="1"/>
    <x v="2"/>
    <x v="0"/>
    <x v="20"/>
    <x v="3"/>
    <x v="2"/>
    <x v="0"/>
  </r>
  <r>
    <s v="TX500268"/>
    <x v="6"/>
    <x v="12"/>
    <n v="44.2"/>
    <n v="176.8"/>
    <x v="11"/>
    <d v="2025-01-15T00:00:00"/>
    <x v="2"/>
    <x v="0"/>
    <x v="2"/>
    <x v="0"/>
    <x v="21"/>
    <x v="2"/>
    <x v="2"/>
    <x v="2"/>
  </r>
  <r>
    <s v="TX500269"/>
    <x v="8"/>
    <x v="0"/>
    <n v="22.1"/>
    <n v="22.1"/>
    <x v="11"/>
    <d v="2025-01-16T00:00:00"/>
    <x v="2"/>
    <x v="1"/>
    <x v="1"/>
    <x v="0"/>
    <x v="33"/>
    <x v="5"/>
    <x v="2"/>
    <x v="2"/>
  </r>
  <r>
    <s v="TX500270"/>
    <x v="6"/>
    <x v="2"/>
    <n v="90.9"/>
    <n v="272.70000000000005"/>
    <x v="11"/>
    <d v="2025-01-13T00:00:00"/>
    <x v="2"/>
    <x v="2"/>
    <x v="4"/>
    <x v="0"/>
    <x v="3"/>
    <x v="3"/>
    <x v="2"/>
    <x v="2"/>
  </r>
  <r>
    <s v="TX500271"/>
    <x v="8"/>
    <x v="2"/>
    <n v="44.5"/>
    <n v="133.5"/>
    <x v="11"/>
    <d v="2025-01-13T00:00:00"/>
    <x v="2"/>
    <x v="1"/>
    <x v="0"/>
    <x v="0"/>
    <x v="3"/>
    <x v="3"/>
    <x v="2"/>
    <x v="2"/>
  </r>
  <r>
    <s v="TX500272"/>
    <x v="9"/>
    <x v="13"/>
    <n v="32.299999999999997"/>
    <n v="193.79999999999998"/>
    <x v="11"/>
    <d v="2025-01-16T00:00:00"/>
    <x v="2"/>
    <x v="0"/>
    <x v="0"/>
    <x v="0"/>
    <x v="3"/>
    <x v="5"/>
    <x v="2"/>
    <x v="2"/>
  </r>
  <r>
    <s v="TX500273"/>
    <x v="17"/>
    <x v="2"/>
    <n v="87.5"/>
    <n v="262.5"/>
    <x v="11"/>
    <d v="2025-01-13T00:00:00"/>
    <x v="2"/>
    <x v="1"/>
    <x v="1"/>
    <x v="0"/>
    <x v="3"/>
    <x v="3"/>
    <x v="2"/>
    <x v="2"/>
  </r>
  <r>
    <s v="TX500274"/>
    <x v="16"/>
    <x v="9"/>
    <n v="48.7"/>
    <n v="243.5"/>
    <x v="11"/>
    <d v="2025-01-13T00:00:00"/>
    <x v="1"/>
    <x v="2"/>
    <x v="0"/>
    <x v="0"/>
    <x v="3"/>
    <x v="3"/>
    <x v="2"/>
    <x v="1"/>
  </r>
  <r>
    <s v="TX500275"/>
    <x v="0"/>
    <x v="9"/>
    <n v="22.5"/>
    <n v="112.5"/>
    <x v="11"/>
    <d v="2025-01-13T00:00:00"/>
    <x v="1"/>
    <x v="0"/>
    <x v="0"/>
    <x v="0"/>
    <x v="3"/>
    <x v="3"/>
    <x v="2"/>
    <x v="1"/>
  </r>
  <r>
    <s v="TX500276"/>
    <x v="1"/>
    <x v="8"/>
    <n v="65.900000000000006"/>
    <n v="527.20000000000005"/>
    <x v="11"/>
    <d v="2025-01-15T00:00:00"/>
    <x v="2"/>
    <x v="1"/>
    <x v="2"/>
    <x v="0"/>
    <x v="3"/>
    <x v="2"/>
    <x v="2"/>
    <x v="2"/>
  </r>
  <r>
    <s v="TX500277"/>
    <x v="6"/>
    <x v="9"/>
    <n v="41.9"/>
    <n v="209.5"/>
    <x v="11"/>
    <d v="2025-01-19T00:00:00"/>
    <x v="0"/>
    <x v="0"/>
    <x v="0"/>
    <x v="0"/>
    <x v="3"/>
    <x v="6"/>
    <x v="2"/>
    <x v="0"/>
  </r>
  <r>
    <s v="TX500278"/>
    <x v="1"/>
    <x v="9"/>
    <n v="67.5"/>
    <n v="337.5"/>
    <x v="11"/>
    <d v="2025-01-13T00:00:00"/>
    <x v="2"/>
    <x v="0"/>
    <x v="2"/>
    <x v="0"/>
    <x v="3"/>
    <x v="3"/>
    <x v="2"/>
    <x v="2"/>
  </r>
  <r>
    <s v="TX500279"/>
    <x v="9"/>
    <x v="0"/>
    <n v="60.4"/>
    <n v="60.4"/>
    <x v="12"/>
    <d v="2025-01-15T00:00:00"/>
    <x v="2"/>
    <x v="1"/>
    <x v="1"/>
    <x v="0"/>
    <x v="3"/>
    <x v="1"/>
    <x v="2"/>
    <x v="2"/>
  </r>
  <r>
    <s v="TX500280"/>
    <x v="1"/>
    <x v="3"/>
    <n v="30.4"/>
    <n v="212.79999999999998"/>
    <x v="12"/>
    <d v="2025-01-16T00:00:00"/>
    <x v="2"/>
    <x v="4"/>
    <x v="0"/>
    <x v="0"/>
    <x v="3"/>
    <x v="2"/>
    <x v="2"/>
    <x v="2"/>
  </r>
  <r>
    <s v="TX500281"/>
    <x v="14"/>
    <x v="1"/>
    <n v="24.5"/>
    <n v="49"/>
    <x v="12"/>
    <d v="2025-01-14T00:00:00"/>
    <x v="1"/>
    <x v="3"/>
    <x v="2"/>
    <x v="0"/>
    <x v="3"/>
    <x v="3"/>
    <x v="2"/>
    <x v="1"/>
  </r>
  <r>
    <s v="TX500282"/>
    <x v="2"/>
    <x v="2"/>
    <n v="105.9"/>
    <n v="317.70000000000005"/>
    <x v="12"/>
    <d v="2025-01-18T00:00:00"/>
    <x v="1"/>
    <x v="0"/>
    <x v="0"/>
    <x v="0"/>
    <x v="37"/>
    <x v="0"/>
    <x v="2"/>
    <x v="1"/>
  </r>
  <r>
    <s v="TX500283"/>
    <x v="10"/>
    <x v="25"/>
    <n v="25.9"/>
    <n v="621.59999999999991"/>
    <x v="12"/>
    <d v="2025-01-14T00:00:00"/>
    <x v="2"/>
    <x v="4"/>
    <x v="0"/>
    <x v="0"/>
    <x v="23"/>
    <x v="3"/>
    <x v="2"/>
    <x v="2"/>
  </r>
  <r>
    <s v="TX500284"/>
    <x v="6"/>
    <x v="2"/>
    <n v="66.8"/>
    <n v="200.39999999999998"/>
    <x v="12"/>
    <d v="2025-01-13T00:00:00"/>
    <x v="1"/>
    <x v="0"/>
    <x v="0"/>
    <x v="0"/>
    <x v="23"/>
    <x v="7"/>
    <x v="2"/>
    <x v="1"/>
  </r>
  <r>
    <s v="TX500285"/>
    <x v="6"/>
    <x v="2"/>
    <n v="112.3"/>
    <n v="336.9"/>
    <x v="12"/>
    <d v="2025-01-14T00:00:00"/>
    <x v="1"/>
    <x v="2"/>
    <x v="4"/>
    <x v="0"/>
    <x v="6"/>
    <x v="3"/>
    <x v="2"/>
    <x v="1"/>
  </r>
  <r>
    <s v="TX500286"/>
    <x v="1"/>
    <x v="13"/>
    <n v="94.1"/>
    <n v="564.59999999999991"/>
    <x v="12"/>
    <d v="2025-01-14T00:00:00"/>
    <x v="2"/>
    <x v="0"/>
    <x v="4"/>
    <x v="0"/>
    <x v="6"/>
    <x v="3"/>
    <x v="2"/>
    <x v="2"/>
  </r>
  <r>
    <s v="TX500287"/>
    <x v="5"/>
    <x v="0"/>
    <n v="40.700000000000003"/>
    <n v="40.700000000000003"/>
    <x v="12"/>
    <d v="2025-01-16T00:00:00"/>
    <x v="2"/>
    <x v="2"/>
    <x v="0"/>
    <x v="0"/>
    <x v="6"/>
    <x v="2"/>
    <x v="2"/>
    <x v="2"/>
  </r>
  <r>
    <s v="TX500288"/>
    <x v="3"/>
    <x v="1"/>
    <n v="71.400000000000006"/>
    <n v="142.80000000000001"/>
    <x v="12"/>
    <d v="2025-01-14T00:00:00"/>
    <x v="1"/>
    <x v="0"/>
    <x v="0"/>
    <x v="0"/>
    <x v="7"/>
    <x v="3"/>
    <x v="2"/>
    <x v="1"/>
  </r>
  <r>
    <s v="TX500289"/>
    <x v="0"/>
    <x v="16"/>
    <n v="15.6"/>
    <n v="280.8"/>
    <x v="12"/>
    <d v="2025-01-14T00:00:00"/>
    <x v="1"/>
    <x v="1"/>
    <x v="3"/>
    <x v="0"/>
    <x v="8"/>
    <x v="3"/>
    <x v="2"/>
    <x v="1"/>
  </r>
  <r>
    <s v="TX500290"/>
    <x v="10"/>
    <x v="12"/>
    <n v="37.799999999999997"/>
    <n v="151.19999999999999"/>
    <x v="12"/>
    <d v="2025-01-14T00:00:00"/>
    <x v="1"/>
    <x v="2"/>
    <x v="2"/>
    <x v="0"/>
    <x v="8"/>
    <x v="3"/>
    <x v="2"/>
    <x v="1"/>
  </r>
  <r>
    <s v="TX500291"/>
    <x v="4"/>
    <x v="2"/>
    <n v="28.1"/>
    <n v="84.300000000000011"/>
    <x v="12"/>
    <d v="2025-01-17T00:00:00"/>
    <x v="1"/>
    <x v="0"/>
    <x v="0"/>
    <x v="0"/>
    <x v="8"/>
    <x v="5"/>
    <x v="2"/>
    <x v="1"/>
  </r>
  <r>
    <s v="TX500292"/>
    <x v="7"/>
    <x v="13"/>
    <n v="51.4"/>
    <n v="308.39999999999998"/>
    <x v="12"/>
    <d v="2025-01-17T00:00:00"/>
    <x v="1"/>
    <x v="0"/>
    <x v="0"/>
    <x v="0"/>
    <x v="8"/>
    <x v="5"/>
    <x v="2"/>
    <x v="1"/>
  </r>
  <r>
    <s v="TX500293"/>
    <x v="7"/>
    <x v="1"/>
    <n v="97.7"/>
    <n v="195.4"/>
    <x v="12"/>
    <d v="2025-01-15T00:00:00"/>
    <x v="2"/>
    <x v="4"/>
    <x v="2"/>
    <x v="0"/>
    <x v="17"/>
    <x v="1"/>
    <x v="2"/>
    <x v="2"/>
  </r>
  <r>
    <s v="TX500294"/>
    <x v="1"/>
    <x v="12"/>
    <n v="63.8"/>
    <n v="255.2"/>
    <x v="12"/>
    <d v="2025-01-14T00:00:00"/>
    <x v="1"/>
    <x v="2"/>
    <x v="0"/>
    <x v="0"/>
    <x v="38"/>
    <x v="3"/>
    <x v="2"/>
    <x v="1"/>
  </r>
  <r>
    <s v="TX500295"/>
    <x v="13"/>
    <x v="1"/>
    <n v="20.100000000000001"/>
    <n v="40.200000000000003"/>
    <x v="12"/>
    <d v="2025-01-15T00:00:00"/>
    <x v="1"/>
    <x v="0"/>
    <x v="2"/>
    <x v="0"/>
    <x v="20"/>
    <x v="1"/>
    <x v="2"/>
    <x v="1"/>
  </r>
  <r>
    <s v="TX500296"/>
    <x v="11"/>
    <x v="2"/>
    <n v="50.4"/>
    <n v="151.19999999999999"/>
    <x v="12"/>
    <d v="2025-01-16T00:00:00"/>
    <x v="2"/>
    <x v="3"/>
    <x v="0"/>
    <x v="0"/>
    <x v="13"/>
    <x v="2"/>
    <x v="2"/>
    <x v="2"/>
  </r>
  <r>
    <s v="TX500297"/>
    <x v="0"/>
    <x v="0"/>
    <n v="16.2"/>
    <n v="16.2"/>
    <x v="12"/>
    <d v="2025-01-26T00:00:00"/>
    <x v="2"/>
    <x v="1"/>
    <x v="0"/>
    <x v="0"/>
    <x v="1"/>
    <x v="10"/>
    <x v="2"/>
    <x v="2"/>
  </r>
  <r>
    <s v="TX500298"/>
    <x v="6"/>
    <x v="3"/>
    <n v="80.900000000000006"/>
    <n v="566.30000000000007"/>
    <x v="12"/>
    <d v="2025-01-15T00:00:00"/>
    <x v="1"/>
    <x v="4"/>
    <x v="4"/>
    <x v="0"/>
    <x v="2"/>
    <x v="1"/>
    <x v="2"/>
    <x v="1"/>
  </r>
  <r>
    <s v="TX500299"/>
    <x v="9"/>
    <x v="13"/>
    <n v="95.2"/>
    <n v="571.20000000000005"/>
    <x v="12"/>
    <d v="2025-01-15T00:00:00"/>
    <x v="2"/>
    <x v="0"/>
    <x v="2"/>
    <x v="0"/>
    <x v="2"/>
    <x v="1"/>
    <x v="2"/>
    <x v="2"/>
  </r>
  <r>
    <s v="TX500300"/>
    <x v="5"/>
    <x v="8"/>
    <n v="70.400000000000006"/>
    <n v="563.20000000000005"/>
    <x v="12"/>
    <d v="2025-01-14T00:00:00"/>
    <x v="1"/>
    <x v="1"/>
    <x v="1"/>
    <x v="0"/>
    <x v="3"/>
    <x v="3"/>
    <x v="2"/>
    <x v="1"/>
  </r>
  <r>
    <s v="TX500301"/>
    <x v="0"/>
    <x v="9"/>
    <n v="10.7"/>
    <n v="53.5"/>
    <x v="12"/>
    <d v="2025-01-17T00:00:00"/>
    <x v="2"/>
    <x v="2"/>
    <x v="0"/>
    <x v="0"/>
    <x v="3"/>
    <x v="5"/>
    <x v="2"/>
    <x v="2"/>
  </r>
  <r>
    <s v="TX500302"/>
    <x v="8"/>
    <x v="9"/>
    <n v="19.600000000000001"/>
    <n v="98"/>
    <x v="12"/>
    <d v="2025-01-15T00:00:00"/>
    <x v="2"/>
    <x v="0"/>
    <x v="3"/>
    <x v="0"/>
    <x v="3"/>
    <x v="1"/>
    <x v="2"/>
    <x v="2"/>
  </r>
  <r>
    <s v="TX500303"/>
    <x v="8"/>
    <x v="5"/>
    <n v="34.700000000000003"/>
    <n v="381.70000000000005"/>
    <x v="12"/>
    <d v="2025-01-15T00:00:00"/>
    <x v="2"/>
    <x v="0"/>
    <x v="2"/>
    <x v="0"/>
    <x v="3"/>
    <x v="1"/>
    <x v="2"/>
    <x v="2"/>
  </r>
  <r>
    <s v="TX500304"/>
    <x v="10"/>
    <x v="11"/>
    <n v="34.1"/>
    <n v="306.90000000000003"/>
    <x v="12"/>
    <d v="2025-01-14T00:00:00"/>
    <x v="2"/>
    <x v="4"/>
    <x v="1"/>
    <x v="0"/>
    <x v="3"/>
    <x v="3"/>
    <x v="2"/>
    <x v="2"/>
  </r>
  <r>
    <s v="TX500305"/>
    <x v="0"/>
    <x v="26"/>
    <n v="29.3"/>
    <n v="1435.7"/>
    <x v="12"/>
    <d v="2025-01-13T00:00:00"/>
    <x v="1"/>
    <x v="0"/>
    <x v="1"/>
    <x v="0"/>
    <x v="3"/>
    <x v="7"/>
    <x v="2"/>
    <x v="1"/>
  </r>
  <r>
    <s v="TX500306"/>
    <x v="1"/>
    <x v="0"/>
    <n v="55.2"/>
    <n v="55.2"/>
    <x v="12"/>
    <d v="2025-01-14T00:00:00"/>
    <x v="2"/>
    <x v="0"/>
    <x v="1"/>
    <x v="0"/>
    <x v="3"/>
    <x v="3"/>
    <x v="2"/>
    <x v="2"/>
  </r>
  <r>
    <s v="TX500307"/>
    <x v="18"/>
    <x v="2"/>
    <n v="26"/>
    <n v="78"/>
    <x v="12"/>
    <d v="2025-01-16T00:00:00"/>
    <x v="2"/>
    <x v="0"/>
    <x v="2"/>
    <x v="0"/>
    <x v="3"/>
    <x v="2"/>
    <x v="2"/>
    <x v="2"/>
  </r>
  <r>
    <s v="TX500308"/>
    <x v="14"/>
    <x v="1"/>
    <n v="14.2"/>
    <n v="28.4"/>
    <x v="12"/>
    <d v="2025-01-18T00:00:00"/>
    <x v="2"/>
    <x v="3"/>
    <x v="0"/>
    <x v="0"/>
    <x v="39"/>
    <x v="0"/>
    <x v="2"/>
    <x v="2"/>
  </r>
  <r>
    <s v="TX500309"/>
    <x v="8"/>
    <x v="11"/>
    <n v="22.7"/>
    <n v="204.29999999999998"/>
    <x v="13"/>
    <d v="2025-01-15T00:00:00"/>
    <x v="1"/>
    <x v="1"/>
    <x v="0"/>
    <x v="0"/>
    <x v="6"/>
    <x v="3"/>
    <x v="2"/>
    <x v="1"/>
  </r>
  <r>
    <s v="TX500310"/>
    <x v="0"/>
    <x v="20"/>
    <n v="19.8"/>
    <n v="297"/>
    <x v="13"/>
    <d v="2025-01-14T00:00:00"/>
    <x v="2"/>
    <x v="0"/>
    <x v="2"/>
    <x v="0"/>
    <x v="6"/>
    <x v="7"/>
    <x v="2"/>
    <x v="2"/>
  </r>
  <r>
    <s v="TX500311"/>
    <x v="0"/>
    <x v="2"/>
    <n v="31.7"/>
    <n v="95.1"/>
    <x v="13"/>
    <d v="2025-01-15T00:00:00"/>
    <x v="1"/>
    <x v="2"/>
    <x v="0"/>
    <x v="0"/>
    <x v="6"/>
    <x v="3"/>
    <x v="2"/>
    <x v="1"/>
  </r>
  <r>
    <s v="TX500312"/>
    <x v="8"/>
    <x v="12"/>
    <n v="30.4"/>
    <n v="121.6"/>
    <x v="13"/>
    <d v="2025-01-18T00:00:00"/>
    <x v="1"/>
    <x v="0"/>
    <x v="0"/>
    <x v="0"/>
    <x v="6"/>
    <x v="5"/>
    <x v="2"/>
    <x v="1"/>
  </r>
  <r>
    <s v="TX500313"/>
    <x v="0"/>
    <x v="12"/>
    <n v="25.6"/>
    <n v="102.4"/>
    <x v="13"/>
    <d v="2025-01-15T00:00:00"/>
    <x v="1"/>
    <x v="3"/>
    <x v="0"/>
    <x v="0"/>
    <x v="8"/>
    <x v="3"/>
    <x v="2"/>
    <x v="1"/>
  </r>
  <r>
    <s v="TX500314"/>
    <x v="5"/>
    <x v="1"/>
    <n v="34.9"/>
    <n v="69.8"/>
    <x v="13"/>
    <d v="2025-01-15T00:00:00"/>
    <x v="2"/>
    <x v="2"/>
    <x v="0"/>
    <x v="0"/>
    <x v="9"/>
    <x v="3"/>
    <x v="2"/>
    <x v="2"/>
  </r>
  <r>
    <s v="TX500315"/>
    <x v="7"/>
    <x v="13"/>
    <n v="42.7"/>
    <n v="256.20000000000005"/>
    <x v="13"/>
    <d v="2025-01-17T00:00:00"/>
    <x v="1"/>
    <x v="2"/>
    <x v="1"/>
    <x v="0"/>
    <x v="11"/>
    <x v="2"/>
    <x v="2"/>
    <x v="1"/>
  </r>
  <r>
    <s v="TX500316"/>
    <x v="8"/>
    <x v="0"/>
    <n v="23.9"/>
    <n v="23.9"/>
    <x v="13"/>
    <d v="2025-01-16T00:00:00"/>
    <x v="2"/>
    <x v="3"/>
    <x v="0"/>
    <x v="0"/>
    <x v="11"/>
    <x v="1"/>
    <x v="2"/>
    <x v="2"/>
  </r>
  <r>
    <s v="TX500317"/>
    <x v="6"/>
    <x v="0"/>
    <n v="124.3"/>
    <n v="124.3"/>
    <x v="13"/>
    <d v="2025-01-15T00:00:00"/>
    <x v="0"/>
    <x v="2"/>
    <x v="1"/>
    <x v="0"/>
    <x v="21"/>
    <x v="3"/>
    <x v="2"/>
    <x v="0"/>
  </r>
  <r>
    <s v="TX500318"/>
    <x v="8"/>
    <x v="13"/>
    <n v="35.9"/>
    <n v="215.39999999999998"/>
    <x v="13"/>
    <d v="2025-01-15T00:00:00"/>
    <x v="2"/>
    <x v="0"/>
    <x v="1"/>
    <x v="0"/>
    <x v="1"/>
    <x v="3"/>
    <x v="2"/>
    <x v="2"/>
  </r>
  <r>
    <s v="TX500319"/>
    <x v="2"/>
    <x v="1"/>
    <n v="69.099999999999994"/>
    <n v="138.19999999999999"/>
    <x v="13"/>
    <d v="2025-01-17T00:00:00"/>
    <x v="2"/>
    <x v="0"/>
    <x v="2"/>
    <x v="0"/>
    <x v="22"/>
    <x v="2"/>
    <x v="2"/>
    <x v="2"/>
  </r>
  <r>
    <s v="TX500320"/>
    <x v="7"/>
    <x v="0"/>
    <n v="58.4"/>
    <n v="58.4"/>
    <x v="13"/>
    <d v="2025-01-18T00:00:00"/>
    <x v="1"/>
    <x v="0"/>
    <x v="0"/>
    <x v="0"/>
    <x v="22"/>
    <x v="5"/>
    <x v="2"/>
    <x v="1"/>
  </r>
  <r>
    <s v="TX500321"/>
    <x v="5"/>
    <x v="0"/>
    <n v="65.2"/>
    <n v="65.2"/>
    <x v="13"/>
    <d v="2025-01-16T00:00:00"/>
    <x v="3"/>
    <x v="4"/>
    <x v="4"/>
    <x v="0"/>
    <x v="3"/>
    <x v="1"/>
    <x v="2"/>
    <x v="3"/>
  </r>
  <r>
    <s v="TX500322"/>
    <x v="8"/>
    <x v="14"/>
    <n v="32.700000000000003"/>
    <n v="555.90000000000009"/>
    <x v="13"/>
    <d v="2025-01-21T00:00:00"/>
    <x v="0"/>
    <x v="4"/>
    <x v="0"/>
    <x v="0"/>
    <x v="3"/>
    <x v="6"/>
    <x v="2"/>
    <x v="0"/>
  </r>
  <r>
    <s v="TX500323"/>
    <x v="10"/>
    <x v="3"/>
    <n v="24.4"/>
    <n v="170.79999999999998"/>
    <x v="13"/>
    <d v="2025-01-15T00:00:00"/>
    <x v="2"/>
    <x v="0"/>
    <x v="0"/>
    <x v="0"/>
    <x v="3"/>
    <x v="3"/>
    <x v="2"/>
    <x v="2"/>
  </r>
  <r>
    <s v="TX500324"/>
    <x v="14"/>
    <x v="1"/>
    <n v="50.4"/>
    <n v="100.8"/>
    <x v="13"/>
    <d v="2025-01-20T00:00:00"/>
    <x v="1"/>
    <x v="0"/>
    <x v="1"/>
    <x v="0"/>
    <x v="3"/>
    <x v="4"/>
    <x v="2"/>
    <x v="1"/>
  </r>
  <r>
    <s v="TX500325"/>
    <x v="1"/>
    <x v="1"/>
    <n v="100"/>
    <n v="200"/>
    <x v="13"/>
    <d v="2025-01-15T00:00:00"/>
    <x v="2"/>
    <x v="0"/>
    <x v="0"/>
    <x v="0"/>
    <x v="3"/>
    <x v="3"/>
    <x v="2"/>
    <x v="2"/>
  </r>
  <r>
    <s v="TX500326"/>
    <x v="10"/>
    <x v="2"/>
    <n v="43"/>
    <n v="129"/>
    <x v="14"/>
    <d v="2025-01-15T00:00:00"/>
    <x v="2"/>
    <x v="2"/>
    <x v="1"/>
    <x v="0"/>
    <x v="3"/>
    <x v="7"/>
    <x v="2"/>
    <x v="2"/>
  </r>
  <r>
    <s v="TX500327"/>
    <x v="1"/>
    <x v="9"/>
    <n v="64.400000000000006"/>
    <n v="322"/>
    <x v="14"/>
    <d v="2025-01-17T00:00:00"/>
    <x v="1"/>
    <x v="2"/>
    <x v="1"/>
    <x v="0"/>
    <x v="3"/>
    <x v="1"/>
    <x v="2"/>
    <x v="1"/>
  </r>
  <r>
    <s v="TX500328"/>
    <x v="18"/>
    <x v="1"/>
    <n v="57.4"/>
    <n v="114.8"/>
    <x v="14"/>
    <d v="2025-01-16T00:00:00"/>
    <x v="1"/>
    <x v="2"/>
    <x v="1"/>
    <x v="0"/>
    <x v="3"/>
    <x v="3"/>
    <x v="2"/>
    <x v="1"/>
  </r>
  <r>
    <s v="TX500329"/>
    <x v="2"/>
    <x v="2"/>
    <n v="55.1"/>
    <n v="165.3"/>
    <x v="14"/>
    <d v="2025-01-18T00:00:00"/>
    <x v="2"/>
    <x v="1"/>
    <x v="0"/>
    <x v="0"/>
    <x v="3"/>
    <x v="2"/>
    <x v="2"/>
    <x v="2"/>
  </r>
  <r>
    <s v="TX500330"/>
    <x v="7"/>
    <x v="12"/>
    <n v="45.4"/>
    <n v="181.6"/>
    <x v="14"/>
    <d v="2025-01-16T00:00:00"/>
    <x v="2"/>
    <x v="1"/>
    <x v="0"/>
    <x v="0"/>
    <x v="3"/>
    <x v="3"/>
    <x v="2"/>
    <x v="2"/>
  </r>
  <r>
    <s v="TX500331"/>
    <x v="3"/>
    <x v="2"/>
    <n v="93.3"/>
    <n v="279.89999999999998"/>
    <x v="14"/>
    <d v="2025-01-16T00:00:00"/>
    <x v="2"/>
    <x v="0"/>
    <x v="0"/>
    <x v="0"/>
    <x v="40"/>
    <x v="3"/>
    <x v="2"/>
    <x v="2"/>
  </r>
  <r>
    <s v="TX500332"/>
    <x v="2"/>
    <x v="10"/>
    <n v="158.19999999999999"/>
    <n v="3005.7999999999997"/>
    <x v="14"/>
    <d v="2025-01-16T00:00:00"/>
    <x v="2"/>
    <x v="1"/>
    <x v="2"/>
    <x v="0"/>
    <x v="16"/>
    <x v="3"/>
    <x v="2"/>
    <x v="2"/>
  </r>
  <r>
    <s v="TX500333"/>
    <x v="2"/>
    <x v="1"/>
    <n v="74.900000000000006"/>
    <n v="149.80000000000001"/>
    <x v="14"/>
    <d v="2025-01-17T00:00:00"/>
    <x v="1"/>
    <x v="3"/>
    <x v="0"/>
    <x v="0"/>
    <x v="6"/>
    <x v="1"/>
    <x v="2"/>
    <x v="1"/>
  </r>
  <r>
    <s v="TX500334"/>
    <x v="8"/>
    <x v="3"/>
    <n v="26"/>
    <n v="182"/>
    <x v="14"/>
    <d v="2025-01-18T00:00:00"/>
    <x v="2"/>
    <x v="1"/>
    <x v="0"/>
    <x v="0"/>
    <x v="8"/>
    <x v="2"/>
    <x v="2"/>
    <x v="2"/>
  </r>
  <r>
    <s v="TX500335"/>
    <x v="9"/>
    <x v="13"/>
    <n v="37.5"/>
    <n v="225"/>
    <x v="14"/>
    <d v="2025-01-16T00:00:00"/>
    <x v="2"/>
    <x v="0"/>
    <x v="1"/>
    <x v="0"/>
    <x v="8"/>
    <x v="3"/>
    <x v="2"/>
    <x v="2"/>
  </r>
  <r>
    <s v="TX500336"/>
    <x v="6"/>
    <x v="1"/>
    <n v="75.8"/>
    <n v="151.6"/>
    <x v="14"/>
    <d v="2025-01-21T00:00:00"/>
    <x v="1"/>
    <x v="0"/>
    <x v="0"/>
    <x v="0"/>
    <x v="8"/>
    <x v="4"/>
    <x v="2"/>
    <x v="1"/>
  </r>
  <r>
    <s v="TX500337"/>
    <x v="7"/>
    <x v="0"/>
    <n v="48.5"/>
    <n v="48.5"/>
    <x v="14"/>
    <d v="2025-01-27T00:00:00"/>
    <x v="0"/>
    <x v="4"/>
    <x v="2"/>
    <x v="0"/>
    <x v="8"/>
    <x v="13"/>
    <x v="2"/>
    <x v="0"/>
  </r>
  <r>
    <s v="TX500338"/>
    <x v="6"/>
    <x v="2"/>
    <n v="98.9"/>
    <n v="296.70000000000005"/>
    <x v="14"/>
    <d v="2025-01-17T00:00:00"/>
    <x v="2"/>
    <x v="4"/>
    <x v="1"/>
    <x v="0"/>
    <x v="8"/>
    <x v="1"/>
    <x v="2"/>
    <x v="2"/>
  </r>
  <r>
    <s v="TX500339"/>
    <x v="1"/>
    <x v="4"/>
    <n v="50.9"/>
    <n v="610.79999999999995"/>
    <x v="14"/>
    <d v="2025-01-15T00:00:00"/>
    <x v="1"/>
    <x v="4"/>
    <x v="0"/>
    <x v="0"/>
    <x v="8"/>
    <x v="7"/>
    <x v="2"/>
    <x v="1"/>
  </r>
  <r>
    <s v="TX500340"/>
    <x v="12"/>
    <x v="13"/>
    <n v="84.7"/>
    <n v="508.20000000000005"/>
    <x v="14"/>
    <d v="2025-01-15T00:00:00"/>
    <x v="2"/>
    <x v="2"/>
    <x v="0"/>
    <x v="0"/>
    <x v="8"/>
    <x v="7"/>
    <x v="2"/>
    <x v="2"/>
  </r>
  <r>
    <s v="TX500341"/>
    <x v="8"/>
    <x v="0"/>
    <n v="20.7"/>
    <n v="20.7"/>
    <x v="14"/>
    <d v="2025-01-17T00:00:00"/>
    <x v="2"/>
    <x v="3"/>
    <x v="2"/>
    <x v="0"/>
    <x v="8"/>
    <x v="1"/>
    <x v="2"/>
    <x v="2"/>
  </r>
  <r>
    <s v="TX500342"/>
    <x v="12"/>
    <x v="11"/>
    <n v="57.8"/>
    <n v="520.19999999999993"/>
    <x v="14"/>
    <d v="2025-01-26T00:00:00"/>
    <x v="1"/>
    <x v="0"/>
    <x v="4"/>
    <x v="0"/>
    <x v="17"/>
    <x v="11"/>
    <x v="2"/>
    <x v="1"/>
  </r>
  <r>
    <s v="TX500343"/>
    <x v="2"/>
    <x v="1"/>
    <n v="106.9"/>
    <n v="213.8"/>
    <x v="14"/>
    <d v="2025-01-17T00:00:00"/>
    <x v="2"/>
    <x v="0"/>
    <x v="2"/>
    <x v="0"/>
    <x v="41"/>
    <x v="1"/>
    <x v="2"/>
    <x v="2"/>
  </r>
  <r>
    <s v="TX500344"/>
    <x v="3"/>
    <x v="9"/>
    <n v="45.2"/>
    <n v="226"/>
    <x v="14"/>
    <d v="2025-01-19T00:00:00"/>
    <x v="2"/>
    <x v="1"/>
    <x v="0"/>
    <x v="0"/>
    <x v="21"/>
    <x v="5"/>
    <x v="2"/>
    <x v="2"/>
  </r>
  <r>
    <s v="TX500345"/>
    <x v="8"/>
    <x v="15"/>
    <n v="34.6"/>
    <n v="449.8"/>
    <x v="14"/>
    <d v="2025-01-15T00:00:00"/>
    <x v="2"/>
    <x v="1"/>
    <x v="1"/>
    <x v="0"/>
    <x v="21"/>
    <x v="7"/>
    <x v="2"/>
    <x v="2"/>
  </r>
  <r>
    <s v="TX500346"/>
    <x v="15"/>
    <x v="0"/>
    <n v="43.8"/>
    <n v="43.8"/>
    <x v="14"/>
    <d v="2025-01-17T00:00:00"/>
    <x v="0"/>
    <x v="0"/>
    <x v="2"/>
    <x v="0"/>
    <x v="21"/>
    <x v="1"/>
    <x v="2"/>
    <x v="0"/>
  </r>
  <r>
    <s v="TX500347"/>
    <x v="15"/>
    <x v="0"/>
    <n v="20.399999999999999"/>
    <n v="20.399999999999999"/>
    <x v="14"/>
    <d v="2025-01-17T00:00:00"/>
    <x v="1"/>
    <x v="4"/>
    <x v="1"/>
    <x v="0"/>
    <x v="21"/>
    <x v="1"/>
    <x v="2"/>
    <x v="1"/>
  </r>
  <r>
    <s v="TX500348"/>
    <x v="1"/>
    <x v="0"/>
    <n v="36.700000000000003"/>
    <n v="36.700000000000003"/>
    <x v="14"/>
    <d v="2025-01-16T00:00:00"/>
    <x v="1"/>
    <x v="0"/>
    <x v="1"/>
    <x v="0"/>
    <x v="1"/>
    <x v="3"/>
    <x v="2"/>
    <x v="1"/>
  </r>
  <r>
    <s v="TX500349"/>
    <x v="8"/>
    <x v="2"/>
    <n v="27.2"/>
    <n v="81.599999999999994"/>
    <x v="14"/>
    <d v="2025-01-19T00:00:00"/>
    <x v="1"/>
    <x v="0"/>
    <x v="2"/>
    <x v="0"/>
    <x v="1"/>
    <x v="5"/>
    <x v="2"/>
    <x v="1"/>
  </r>
  <r>
    <s v="TX500350"/>
    <x v="6"/>
    <x v="0"/>
    <n v="58.2"/>
    <n v="58.2"/>
    <x v="14"/>
    <d v="2025-01-16T00:00:00"/>
    <x v="2"/>
    <x v="0"/>
    <x v="2"/>
    <x v="0"/>
    <x v="42"/>
    <x v="3"/>
    <x v="2"/>
    <x v="2"/>
  </r>
  <r>
    <s v="TX500351"/>
    <x v="8"/>
    <x v="2"/>
    <n v="25.6"/>
    <n v="76.800000000000011"/>
    <x v="14"/>
    <d v="2025-01-16T00:00:00"/>
    <x v="1"/>
    <x v="4"/>
    <x v="4"/>
    <x v="0"/>
    <x v="2"/>
    <x v="3"/>
    <x v="2"/>
    <x v="1"/>
  </r>
  <r>
    <s v="TX500352"/>
    <x v="10"/>
    <x v="0"/>
    <n v="21.2"/>
    <n v="21.2"/>
    <x v="14"/>
    <d v="2025-01-15T00:00:00"/>
    <x v="2"/>
    <x v="1"/>
    <x v="2"/>
    <x v="0"/>
    <x v="3"/>
    <x v="7"/>
    <x v="2"/>
    <x v="2"/>
  </r>
  <r>
    <s v="TX500353"/>
    <x v="6"/>
    <x v="1"/>
    <n v="48.2"/>
    <n v="96.4"/>
    <x v="14"/>
    <d v="2025-01-23T00:00:00"/>
    <x v="2"/>
    <x v="0"/>
    <x v="2"/>
    <x v="0"/>
    <x v="3"/>
    <x v="9"/>
    <x v="2"/>
    <x v="2"/>
  </r>
  <r>
    <s v="TX500354"/>
    <x v="1"/>
    <x v="12"/>
    <n v="83.4"/>
    <n v="333.6"/>
    <x v="15"/>
    <d v="2025-01-17T00:00:00"/>
    <x v="1"/>
    <x v="0"/>
    <x v="0"/>
    <x v="0"/>
    <x v="3"/>
    <x v="3"/>
    <x v="2"/>
    <x v="1"/>
  </r>
  <r>
    <s v="TX500355"/>
    <x v="9"/>
    <x v="2"/>
    <n v="45.3"/>
    <n v="135.89999999999998"/>
    <x v="15"/>
    <d v="2025-01-22T00:00:00"/>
    <x v="1"/>
    <x v="2"/>
    <x v="1"/>
    <x v="0"/>
    <x v="3"/>
    <x v="4"/>
    <x v="2"/>
    <x v="1"/>
  </r>
  <r>
    <s v="TX500356"/>
    <x v="17"/>
    <x v="0"/>
    <n v="42"/>
    <n v="42"/>
    <x v="15"/>
    <d v="2025-01-17T00:00:00"/>
    <x v="0"/>
    <x v="0"/>
    <x v="0"/>
    <x v="0"/>
    <x v="3"/>
    <x v="3"/>
    <x v="2"/>
    <x v="0"/>
  </r>
  <r>
    <s v="TX500357"/>
    <x v="0"/>
    <x v="11"/>
    <n v="21.8"/>
    <n v="196.20000000000002"/>
    <x v="15"/>
    <d v="2025-01-18T00:00:00"/>
    <x v="2"/>
    <x v="1"/>
    <x v="0"/>
    <x v="0"/>
    <x v="3"/>
    <x v="1"/>
    <x v="2"/>
    <x v="2"/>
  </r>
  <r>
    <s v="TX500358"/>
    <x v="8"/>
    <x v="16"/>
    <n v="21.4"/>
    <n v="385.2"/>
    <x v="15"/>
    <d v="2025-01-19T00:00:00"/>
    <x v="2"/>
    <x v="1"/>
    <x v="2"/>
    <x v="0"/>
    <x v="3"/>
    <x v="2"/>
    <x v="2"/>
    <x v="2"/>
  </r>
  <r>
    <s v="TX500359"/>
    <x v="10"/>
    <x v="2"/>
    <n v="45"/>
    <n v="135"/>
    <x v="15"/>
    <d v="2025-01-16T00:00:00"/>
    <x v="2"/>
    <x v="1"/>
    <x v="2"/>
    <x v="0"/>
    <x v="3"/>
    <x v="7"/>
    <x v="2"/>
    <x v="2"/>
  </r>
  <r>
    <s v="TX500360"/>
    <x v="14"/>
    <x v="0"/>
    <n v="39.6"/>
    <n v="39.6"/>
    <x v="15"/>
    <d v="2025-01-17T00:00:00"/>
    <x v="1"/>
    <x v="0"/>
    <x v="2"/>
    <x v="0"/>
    <x v="3"/>
    <x v="3"/>
    <x v="2"/>
    <x v="1"/>
  </r>
  <r>
    <s v="TX500361"/>
    <x v="12"/>
    <x v="2"/>
    <n v="79.8"/>
    <n v="239.39999999999998"/>
    <x v="15"/>
    <d v="2025-01-22T00:00:00"/>
    <x v="2"/>
    <x v="1"/>
    <x v="4"/>
    <x v="0"/>
    <x v="3"/>
    <x v="4"/>
    <x v="2"/>
    <x v="2"/>
  </r>
  <r>
    <s v="TX500362"/>
    <x v="1"/>
    <x v="12"/>
    <n v="63.6"/>
    <n v="254.4"/>
    <x v="15"/>
    <d v="2025-01-17T00:00:00"/>
    <x v="3"/>
    <x v="0"/>
    <x v="2"/>
    <x v="0"/>
    <x v="24"/>
    <x v="3"/>
    <x v="2"/>
    <x v="3"/>
  </r>
  <r>
    <s v="TX500363"/>
    <x v="7"/>
    <x v="7"/>
    <n v="92.7"/>
    <n v="927"/>
    <x v="15"/>
    <d v="2025-01-20T00:00:00"/>
    <x v="1"/>
    <x v="1"/>
    <x v="2"/>
    <x v="0"/>
    <x v="6"/>
    <x v="5"/>
    <x v="2"/>
    <x v="1"/>
  </r>
  <r>
    <s v="TX500364"/>
    <x v="1"/>
    <x v="12"/>
    <n v="48.4"/>
    <n v="193.6"/>
    <x v="15"/>
    <d v="2025-01-18T00:00:00"/>
    <x v="2"/>
    <x v="1"/>
    <x v="2"/>
    <x v="0"/>
    <x v="6"/>
    <x v="1"/>
    <x v="2"/>
    <x v="2"/>
  </r>
  <r>
    <s v="TX500365"/>
    <x v="9"/>
    <x v="8"/>
    <n v="36"/>
    <n v="288"/>
    <x v="15"/>
    <d v="2025-01-19T00:00:00"/>
    <x v="1"/>
    <x v="2"/>
    <x v="2"/>
    <x v="0"/>
    <x v="8"/>
    <x v="2"/>
    <x v="2"/>
    <x v="1"/>
  </r>
  <r>
    <s v="TX500366"/>
    <x v="8"/>
    <x v="4"/>
    <n v="27"/>
    <n v="324"/>
    <x v="15"/>
    <d v="2025-01-18T00:00:00"/>
    <x v="2"/>
    <x v="2"/>
    <x v="1"/>
    <x v="0"/>
    <x v="8"/>
    <x v="1"/>
    <x v="2"/>
    <x v="2"/>
  </r>
  <r>
    <s v="TX500367"/>
    <x v="2"/>
    <x v="8"/>
    <n v="53.9"/>
    <n v="431.2"/>
    <x v="15"/>
    <d v="2025-01-17T00:00:00"/>
    <x v="0"/>
    <x v="0"/>
    <x v="0"/>
    <x v="0"/>
    <x v="8"/>
    <x v="3"/>
    <x v="2"/>
    <x v="0"/>
  </r>
  <r>
    <s v="TX500368"/>
    <x v="3"/>
    <x v="11"/>
    <n v="48.4"/>
    <n v="435.59999999999997"/>
    <x v="15"/>
    <d v="2025-01-17T00:00:00"/>
    <x v="2"/>
    <x v="1"/>
    <x v="0"/>
    <x v="0"/>
    <x v="9"/>
    <x v="3"/>
    <x v="2"/>
    <x v="2"/>
  </r>
  <r>
    <s v="TX500369"/>
    <x v="17"/>
    <x v="1"/>
    <n v="49.9"/>
    <n v="99.8"/>
    <x v="15"/>
    <d v="2025-01-21T00:00:00"/>
    <x v="1"/>
    <x v="4"/>
    <x v="4"/>
    <x v="0"/>
    <x v="10"/>
    <x v="0"/>
    <x v="2"/>
    <x v="1"/>
  </r>
  <r>
    <s v="TX500370"/>
    <x v="1"/>
    <x v="2"/>
    <n v="51.7"/>
    <n v="155.10000000000002"/>
    <x v="15"/>
    <d v="2025-01-17T00:00:00"/>
    <x v="2"/>
    <x v="0"/>
    <x v="2"/>
    <x v="0"/>
    <x v="11"/>
    <x v="3"/>
    <x v="2"/>
    <x v="2"/>
  </r>
  <r>
    <s v="TX500371"/>
    <x v="8"/>
    <x v="2"/>
    <n v="41.8"/>
    <n v="125.39999999999999"/>
    <x v="15"/>
    <d v="2025-01-18T00:00:00"/>
    <x v="2"/>
    <x v="2"/>
    <x v="0"/>
    <x v="0"/>
    <x v="18"/>
    <x v="1"/>
    <x v="2"/>
    <x v="2"/>
  </r>
  <r>
    <s v="TX500372"/>
    <x v="4"/>
    <x v="12"/>
    <n v="36.200000000000003"/>
    <n v="144.80000000000001"/>
    <x v="16"/>
    <d v="2025-01-18T00:00:00"/>
    <x v="1"/>
    <x v="2"/>
    <x v="2"/>
    <x v="0"/>
    <x v="21"/>
    <x v="3"/>
    <x v="2"/>
    <x v="1"/>
  </r>
  <r>
    <s v="TX500373"/>
    <x v="2"/>
    <x v="0"/>
    <n v="150.9"/>
    <n v="150.9"/>
    <x v="16"/>
    <d v="2025-01-27T00:00:00"/>
    <x v="1"/>
    <x v="0"/>
    <x v="0"/>
    <x v="0"/>
    <x v="1"/>
    <x v="14"/>
    <x v="2"/>
    <x v="1"/>
  </r>
  <r>
    <s v="TX500374"/>
    <x v="18"/>
    <x v="12"/>
    <n v="77.599999999999994"/>
    <n v="310.39999999999998"/>
    <x v="16"/>
    <d v="2025-01-18T00:00:00"/>
    <x v="0"/>
    <x v="2"/>
    <x v="0"/>
    <x v="0"/>
    <x v="3"/>
    <x v="3"/>
    <x v="2"/>
    <x v="0"/>
  </r>
  <r>
    <s v="TX500375"/>
    <x v="13"/>
    <x v="9"/>
    <n v="65.5"/>
    <n v="327.5"/>
    <x v="16"/>
    <d v="2025-01-17T00:00:00"/>
    <x v="1"/>
    <x v="1"/>
    <x v="0"/>
    <x v="0"/>
    <x v="3"/>
    <x v="7"/>
    <x v="2"/>
    <x v="1"/>
  </r>
  <r>
    <s v="TX500376"/>
    <x v="6"/>
    <x v="2"/>
    <n v="90.1"/>
    <n v="270.29999999999995"/>
    <x v="16"/>
    <d v="2025-01-19T00:00:00"/>
    <x v="2"/>
    <x v="0"/>
    <x v="0"/>
    <x v="0"/>
    <x v="3"/>
    <x v="1"/>
    <x v="2"/>
    <x v="2"/>
  </r>
  <r>
    <s v="TX500377"/>
    <x v="1"/>
    <x v="1"/>
    <n v="108.3"/>
    <n v="216.6"/>
    <x v="16"/>
    <d v="2025-01-20T00:00:00"/>
    <x v="3"/>
    <x v="4"/>
    <x v="0"/>
    <x v="0"/>
    <x v="3"/>
    <x v="2"/>
    <x v="2"/>
    <x v="3"/>
  </r>
  <r>
    <s v="TX500378"/>
    <x v="5"/>
    <x v="2"/>
    <n v="59.9"/>
    <n v="179.7"/>
    <x v="16"/>
    <d v="2025-01-21T00:00:00"/>
    <x v="2"/>
    <x v="0"/>
    <x v="0"/>
    <x v="0"/>
    <x v="3"/>
    <x v="5"/>
    <x v="2"/>
    <x v="2"/>
  </r>
  <r>
    <s v="TX500379"/>
    <x v="2"/>
    <x v="14"/>
    <n v="139"/>
    <n v="2363"/>
    <x v="16"/>
    <d v="2025-01-19T00:00:00"/>
    <x v="2"/>
    <x v="1"/>
    <x v="4"/>
    <x v="0"/>
    <x v="3"/>
    <x v="1"/>
    <x v="2"/>
    <x v="2"/>
  </r>
  <r>
    <s v="TX500380"/>
    <x v="6"/>
    <x v="2"/>
    <n v="87.3"/>
    <n v="261.89999999999998"/>
    <x v="16"/>
    <d v="2025-01-18T00:00:00"/>
    <x v="2"/>
    <x v="0"/>
    <x v="0"/>
    <x v="0"/>
    <x v="3"/>
    <x v="3"/>
    <x v="2"/>
    <x v="2"/>
  </r>
  <r>
    <s v="TX500381"/>
    <x v="11"/>
    <x v="12"/>
    <n v="42.3"/>
    <n v="169.2"/>
    <x v="16"/>
    <d v="2025-01-17T00:00:00"/>
    <x v="1"/>
    <x v="0"/>
    <x v="0"/>
    <x v="0"/>
    <x v="3"/>
    <x v="7"/>
    <x v="2"/>
    <x v="1"/>
  </r>
  <r>
    <s v="TX500382"/>
    <x v="14"/>
    <x v="8"/>
    <n v="103.6"/>
    <n v="828.8"/>
    <x v="16"/>
    <d v="2025-01-18T00:00:00"/>
    <x v="3"/>
    <x v="0"/>
    <x v="1"/>
    <x v="0"/>
    <x v="3"/>
    <x v="3"/>
    <x v="2"/>
    <x v="3"/>
  </r>
  <r>
    <s v="TX500383"/>
    <x v="6"/>
    <x v="1"/>
    <n v="90.9"/>
    <n v="181.8"/>
    <x v="16"/>
    <d v="2025-01-18T00:00:00"/>
    <x v="1"/>
    <x v="1"/>
    <x v="0"/>
    <x v="0"/>
    <x v="6"/>
    <x v="3"/>
    <x v="2"/>
    <x v="1"/>
  </r>
  <r>
    <s v="TX500384"/>
    <x v="9"/>
    <x v="27"/>
    <n v="100.9"/>
    <n v="1614.4"/>
    <x v="16"/>
    <d v="2025-01-18T00:00:00"/>
    <x v="2"/>
    <x v="1"/>
    <x v="0"/>
    <x v="0"/>
    <x v="6"/>
    <x v="3"/>
    <x v="2"/>
    <x v="2"/>
  </r>
  <r>
    <s v="TX500385"/>
    <x v="4"/>
    <x v="9"/>
    <n v="36"/>
    <n v="180"/>
    <x v="16"/>
    <d v="2025-01-19T00:00:00"/>
    <x v="2"/>
    <x v="1"/>
    <x v="0"/>
    <x v="0"/>
    <x v="7"/>
    <x v="1"/>
    <x v="2"/>
    <x v="2"/>
  </r>
  <r>
    <s v="TX500386"/>
    <x v="6"/>
    <x v="13"/>
    <n v="83.3"/>
    <n v="499.79999999999995"/>
    <x v="16"/>
    <d v="2025-01-20T00:00:00"/>
    <x v="0"/>
    <x v="2"/>
    <x v="0"/>
    <x v="0"/>
    <x v="7"/>
    <x v="2"/>
    <x v="2"/>
    <x v="0"/>
  </r>
  <r>
    <s v="TX500387"/>
    <x v="2"/>
    <x v="14"/>
    <n v="60.3"/>
    <n v="1025.0999999999999"/>
    <x v="16"/>
    <d v="2025-01-18T00:00:00"/>
    <x v="1"/>
    <x v="2"/>
    <x v="1"/>
    <x v="0"/>
    <x v="7"/>
    <x v="3"/>
    <x v="2"/>
    <x v="1"/>
  </r>
  <r>
    <s v="TX500388"/>
    <x v="2"/>
    <x v="13"/>
    <n v="120.3"/>
    <n v="721.8"/>
    <x v="16"/>
    <d v="2025-01-18T00:00:00"/>
    <x v="1"/>
    <x v="2"/>
    <x v="0"/>
    <x v="0"/>
    <x v="8"/>
    <x v="3"/>
    <x v="2"/>
    <x v="1"/>
  </r>
  <r>
    <s v="TX500389"/>
    <x v="4"/>
    <x v="7"/>
    <n v="34"/>
    <n v="340"/>
    <x v="16"/>
    <d v="2025-01-21T00:00:00"/>
    <x v="2"/>
    <x v="2"/>
    <x v="0"/>
    <x v="0"/>
    <x v="8"/>
    <x v="5"/>
    <x v="2"/>
    <x v="2"/>
  </r>
  <r>
    <s v="TX500390"/>
    <x v="10"/>
    <x v="9"/>
    <n v="42.6"/>
    <n v="213"/>
    <x v="16"/>
    <d v="2025-01-20T00:00:00"/>
    <x v="1"/>
    <x v="1"/>
    <x v="0"/>
    <x v="0"/>
    <x v="8"/>
    <x v="2"/>
    <x v="2"/>
    <x v="1"/>
  </r>
  <r>
    <s v="TX500391"/>
    <x v="5"/>
    <x v="28"/>
    <n v="47.4"/>
    <n v="948"/>
    <x v="16"/>
    <d v="2025-01-17T00:00:00"/>
    <x v="2"/>
    <x v="2"/>
    <x v="1"/>
    <x v="0"/>
    <x v="17"/>
    <x v="7"/>
    <x v="2"/>
    <x v="2"/>
  </r>
  <r>
    <s v="TX500392"/>
    <x v="2"/>
    <x v="0"/>
    <n v="74"/>
    <n v="74"/>
    <x v="17"/>
    <d v="2025-01-19T00:00:00"/>
    <x v="1"/>
    <x v="1"/>
    <x v="0"/>
    <x v="0"/>
    <x v="11"/>
    <x v="3"/>
    <x v="2"/>
    <x v="1"/>
  </r>
  <r>
    <s v="TX500393"/>
    <x v="2"/>
    <x v="9"/>
    <n v="60.4"/>
    <n v="302"/>
    <x v="17"/>
    <d v="2025-01-21T00:00:00"/>
    <x v="2"/>
    <x v="1"/>
    <x v="4"/>
    <x v="0"/>
    <x v="18"/>
    <x v="2"/>
    <x v="2"/>
    <x v="2"/>
  </r>
  <r>
    <s v="TX500394"/>
    <x v="12"/>
    <x v="1"/>
    <n v="69.3"/>
    <n v="138.6"/>
    <x v="17"/>
    <d v="2025-01-21T00:00:00"/>
    <x v="1"/>
    <x v="1"/>
    <x v="1"/>
    <x v="0"/>
    <x v="13"/>
    <x v="2"/>
    <x v="2"/>
    <x v="1"/>
  </r>
  <r>
    <s v="TX500395"/>
    <x v="5"/>
    <x v="9"/>
    <n v="81"/>
    <n v="405"/>
    <x v="17"/>
    <d v="2025-01-24T00:00:00"/>
    <x v="1"/>
    <x v="3"/>
    <x v="0"/>
    <x v="0"/>
    <x v="21"/>
    <x v="4"/>
    <x v="2"/>
    <x v="1"/>
  </r>
  <r>
    <s v="TX500396"/>
    <x v="15"/>
    <x v="2"/>
    <n v="41.5"/>
    <n v="124.5"/>
    <x v="17"/>
    <d v="2025-01-20T00:00:00"/>
    <x v="3"/>
    <x v="1"/>
    <x v="0"/>
    <x v="0"/>
    <x v="21"/>
    <x v="1"/>
    <x v="2"/>
    <x v="3"/>
  </r>
  <r>
    <s v="TX500397"/>
    <x v="18"/>
    <x v="1"/>
    <n v="69.7"/>
    <n v="139.4"/>
    <x v="17"/>
    <d v="2025-01-23T00:00:00"/>
    <x v="1"/>
    <x v="1"/>
    <x v="0"/>
    <x v="0"/>
    <x v="21"/>
    <x v="0"/>
    <x v="2"/>
    <x v="1"/>
  </r>
  <r>
    <s v="TX500398"/>
    <x v="2"/>
    <x v="9"/>
    <n v="83.6"/>
    <n v="418"/>
    <x v="17"/>
    <d v="2025-01-18T00:00:00"/>
    <x v="2"/>
    <x v="4"/>
    <x v="0"/>
    <x v="0"/>
    <x v="1"/>
    <x v="7"/>
    <x v="2"/>
    <x v="2"/>
  </r>
  <r>
    <s v="TX500399"/>
    <x v="8"/>
    <x v="3"/>
    <n v="21.5"/>
    <n v="150.5"/>
    <x v="17"/>
    <d v="2025-01-20T00:00:00"/>
    <x v="1"/>
    <x v="1"/>
    <x v="4"/>
    <x v="0"/>
    <x v="34"/>
    <x v="1"/>
    <x v="2"/>
    <x v="1"/>
  </r>
  <r>
    <s v="TX500400"/>
    <x v="8"/>
    <x v="8"/>
    <n v="28.6"/>
    <n v="228.8"/>
    <x v="17"/>
    <d v="2025-01-19T00:00:00"/>
    <x v="1"/>
    <x v="0"/>
    <x v="0"/>
    <x v="0"/>
    <x v="3"/>
    <x v="3"/>
    <x v="2"/>
    <x v="1"/>
  </r>
  <r>
    <s v="TX500401"/>
    <x v="8"/>
    <x v="13"/>
    <n v="18.8"/>
    <n v="112.80000000000001"/>
    <x v="17"/>
    <d v="2025-01-21T00:00:00"/>
    <x v="1"/>
    <x v="3"/>
    <x v="2"/>
    <x v="0"/>
    <x v="3"/>
    <x v="2"/>
    <x v="2"/>
    <x v="1"/>
  </r>
  <r>
    <s v="TX500402"/>
    <x v="10"/>
    <x v="12"/>
    <n v="35.1"/>
    <n v="140.4"/>
    <x v="17"/>
    <d v="2025-01-18T00:00:00"/>
    <x v="2"/>
    <x v="1"/>
    <x v="1"/>
    <x v="0"/>
    <x v="3"/>
    <x v="7"/>
    <x v="2"/>
    <x v="2"/>
  </r>
  <r>
    <s v="TX500403"/>
    <x v="0"/>
    <x v="1"/>
    <n v="12.7"/>
    <n v="25.4"/>
    <x v="17"/>
    <d v="2025-01-20T00:00:00"/>
    <x v="2"/>
    <x v="1"/>
    <x v="2"/>
    <x v="0"/>
    <x v="3"/>
    <x v="1"/>
    <x v="2"/>
    <x v="2"/>
  </r>
  <r>
    <s v="TX500404"/>
    <x v="8"/>
    <x v="9"/>
    <n v="27.4"/>
    <n v="137"/>
    <x v="17"/>
    <d v="2025-01-20T00:00:00"/>
    <x v="3"/>
    <x v="0"/>
    <x v="0"/>
    <x v="0"/>
    <x v="3"/>
    <x v="1"/>
    <x v="2"/>
    <x v="3"/>
  </r>
  <r>
    <s v="TX500405"/>
    <x v="10"/>
    <x v="1"/>
    <n v="61.3"/>
    <n v="122.6"/>
    <x v="17"/>
    <d v="2025-01-19T00:00:00"/>
    <x v="2"/>
    <x v="1"/>
    <x v="0"/>
    <x v="0"/>
    <x v="6"/>
    <x v="3"/>
    <x v="2"/>
    <x v="2"/>
  </r>
  <r>
    <s v="TX500406"/>
    <x v="8"/>
    <x v="1"/>
    <n v="64.7"/>
    <n v="129.4"/>
    <x v="17"/>
    <d v="2025-01-20T00:00:00"/>
    <x v="2"/>
    <x v="3"/>
    <x v="2"/>
    <x v="0"/>
    <x v="6"/>
    <x v="1"/>
    <x v="2"/>
    <x v="2"/>
  </r>
  <r>
    <s v="TX500407"/>
    <x v="7"/>
    <x v="12"/>
    <n v="91.4"/>
    <n v="365.6"/>
    <x v="17"/>
    <d v="2025-01-20T00:00:00"/>
    <x v="2"/>
    <x v="0"/>
    <x v="0"/>
    <x v="0"/>
    <x v="8"/>
    <x v="1"/>
    <x v="2"/>
    <x v="2"/>
  </r>
  <r>
    <s v="TX500408"/>
    <x v="0"/>
    <x v="1"/>
    <n v="33.1"/>
    <n v="66.2"/>
    <x v="18"/>
    <d v="2025-01-20T00:00:00"/>
    <x v="1"/>
    <x v="0"/>
    <x v="2"/>
    <x v="0"/>
    <x v="8"/>
    <x v="3"/>
    <x v="3"/>
    <x v="1"/>
  </r>
  <r>
    <s v="TX500409"/>
    <x v="3"/>
    <x v="1"/>
    <n v="105.6"/>
    <n v="211.2"/>
    <x v="18"/>
    <d v="2025-01-20T00:00:00"/>
    <x v="1"/>
    <x v="2"/>
    <x v="1"/>
    <x v="0"/>
    <x v="8"/>
    <x v="3"/>
    <x v="3"/>
    <x v="1"/>
  </r>
  <r>
    <s v="TX500410"/>
    <x v="10"/>
    <x v="2"/>
    <n v="46.4"/>
    <n v="139.19999999999999"/>
    <x v="18"/>
    <d v="2025-01-20T00:00:00"/>
    <x v="1"/>
    <x v="2"/>
    <x v="0"/>
    <x v="0"/>
    <x v="9"/>
    <x v="3"/>
    <x v="3"/>
    <x v="1"/>
  </r>
  <r>
    <s v="TX500411"/>
    <x v="9"/>
    <x v="21"/>
    <n v="35.299999999999997"/>
    <n v="494.19999999999993"/>
    <x v="18"/>
    <d v="2025-01-22T00:00:00"/>
    <x v="2"/>
    <x v="4"/>
    <x v="1"/>
    <x v="0"/>
    <x v="11"/>
    <x v="2"/>
    <x v="3"/>
    <x v="2"/>
  </r>
  <r>
    <s v="TX500412"/>
    <x v="0"/>
    <x v="1"/>
    <n v="16.100000000000001"/>
    <n v="32.200000000000003"/>
    <x v="18"/>
    <d v="2025-01-21T00:00:00"/>
    <x v="1"/>
    <x v="3"/>
    <x v="2"/>
    <x v="0"/>
    <x v="32"/>
    <x v="1"/>
    <x v="3"/>
    <x v="1"/>
  </r>
  <r>
    <s v="TX500413"/>
    <x v="4"/>
    <x v="1"/>
    <n v="27.9"/>
    <n v="55.8"/>
    <x v="18"/>
    <d v="2025-01-22T00:00:00"/>
    <x v="1"/>
    <x v="0"/>
    <x v="0"/>
    <x v="0"/>
    <x v="13"/>
    <x v="2"/>
    <x v="3"/>
    <x v="1"/>
  </r>
  <r>
    <s v="TX500414"/>
    <x v="8"/>
    <x v="0"/>
    <n v="47.1"/>
    <n v="47.1"/>
    <x v="18"/>
    <d v="2025-01-27T00:00:00"/>
    <x v="2"/>
    <x v="1"/>
    <x v="0"/>
    <x v="0"/>
    <x v="2"/>
    <x v="9"/>
    <x v="3"/>
    <x v="2"/>
  </r>
  <r>
    <s v="TX500415"/>
    <x v="6"/>
    <x v="1"/>
    <n v="85"/>
    <n v="170"/>
    <x v="18"/>
    <d v="2025-01-22T00:00:00"/>
    <x v="0"/>
    <x v="2"/>
    <x v="2"/>
    <x v="0"/>
    <x v="22"/>
    <x v="2"/>
    <x v="3"/>
    <x v="0"/>
  </r>
  <r>
    <s v="TX500416"/>
    <x v="18"/>
    <x v="1"/>
    <n v="89"/>
    <n v="178"/>
    <x v="18"/>
    <d v="2025-01-21T00:00:00"/>
    <x v="2"/>
    <x v="0"/>
    <x v="0"/>
    <x v="0"/>
    <x v="3"/>
    <x v="1"/>
    <x v="3"/>
    <x v="2"/>
  </r>
  <r>
    <s v="TX500417"/>
    <x v="16"/>
    <x v="2"/>
    <n v="36.6"/>
    <n v="109.80000000000001"/>
    <x v="18"/>
    <d v="2025-01-20T00:00:00"/>
    <x v="3"/>
    <x v="3"/>
    <x v="2"/>
    <x v="0"/>
    <x v="3"/>
    <x v="3"/>
    <x v="3"/>
    <x v="3"/>
  </r>
  <r>
    <s v="TX500418"/>
    <x v="6"/>
    <x v="3"/>
    <n v="43.5"/>
    <n v="304.5"/>
    <x v="18"/>
    <d v="2025-01-20T00:00:00"/>
    <x v="1"/>
    <x v="1"/>
    <x v="2"/>
    <x v="0"/>
    <x v="3"/>
    <x v="3"/>
    <x v="3"/>
    <x v="1"/>
  </r>
  <r>
    <s v="TX500419"/>
    <x v="9"/>
    <x v="10"/>
    <n v="30.5"/>
    <n v="579.5"/>
    <x v="18"/>
    <d v="2025-01-19T00:00:00"/>
    <x v="2"/>
    <x v="3"/>
    <x v="0"/>
    <x v="0"/>
    <x v="3"/>
    <x v="7"/>
    <x v="3"/>
    <x v="2"/>
  </r>
  <r>
    <s v="TX500420"/>
    <x v="1"/>
    <x v="1"/>
    <n v="107.7"/>
    <n v="215.4"/>
    <x v="18"/>
    <d v="2025-01-23T00:00:00"/>
    <x v="1"/>
    <x v="3"/>
    <x v="4"/>
    <x v="0"/>
    <x v="3"/>
    <x v="5"/>
    <x v="3"/>
    <x v="1"/>
  </r>
  <r>
    <s v="TX500421"/>
    <x v="17"/>
    <x v="18"/>
    <n v="57.1"/>
    <n v="1484.6000000000001"/>
    <x v="18"/>
    <d v="2025-01-20T00:00:00"/>
    <x v="1"/>
    <x v="1"/>
    <x v="0"/>
    <x v="0"/>
    <x v="3"/>
    <x v="3"/>
    <x v="3"/>
    <x v="1"/>
  </r>
  <r>
    <s v="TX500422"/>
    <x v="2"/>
    <x v="7"/>
    <n v="111.7"/>
    <n v="1117"/>
    <x v="18"/>
    <d v="2025-01-20T00:00:00"/>
    <x v="2"/>
    <x v="4"/>
    <x v="2"/>
    <x v="0"/>
    <x v="3"/>
    <x v="3"/>
    <x v="3"/>
    <x v="2"/>
  </r>
  <r>
    <s v="TX500423"/>
    <x v="18"/>
    <x v="3"/>
    <n v="44.3"/>
    <n v="310.09999999999997"/>
    <x v="18"/>
    <d v="2025-01-22T00:00:00"/>
    <x v="1"/>
    <x v="3"/>
    <x v="2"/>
    <x v="0"/>
    <x v="3"/>
    <x v="2"/>
    <x v="3"/>
    <x v="1"/>
  </r>
  <r>
    <s v="TX500424"/>
    <x v="2"/>
    <x v="8"/>
    <n v="95.8"/>
    <n v="766.4"/>
    <x v="18"/>
    <d v="2025-01-25T00:00:00"/>
    <x v="3"/>
    <x v="0"/>
    <x v="0"/>
    <x v="0"/>
    <x v="3"/>
    <x v="4"/>
    <x v="3"/>
    <x v="3"/>
  </r>
  <r>
    <s v="TX500425"/>
    <x v="10"/>
    <x v="3"/>
    <n v="22.6"/>
    <n v="158.20000000000002"/>
    <x v="18"/>
    <d v="2025-01-22T00:00:00"/>
    <x v="2"/>
    <x v="3"/>
    <x v="1"/>
    <x v="0"/>
    <x v="3"/>
    <x v="2"/>
    <x v="3"/>
    <x v="2"/>
  </r>
  <r>
    <s v="TX500426"/>
    <x v="8"/>
    <x v="8"/>
    <n v="25.6"/>
    <n v="204.8"/>
    <x v="18"/>
    <d v="2025-01-21T00:00:00"/>
    <x v="2"/>
    <x v="4"/>
    <x v="0"/>
    <x v="0"/>
    <x v="3"/>
    <x v="1"/>
    <x v="3"/>
    <x v="2"/>
  </r>
  <r>
    <s v="TX500427"/>
    <x v="6"/>
    <x v="27"/>
    <n v="54.3"/>
    <n v="868.8"/>
    <x v="18"/>
    <d v="2025-01-22T00:00:00"/>
    <x v="2"/>
    <x v="4"/>
    <x v="0"/>
    <x v="0"/>
    <x v="3"/>
    <x v="2"/>
    <x v="3"/>
    <x v="2"/>
  </r>
  <r>
    <s v="TX500428"/>
    <x v="18"/>
    <x v="15"/>
    <n v="51.3"/>
    <n v="666.9"/>
    <x v="18"/>
    <d v="2025-01-21T00:00:00"/>
    <x v="1"/>
    <x v="0"/>
    <x v="2"/>
    <x v="0"/>
    <x v="3"/>
    <x v="1"/>
    <x v="3"/>
    <x v="1"/>
  </r>
  <r>
    <s v="TX500429"/>
    <x v="0"/>
    <x v="8"/>
    <n v="25.6"/>
    <n v="204.8"/>
    <x v="18"/>
    <d v="2025-01-20T00:00:00"/>
    <x v="2"/>
    <x v="1"/>
    <x v="1"/>
    <x v="0"/>
    <x v="3"/>
    <x v="3"/>
    <x v="3"/>
    <x v="2"/>
  </r>
  <r>
    <s v="TX500430"/>
    <x v="0"/>
    <x v="1"/>
    <n v="15.6"/>
    <n v="31.2"/>
    <x v="18"/>
    <d v="2025-01-20T00:00:00"/>
    <x v="2"/>
    <x v="2"/>
    <x v="2"/>
    <x v="0"/>
    <x v="3"/>
    <x v="3"/>
    <x v="3"/>
    <x v="2"/>
  </r>
  <r>
    <s v="TX500431"/>
    <x v="8"/>
    <x v="2"/>
    <n v="30.3"/>
    <n v="90.9"/>
    <x v="18"/>
    <d v="2025-01-23T00:00:00"/>
    <x v="2"/>
    <x v="0"/>
    <x v="1"/>
    <x v="0"/>
    <x v="3"/>
    <x v="5"/>
    <x v="3"/>
    <x v="2"/>
  </r>
  <r>
    <s v="TX500432"/>
    <x v="12"/>
    <x v="1"/>
    <n v="30.3"/>
    <n v="60.6"/>
    <x v="18"/>
    <d v="2025-01-24T00:00:00"/>
    <x v="2"/>
    <x v="0"/>
    <x v="2"/>
    <x v="0"/>
    <x v="37"/>
    <x v="0"/>
    <x v="3"/>
    <x v="2"/>
  </r>
  <r>
    <s v="TX500433"/>
    <x v="10"/>
    <x v="2"/>
    <n v="53"/>
    <n v="159"/>
    <x v="18"/>
    <d v="2025-01-26T00:00:00"/>
    <x v="2"/>
    <x v="2"/>
    <x v="0"/>
    <x v="0"/>
    <x v="24"/>
    <x v="6"/>
    <x v="3"/>
    <x v="2"/>
  </r>
  <r>
    <s v="TX500434"/>
    <x v="5"/>
    <x v="16"/>
    <n v="59.9"/>
    <n v="1078.2"/>
    <x v="18"/>
    <d v="2025-01-22T00:00:00"/>
    <x v="1"/>
    <x v="2"/>
    <x v="4"/>
    <x v="0"/>
    <x v="25"/>
    <x v="2"/>
    <x v="3"/>
    <x v="1"/>
  </r>
  <r>
    <s v="TX500435"/>
    <x v="9"/>
    <x v="1"/>
    <n v="45.7"/>
    <n v="91.4"/>
    <x v="18"/>
    <d v="2025-01-20T00:00:00"/>
    <x v="2"/>
    <x v="1"/>
    <x v="2"/>
    <x v="0"/>
    <x v="6"/>
    <x v="3"/>
    <x v="3"/>
    <x v="2"/>
  </r>
  <r>
    <s v="TX500436"/>
    <x v="8"/>
    <x v="12"/>
    <n v="46.1"/>
    <n v="184.4"/>
    <x v="18"/>
    <d v="2025-01-20T00:00:00"/>
    <x v="1"/>
    <x v="0"/>
    <x v="0"/>
    <x v="0"/>
    <x v="6"/>
    <x v="3"/>
    <x v="3"/>
    <x v="1"/>
  </r>
  <r>
    <s v="TX500437"/>
    <x v="8"/>
    <x v="2"/>
    <n v="17.5"/>
    <n v="52.5"/>
    <x v="18"/>
    <d v="2025-01-20T00:00:00"/>
    <x v="2"/>
    <x v="0"/>
    <x v="2"/>
    <x v="0"/>
    <x v="8"/>
    <x v="3"/>
    <x v="3"/>
    <x v="2"/>
  </r>
  <r>
    <s v="TX500438"/>
    <x v="10"/>
    <x v="2"/>
    <n v="36.5"/>
    <n v="109.5"/>
    <x v="18"/>
    <d v="2025-01-30T00:00:00"/>
    <x v="1"/>
    <x v="2"/>
    <x v="0"/>
    <x v="0"/>
    <x v="8"/>
    <x v="11"/>
    <x v="3"/>
    <x v="1"/>
  </r>
  <r>
    <s v="TX500439"/>
    <x v="8"/>
    <x v="1"/>
    <n v="47.5"/>
    <n v="95"/>
    <x v="19"/>
    <d v="2025-01-22T00:00:00"/>
    <x v="2"/>
    <x v="1"/>
    <x v="0"/>
    <x v="0"/>
    <x v="8"/>
    <x v="1"/>
    <x v="3"/>
    <x v="2"/>
  </r>
  <r>
    <s v="TX500440"/>
    <x v="6"/>
    <x v="9"/>
    <n v="45.6"/>
    <n v="228"/>
    <x v="19"/>
    <d v="2025-01-22T00:00:00"/>
    <x v="2"/>
    <x v="0"/>
    <x v="2"/>
    <x v="0"/>
    <x v="8"/>
    <x v="1"/>
    <x v="3"/>
    <x v="2"/>
  </r>
  <r>
    <s v="TX500441"/>
    <x v="9"/>
    <x v="1"/>
    <n v="50.5"/>
    <n v="101"/>
    <x v="19"/>
    <d v="2025-01-22T00:00:00"/>
    <x v="1"/>
    <x v="0"/>
    <x v="1"/>
    <x v="0"/>
    <x v="17"/>
    <x v="1"/>
    <x v="3"/>
    <x v="1"/>
  </r>
  <r>
    <s v="TX500442"/>
    <x v="2"/>
    <x v="7"/>
    <n v="99.8"/>
    <n v="998"/>
    <x v="19"/>
    <d v="2025-01-23T00:00:00"/>
    <x v="2"/>
    <x v="2"/>
    <x v="1"/>
    <x v="0"/>
    <x v="17"/>
    <x v="2"/>
    <x v="3"/>
    <x v="2"/>
  </r>
  <r>
    <s v="TX500443"/>
    <x v="8"/>
    <x v="20"/>
    <n v="19.2"/>
    <n v="288"/>
    <x v="19"/>
    <d v="2025-01-22T00:00:00"/>
    <x v="3"/>
    <x v="4"/>
    <x v="1"/>
    <x v="0"/>
    <x v="26"/>
    <x v="1"/>
    <x v="3"/>
    <x v="3"/>
  </r>
  <r>
    <s v="TX500444"/>
    <x v="17"/>
    <x v="2"/>
    <n v="22.6"/>
    <n v="67.800000000000011"/>
    <x v="19"/>
    <d v="2025-01-21T00:00:00"/>
    <x v="1"/>
    <x v="1"/>
    <x v="0"/>
    <x v="0"/>
    <x v="11"/>
    <x v="3"/>
    <x v="3"/>
    <x v="1"/>
  </r>
  <r>
    <s v="TX500445"/>
    <x v="1"/>
    <x v="20"/>
    <n v="126.9"/>
    <n v="1903.5"/>
    <x v="19"/>
    <d v="2025-01-22T00:00:00"/>
    <x v="2"/>
    <x v="0"/>
    <x v="2"/>
    <x v="0"/>
    <x v="11"/>
    <x v="1"/>
    <x v="3"/>
    <x v="2"/>
  </r>
  <r>
    <s v="TX500446"/>
    <x v="2"/>
    <x v="1"/>
    <n v="100.3"/>
    <n v="200.6"/>
    <x v="19"/>
    <d v="2025-01-21T00:00:00"/>
    <x v="2"/>
    <x v="0"/>
    <x v="1"/>
    <x v="0"/>
    <x v="11"/>
    <x v="3"/>
    <x v="3"/>
    <x v="2"/>
  </r>
  <r>
    <s v="TX500447"/>
    <x v="4"/>
    <x v="16"/>
    <n v="24.6"/>
    <n v="442.8"/>
    <x v="19"/>
    <d v="2025-01-21T00:00:00"/>
    <x v="2"/>
    <x v="4"/>
    <x v="0"/>
    <x v="0"/>
    <x v="13"/>
    <x v="3"/>
    <x v="3"/>
    <x v="2"/>
  </r>
  <r>
    <s v="TX500448"/>
    <x v="6"/>
    <x v="1"/>
    <n v="47.3"/>
    <n v="94.6"/>
    <x v="19"/>
    <d v="2025-01-21T00:00:00"/>
    <x v="1"/>
    <x v="1"/>
    <x v="2"/>
    <x v="0"/>
    <x v="13"/>
    <x v="3"/>
    <x v="3"/>
    <x v="1"/>
  </r>
  <r>
    <s v="TX500449"/>
    <x v="6"/>
    <x v="3"/>
    <n v="40.799999999999997"/>
    <n v="285.59999999999997"/>
    <x v="19"/>
    <d v="2025-01-23T00:00:00"/>
    <x v="2"/>
    <x v="2"/>
    <x v="2"/>
    <x v="0"/>
    <x v="21"/>
    <x v="2"/>
    <x v="3"/>
    <x v="2"/>
  </r>
  <r>
    <s v="TX500450"/>
    <x v="8"/>
    <x v="8"/>
    <n v="49.2"/>
    <n v="393.6"/>
    <x v="19"/>
    <d v="2025-01-22T00:00:00"/>
    <x v="2"/>
    <x v="0"/>
    <x v="0"/>
    <x v="0"/>
    <x v="1"/>
    <x v="1"/>
    <x v="3"/>
    <x v="2"/>
  </r>
  <r>
    <s v="TX500451"/>
    <x v="8"/>
    <x v="0"/>
    <n v="28.5"/>
    <n v="28.5"/>
    <x v="19"/>
    <d v="2025-01-22T00:00:00"/>
    <x v="0"/>
    <x v="2"/>
    <x v="1"/>
    <x v="0"/>
    <x v="3"/>
    <x v="1"/>
    <x v="3"/>
    <x v="0"/>
  </r>
  <r>
    <s v="TX500452"/>
    <x v="18"/>
    <x v="1"/>
    <n v="36.799999999999997"/>
    <n v="73.599999999999994"/>
    <x v="19"/>
    <d v="2025-01-26T00:00:00"/>
    <x v="2"/>
    <x v="0"/>
    <x v="2"/>
    <x v="0"/>
    <x v="3"/>
    <x v="4"/>
    <x v="3"/>
    <x v="2"/>
  </r>
  <r>
    <s v="TX500453"/>
    <x v="7"/>
    <x v="2"/>
    <n v="33.5"/>
    <n v="100.5"/>
    <x v="19"/>
    <d v="2025-01-21T00:00:00"/>
    <x v="2"/>
    <x v="0"/>
    <x v="1"/>
    <x v="0"/>
    <x v="3"/>
    <x v="3"/>
    <x v="3"/>
    <x v="2"/>
  </r>
  <r>
    <s v="TX500454"/>
    <x v="6"/>
    <x v="13"/>
    <n v="62.5"/>
    <n v="375"/>
    <x v="19"/>
    <d v="2025-01-22T00:00:00"/>
    <x v="2"/>
    <x v="0"/>
    <x v="0"/>
    <x v="0"/>
    <x v="3"/>
    <x v="1"/>
    <x v="3"/>
    <x v="2"/>
  </r>
  <r>
    <s v="TX500455"/>
    <x v="8"/>
    <x v="29"/>
    <n v="47.9"/>
    <n v="1916"/>
    <x v="19"/>
    <d v="2025-01-21T00:00:00"/>
    <x v="2"/>
    <x v="3"/>
    <x v="0"/>
    <x v="0"/>
    <x v="3"/>
    <x v="3"/>
    <x v="3"/>
    <x v="2"/>
  </r>
  <r>
    <s v="TX500456"/>
    <x v="6"/>
    <x v="13"/>
    <n v="92.9"/>
    <n v="557.40000000000009"/>
    <x v="19"/>
    <d v="2025-01-31T00:00:00"/>
    <x v="2"/>
    <x v="0"/>
    <x v="4"/>
    <x v="0"/>
    <x v="3"/>
    <x v="11"/>
    <x v="3"/>
    <x v="2"/>
  </r>
  <r>
    <s v="TX500457"/>
    <x v="12"/>
    <x v="2"/>
    <n v="44.1"/>
    <n v="132.30000000000001"/>
    <x v="19"/>
    <d v="2025-01-20T00:00:00"/>
    <x v="2"/>
    <x v="1"/>
    <x v="1"/>
    <x v="0"/>
    <x v="43"/>
    <x v="7"/>
    <x v="3"/>
    <x v="2"/>
  </r>
  <r>
    <s v="TX500458"/>
    <x v="0"/>
    <x v="0"/>
    <n v="11.4"/>
    <n v="11.4"/>
    <x v="20"/>
    <d v="2025-01-23T00:00:00"/>
    <x v="2"/>
    <x v="2"/>
    <x v="0"/>
    <x v="0"/>
    <x v="5"/>
    <x v="1"/>
    <x v="3"/>
    <x v="2"/>
  </r>
  <r>
    <s v="TX500459"/>
    <x v="6"/>
    <x v="0"/>
    <n v="83.7"/>
    <n v="83.7"/>
    <x v="20"/>
    <d v="2025-01-23T00:00:00"/>
    <x v="2"/>
    <x v="0"/>
    <x v="2"/>
    <x v="0"/>
    <x v="6"/>
    <x v="1"/>
    <x v="3"/>
    <x v="2"/>
  </r>
  <r>
    <s v="TX500460"/>
    <x v="10"/>
    <x v="1"/>
    <n v="23.2"/>
    <n v="46.4"/>
    <x v="20"/>
    <d v="2025-01-22T00:00:00"/>
    <x v="1"/>
    <x v="2"/>
    <x v="0"/>
    <x v="0"/>
    <x v="8"/>
    <x v="3"/>
    <x v="3"/>
    <x v="1"/>
  </r>
  <r>
    <s v="TX500461"/>
    <x v="2"/>
    <x v="0"/>
    <n v="162.1"/>
    <n v="162.1"/>
    <x v="20"/>
    <d v="2025-01-24T00:00:00"/>
    <x v="2"/>
    <x v="0"/>
    <x v="2"/>
    <x v="0"/>
    <x v="9"/>
    <x v="2"/>
    <x v="3"/>
    <x v="2"/>
  </r>
  <r>
    <s v="TX500462"/>
    <x v="6"/>
    <x v="12"/>
    <n v="49.2"/>
    <n v="196.8"/>
    <x v="20"/>
    <d v="2025-01-25T00:00:00"/>
    <x v="1"/>
    <x v="1"/>
    <x v="0"/>
    <x v="0"/>
    <x v="9"/>
    <x v="5"/>
    <x v="3"/>
    <x v="1"/>
  </r>
  <r>
    <s v="TX500463"/>
    <x v="1"/>
    <x v="1"/>
    <n v="61"/>
    <n v="122"/>
    <x v="20"/>
    <d v="2025-01-22T00:00:00"/>
    <x v="1"/>
    <x v="3"/>
    <x v="0"/>
    <x v="0"/>
    <x v="10"/>
    <x v="3"/>
    <x v="3"/>
    <x v="1"/>
  </r>
  <r>
    <s v="TX500464"/>
    <x v="2"/>
    <x v="7"/>
    <n v="53.1"/>
    <n v="531"/>
    <x v="20"/>
    <d v="2025-01-23T00:00:00"/>
    <x v="1"/>
    <x v="0"/>
    <x v="0"/>
    <x v="0"/>
    <x v="11"/>
    <x v="1"/>
    <x v="3"/>
    <x v="1"/>
  </r>
  <r>
    <s v="TX500465"/>
    <x v="4"/>
    <x v="1"/>
    <n v="22.4"/>
    <n v="44.8"/>
    <x v="20"/>
    <d v="2025-01-23T00:00:00"/>
    <x v="0"/>
    <x v="1"/>
    <x v="2"/>
    <x v="0"/>
    <x v="13"/>
    <x v="1"/>
    <x v="3"/>
    <x v="0"/>
  </r>
  <r>
    <s v="TX500466"/>
    <x v="1"/>
    <x v="9"/>
    <n v="75.3"/>
    <n v="376.5"/>
    <x v="20"/>
    <d v="2025-01-22T00:00:00"/>
    <x v="1"/>
    <x v="0"/>
    <x v="0"/>
    <x v="0"/>
    <x v="21"/>
    <x v="3"/>
    <x v="3"/>
    <x v="1"/>
  </r>
  <r>
    <s v="TX500467"/>
    <x v="6"/>
    <x v="0"/>
    <n v="48.5"/>
    <n v="48.5"/>
    <x v="20"/>
    <d v="2025-01-22T00:00:00"/>
    <x v="2"/>
    <x v="0"/>
    <x v="1"/>
    <x v="0"/>
    <x v="21"/>
    <x v="3"/>
    <x v="3"/>
    <x v="2"/>
  </r>
  <r>
    <s v="TX500468"/>
    <x v="6"/>
    <x v="0"/>
    <n v="42.6"/>
    <n v="42.6"/>
    <x v="20"/>
    <d v="2025-01-25T00:00:00"/>
    <x v="2"/>
    <x v="3"/>
    <x v="0"/>
    <x v="0"/>
    <x v="1"/>
    <x v="5"/>
    <x v="3"/>
    <x v="2"/>
  </r>
  <r>
    <s v="TX500469"/>
    <x v="5"/>
    <x v="9"/>
    <n v="49"/>
    <n v="245"/>
    <x v="20"/>
    <d v="2025-01-22T00:00:00"/>
    <x v="1"/>
    <x v="0"/>
    <x v="0"/>
    <x v="0"/>
    <x v="22"/>
    <x v="3"/>
    <x v="3"/>
    <x v="1"/>
  </r>
  <r>
    <s v="TX500470"/>
    <x v="8"/>
    <x v="2"/>
    <n v="31.3"/>
    <n v="93.9"/>
    <x v="20"/>
    <d v="2025-01-22T00:00:00"/>
    <x v="1"/>
    <x v="2"/>
    <x v="1"/>
    <x v="0"/>
    <x v="3"/>
    <x v="3"/>
    <x v="3"/>
    <x v="1"/>
  </r>
  <r>
    <s v="TX500471"/>
    <x v="2"/>
    <x v="1"/>
    <n v="85.4"/>
    <n v="170.8"/>
    <x v="20"/>
    <d v="2025-01-22T00:00:00"/>
    <x v="2"/>
    <x v="2"/>
    <x v="0"/>
    <x v="0"/>
    <x v="3"/>
    <x v="3"/>
    <x v="3"/>
    <x v="2"/>
  </r>
  <r>
    <s v="TX500472"/>
    <x v="8"/>
    <x v="12"/>
    <n v="40"/>
    <n v="160"/>
    <x v="20"/>
    <d v="2025-01-22T00:00:00"/>
    <x v="3"/>
    <x v="0"/>
    <x v="2"/>
    <x v="0"/>
    <x v="3"/>
    <x v="3"/>
    <x v="3"/>
    <x v="3"/>
  </r>
  <r>
    <s v="TX500473"/>
    <x v="5"/>
    <x v="1"/>
    <n v="38.5"/>
    <n v="77"/>
    <x v="20"/>
    <d v="2025-01-24T00:00:00"/>
    <x v="1"/>
    <x v="1"/>
    <x v="2"/>
    <x v="0"/>
    <x v="3"/>
    <x v="2"/>
    <x v="3"/>
    <x v="1"/>
  </r>
  <r>
    <s v="TX500474"/>
    <x v="2"/>
    <x v="1"/>
    <n v="57.8"/>
    <n v="115.6"/>
    <x v="20"/>
    <d v="2025-01-22T00:00:00"/>
    <x v="0"/>
    <x v="0"/>
    <x v="0"/>
    <x v="0"/>
    <x v="3"/>
    <x v="3"/>
    <x v="3"/>
    <x v="0"/>
  </r>
  <r>
    <s v="TX500475"/>
    <x v="8"/>
    <x v="0"/>
    <n v="19.2"/>
    <n v="19.2"/>
    <x v="20"/>
    <d v="2025-01-22T00:00:00"/>
    <x v="2"/>
    <x v="0"/>
    <x v="4"/>
    <x v="0"/>
    <x v="3"/>
    <x v="3"/>
    <x v="3"/>
    <x v="2"/>
  </r>
  <r>
    <s v="TX500476"/>
    <x v="6"/>
    <x v="13"/>
    <n v="114.8"/>
    <n v="688.8"/>
    <x v="20"/>
    <d v="2025-01-24T00:00:00"/>
    <x v="1"/>
    <x v="1"/>
    <x v="1"/>
    <x v="0"/>
    <x v="3"/>
    <x v="2"/>
    <x v="3"/>
    <x v="1"/>
  </r>
  <r>
    <s v="TX500477"/>
    <x v="10"/>
    <x v="3"/>
    <n v="48.4"/>
    <n v="338.8"/>
    <x v="20"/>
    <d v="2025-01-24T00:00:00"/>
    <x v="2"/>
    <x v="3"/>
    <x v="1"/>
    <x v="0"/>
    <x v="3"/>
    <x v="2"/>
    <x v="3"/>
    <x v="2"/>
  </r>
  <r>
    <s v="TX500478"/>
    <x v="9"/>
    <x v="9"/>
    <n v="73.2"/>
    <n v="366"/>
    <x v="20"/>
    <d v="2025-01-22T00:00:00"/>
    <x v="2"/>
    <x v="1"/>
    <x v="4"/>
    <x v="0"/>
    <x v="3"/>
    <x v="3"/>
    <x v="3"/>
    <x v="2"/>
  </r>
  <r>
    <s v="TX500479"/>
    <x v="15"/>
    <x v="1"/>
    <n v="48.6"/>
    <n v="97.2"/>
    <x v="20"/>
    <d v="2025-01-25T00:00:00"/>
    <x v="2"/>
    <x v="3"/>
    <x v="0"/>
    <x v="0"/>
    <x v="3"/>
    <x v="5"/>
    <x v="3"/>
    <x v="2"/>
  </r>
  <r>
    <s v="TX500480"/>
    <x v="0"/>
    <x v="13"/>
    <n v="48.7"/>
    <n v="292.20000000000005"/>
    <x v="20"/>
    <d v="2025-01-22T00:00:00"/>
    <x v="1"/>
    <x v="0"/>
    <x v="0"/>
    <x v="0"/>
    <x v="3"/>
    <x v="3"/>
    <x v="3"/>
    <x v="1"/>
  </r>
  <r>
    <s v="TX500481"/>
    <x v="4"/>
    <x v="1"/>
    <n v="32.200000000000003"/>
    <n v="64.400000000000006"/>
    <x v="20"/>
    <d v="2025-01-24T00:00:00"/>
    <x v="1"/>
    <x v="2"/>
    <x v="2"/>
    <x v="0"/>
    <x v="3"/>
    <x v="2"/>
    <x v="3"/>
    <x v="1"/>
  </r>
  <r>
    <s v="TX500482"/>
    <x v="15"/>
    <x v="8"/>
    <n v="25.8"/>
    <n v="206.4"/>
    <x v="20"/>
    <d v="2025-01-22T00:00:00"/>
    <x v="1"/>
    <x v="0"/>
    <x v="0"/>
    <x v="0"/>
    <x v="37"/>
    <x v="3"/>
    <x v="3"/>
    <x v="1"/>
  </r>
  <r>
    <s v="TX500483"/>
    <x v="6"/>
    <x v="1"/>
    <n v="94.8"/>
    <n v="189.6"/>
    <x v="21"/>
    <d v="2025-01-25T00:00:00"/>
    <x v="2"/>
    <x v="1"/>
    <x v="1"/>
    <x v="0"/>
    <x v="25"/>
    <x v="2"/>
    <x v="3"/>
    <x v="2"/>
  </r>
  <r>
    <s v="TX500484"/>
    <x v="15"/>
    <x v="30"/>
    <n v="56.8"/>
    <n v="1420"/>
    <x v="21"/>
    <d v="2025-01-25T00:00:00"/>
    <x v="1"/>
    <x v="0"/>
    <x v="0"/>
    <x v="0"/>
    <x v="25"/>
    <x v="2"/>
    <x v="3"/>
    <x v="1"/>
  </r>
  <r>
    <s v="TX500485"/>
    <x v="8"/>
    <x v="27"/>
    <n v="18.3"/>
    <n v="292.8"/>
    <x v="21"/>
    <d v="2025-01-29T00:00:00"/>
    <x v="2"/>
    <x v="2"/>
    <x v="2"/>
    <x v="0"/>
    <x v="23"/>
    <x v="6"/>
    <x v="3"/>
    <x v="2"/>
  </r>
  <r>
    <s v="TX500486"/>
    <x v="0"/>
    <x v="2"/>
    <n v="16.8"/>
    <n v="50.400000000000006"/>
    <x v="21"/>
    <d v="2025-01-27T00:00:00"/>
    <x v="2"/>
    <x v="2"/>
    <x v="2"/>
    <x v="0"/>
    <x v="8"/>
    <x v="0"/>
    <x v="3"/>
    <x v="2"/>
  </r>
  <r>
    <s v="TX500487"/>
    <x v="5"/>
    <x v="5"/>
    <n v="35.799999999999997"/>
    <n v="393.79999999999995"/>
    <x v="21"/>
    <d v="2025-01-23T00:00:00"/>
    <x v="1"/>
    <x v="1"/>
    <x v="0"/>
    <x v="0"/>
    <x v="17"/>
    <x v="3"/>
    <x v="3"/>
    <x v="1"/>
  </r>
  <r>
    <s v="TX500488"/>
    <x v="18"/>
    <x v="0"/>
    <n v="64.900000000000006"/>
    <n v="64.900000000000006"/>
    <x v="21"/>
    <d v="2025-01-23T00:00:00"/>
    <x v="1"/>
    <x v="0"/>
    <x v="1"/>
    <x v="0"/>
    <x v="17"/>
    <x v="3"/>
    <x v="3"/>
    <x v="1"/>
  </r>
  <r>
    <s v="TX500489"/>
    <x v="18"/>
    <x v="0"/>
    <n v="28.5"/>
    <n v="28.5"/>
    <x v="21"/>
    <d v="2025-01-24T00:00:00"/>
    <x v="0"/>
    <x v="1"/>
    <x v="0"/>
    <x v="0"/>
    <x v="9"/>
    <x v="1"/>
    <x v="3"/>
    <x v="0"/>
  </r>
  <r>
    <s v="TX500490"/>
    <x v="18"/>
    <x v="1"/>
    <n v="103.5"/>
    <n v="207"/>
    <x v="21"/>
    <d v="2025-01-24T00:00:00"/>
    <x v="2"/>
    <x v="1"/>
    <x v="0"/>
    <x v="0"/>
    <x v="10"/>
    <x v="1"/>
    <x v="3"/>
    <x v="2"/>
  </r>
  <r>
    <s v="TX500491"/>
    <x v="4"/>
    <x v="1"/>
    <n v="41.2"/>
    <n v="82.4"/>
    <x v="21"/>
    <d v="2025-01-23T00:00:00"/>
    <x v="2"/>
    <x v="1"/>
    <x v="0"/>
    <x v="0"/>
    <x v="10"/>
    <x v="3"/>
    <x v="3"/>
    <x v="2"/>
  </r>
  <r>
    <s v="TX500492"/>
    <x v="9"/>
    <x v="0"/>
    <n v="37.799999999999997"/>
    <n v="37.799999999999997"/>
    <x v="21"/>
    <d v="2025-01-24T00:00:00"/>
    <x v="2"/>
    <x v="3"/>
    <x v="3"/>
    <x v="0"/>
    <x v="11"/>
    <x v="1"/>
    <x v="3"/>
    <x v="2"/>
  </r>
  <r>
    <s v="TX500493"/>
    <x v="8"/>
    <x v="1"/>
    <n v="42.6"/>
    <n v="85.2"/>
    <x v="21"/>
    <d v="2025-01-24T00:00:00"/>
    <x v="2"/>
    <x v="4"/>
    <x v="0"/>
    <x v="0"/>
    <x v="11"/>
    <x v="1"/>
    <x v="3"/>
    <x v="2"/>
  </r>
  <r>
    <s v="TX500494"/>
    <x v="8"/>
    <x v="7"/>
    <n v="15.2"/>
    <n v="152"/>
    <x v="21"/>
    <d v="2025-01-24T00:00:00"/>
    <x v="2"/>
    <x v="2"/>
    <x v="0"/>
    <x v="0"/>
    <x v="11"/>
    <x v="1"/>
    <x v="3"/>
    <x v="2"/>
  </r>
  <r>
    <s v="TX500495"/>
    <x v="7"/>
    <x v="12"/>
    <n v="83.4"/>
    <n v="333.6"/>
    <x v="21"/>
    <d v="2025-01-23T00:00:00"/>
    <x v="2"/>
    <x v="2"/>
    <x v="1"/>
    <x v="0"/>
    <x v="18"/>
    <x v="3"/>
    <x v="3"/>
    <x v="2"/>
  </r>
  <r>
    <s v="TX500496"/>
    <x v="19"/>
    <x v="1"/>
    <n v="27.7"/>
    <n v="55.4"/>
    <x v="21"/>
    <d v="2025-01-23T00:00:00"/>
    <x v="2"/>
    <x v="0"/>
    <x v="1"/>
    <x v="0"/>
    <x v="13"/>
    <x v="3"/>
    <x v="3"/>
    <x v="2"/>
  </r>
  <r>
    <s v="TX500497"/>
    <x v="10"/>
    <x v="4"/>
    <n v="20.8"/>
    <n v="249.60000000000002"/>
    <x v="21"/>
    <d v="2025-01-23T00:00:00"/>
    <x v="1"/>
    <x v="3"/>
    <x v="0"/>
    <x v="0"/>
    <x v="13"/>
    <x v="3"/>
    <x v="3"/>
    <x v="1"/>
  </r>
  <r>
    <s v="TX500498"/>
    <x v="11"/>
    <x v="1"/>
    <n v="72.7"/>
    <n v="145.4"/>
    <x v="21"/>
    <d v="2025-01-26T00:00:00"/>
    <x v="2"/>
    <x v="4"/>
    <x v="2"/>
    <x v="0"/>
    <x v="44"/>
    <x v="5"/>
    <x v="3"/>
    <x v="2"/>
  </r>
  <r>
    <s v="TX500499"/>
    <x v="10"/>
    <x v="12"/>
    <n v="38.6"/>
    <n v="154.4"/>
    <x v="21"/>
    <d v="2025-01-23T00:00:00"/>
    <x v="1"/>
    <x v="0"/>
    <x v="2"/>
    <x v="0"/>
    <x v="22"/>
    <x v="3"/>
    <x v="3"/>
    <x v="1"/>
  </r>
  <r>
    <s v="TX500500"/>
    <x v="8"/>
    <x v="3"/>
    <n v="33.1"/>
    <n v="231.70000000000002"/>
    <x v="21"/>
    <d v="2025-01-23T00:00:00"/>
    <x v="3"/>
    <x v="4"/>
    <x v="3"/>
    <x v="0"/>
    <x v="3"/>
    <x v="3"/>
    <x v="3"/>
    <x v="3"/>
  </r>
  <r>
    <s v="TX500501"/>
    <x v="10"/>
    <x v="1"/>
    <n v="30.5"/>
    <n v="61"/>
    <x v="21"/>
    <d v="2025-01-22T00:00:00"/>
    <x v="0"/>
    <x v="1"/>
    <x v="1"/>
    <x v="0"/>
    <x v="3"/>
    <x v="7"/>
    <x v="3"/>
    <x v="0"/>
  </r>
  <r>
    <s v="TX500502"/>
    <x v="9"/>
    <x v="1"/>
    <n v="69.599999999999994"/>
    <n v="139.19999999999999"/>
    <x v="21"/>
    <d v="2025-01-23T00:00:00"/>
    <x v="1"/>
    <x v="0"/>
    <x v="1"/>
    <x v="0"/>
    <x v="3"/>
    <x v="3"/>
    <x v="3"/>
    <x v="1"/>
  </r>
  <r>
    <s v="TX500503"/>
    <x v="11"/>
    <x v="0"/>
    <n v="42.4"/>
    <n v="42.4"/>
    <x v="21"/>
    <d v="2025-01-26T00:00:00"/>
    <x v="2"/>
    <x v="1"/>
    <x v="0"/>
    <x v="0"/>
    <x v="3"/>
    <x v="5"/>
    <x v="3"/>
    <x v="2"/>
  </r>
  <r>
    <s v="TX500504"/>
    <x v="17"/>
    <x v="0"/>
    <n v="32.200000000000003"/>
    <n v="32.200000000000003"/>
    <x v="21"/>
    <d v="2025-01-25T00:00:00"/>
    <x v="2"/>
    <x v="2"/>
    <x v="1"/>
    <x v="0"/>
    <x v="3"/>
    <x v="2"/>
    <x v="3"/>
    <x v="2"/>
  </r>
  <r>
    <s v="TX500505"/>
    <x v="6"/>
    <x v="1"/>
    <n v="41.5"/>
    <n v="83"/>
    <x v="21"/>
    <d v="2025-01-25T00:00:00"/>
    <x v="2"/>
    <x v="0"/>
    <x v="2"/>
    <x v="0"/>
    <x v="3"/>
    <x v="2"/>
    <x v="3"/>
    <x v="2"/>
  </r>
  <r>
    <s v="TX500506"/>
    <x v="16"/>
    <x v="11"/>
    <n v="58.9"/>
    <n v="530.1"/>
    <x v="21"/>
    <d v="2025-01-26T00:00:00"/>
    <x v="2"/>
    <x v="3"/>
    <x v="0"/>
    <x v="0"/>
    <x v="3"/>
    <x v="5"/>
    <x v="3"/>
    <x v="2"/>
  </r>
  <r>
    <s v="TX500507"/>
    <x v="2"/>
    <x v="0"/>
    <n v="57.1"/>
    <n v="57.1"/>
    <x v="21"/>
    <d v="2025-01-25T00:00:00"/>
    <x v="2"/>
    <x v="1"/>
    <x v="0"/>
    <x v="0"/>
    <x v="3"/>
    <x v="2"/>
    <x v="3"/>
    <x v="2"/>
  </r>
  <r>
    <s v="TX500508"/>
    <x v="6"/>
    <x v="0"/>
    <n v="57.2"/>
    <n v="57.2"/>
    <x v="21"/>
    <d v="2025-01-24T00:00:00"/>
    <x v="1"/>
    <x v="1"/>
    <x v="0"/>
    <x v="0"/>
    <x v="3"/>
    <x v="1"/>
    <x v="3"/>
    <x v="1"/>
  </r>
  <r>
    <s v="TX500509"/>
    <x v="8"/>
    <x v="1"/>
    <n v="35.1"/>
    <n v="70.2"/>
    <x v="21"/>
    <d v="2025-01-23T00:00:00"/>
    <x v="1"/>
    <x v="1"/>
    <x v="0"/>
    <x v="0"/>
    <x v="6"/>
    <x v="3"/>
    <x v="3"/>
    <x v="1"/>
  </r>
  <r>
    <s v="TX500510"/>
    <x v="1"/>
    <x v="0"/>
    <n v="52.1"/>
    <n v="52.1"/>
    <x v="21"/>
    <d v="2025-01-24T00:00:00"/>
    <x v="2"/>
    <x v="4"/>
    <x v="1"/>
    <x v="0"/>
    <x v="8"/>
    <x v="1"/>
    <x v="3"/>
    <x v="2"/>
  </r>
  <r>
    <s v="TX500511"/>
    <x v="13"/>
    <x v="2"/>
    <n v="59.8"/>
    <n v="179.39999999999998"/>
    <x v="21"/>
    <d v="2025-01-24T00:00:00"/>
    <x v="2"/>
    <x v="4"/>
    <x v="1"/>
    <x v="0"/>
    <x v="8"/>
    <x v="1"/>
    <x v="3"/>
    <x v="2"/>
  </r>
  <r>
    <s v="TX500512"/>
    <x v="3"/>
    <x v="12"/>
    <n v="83.3"/>
    <n v="333.2"/>
    <x v="21"/>
    <d v="2025-01-22T00:00:00"/>
    <x v="0"/>
    <x v="2"/>
    <x v="0"/>
    <x v="0"/>
    <x v="8"/>
    <x v="7"/>
    <x v="3"/>
    <x v="0"/>
  </r>
  <r>
    <s v="TX500513"/>
    <x v="15"/>
    <x v="4"/>
    <n v="41.3"/>
    <n v="495.59999999999997"/>
    <x v="21"/>
    <d v="2025-01-23T00:00:00"/>
    <x v="2"/>
    <x v="1"/>
    <x v="0"/>
    <x v="0"/>
    <x v="8"/>
    <x v="3"/>
    <x v="3"/>
    <x v="2"/>
  </r>
  <r>
    <s v="TX500514"/>
    <x v="8"/>
    <x v="9"/>
    <n v="16"/>
    <n v="80"/>
    <x v="21"/>
    <d v="2025-01-24T00:00:00"/>
    <x v="1"/>
    <x v="4"/>
    <x v="1"/>
    <x v="0"/>
    <x v="9"/>
    <x v="1"/>
    <x v="3"/>
    <x v="1"/>
  </r>
  <r>
    <s v="TX500515"/>
    <x v="10"/>
    <x v="1"/>
    <n v="20.8"/>
    <n v="41.6"/>
    <x v="22"/>
    <d v="2025-01-25T00:00:00"/>
    <x v="1"/>
    <x v="0"/>
    <x v="2"/>
    <x v="0"/>
    <x v="11"/>
    <x v="1"/>
    <x v="3"/>
    <x v="1"/>
  </r>
  <r>
    <s v="TX500516"/>
    <x v="8"/>
    <x v="31"/>
    <n v="27.1"/>
    <n v="758.80000000000007"/>
    <x v="22"/>
    <d v="2025-01-24T00:00:00"/>
    <x v="0"/>
    <x v="3"/>
    <x v="2"/>
    <x v="0"/>
    <x v="11"/>
    <x v="3"/>
    <x v="3"/>
    <x v="0"/>
  </r>
  <r>
    <s v="TX500517"/>
    <x v="10"/>
    <x v="1"/>
    <n v="38.9"/>
    <n v="77.8"/>
    <x v="22"/>
    <d v="2025-01-25T00:00:00"/>
    <x v="2"/>
    <x v="0"/>
    <x v="0"/>
    <x v="0"/>
    <x v="18"/>
    <x v="1"/>
    <x v="3"/>
    <x v="2"/>
  </r>
  <r>
    <s v="TX500518"/>
    <x v="0"/>
    <x v="1"/>
    <n v="10.8"/>
    <n v="21.6"/>
    <x v="22"/>
    <d v="2025-01-26T00:00:00"/>
    <x v="2"/>
    <x v="1"/>
    <x v="2"/>
    <x v="0"/>
    <x v="45"/>
    <x v="2"/>
    <x v="3"/>
    <x v="2"/>
  </r>
  <r>
    <s v="TX500519"/>
    <x v="4"/>
    <x v="15"/>
    <n v="48.4"/>
    <n v="629.19999999999993"/>
    <x v="22"/>
    <d v="2025-01-27T00:00:00"/>
    <x v="2"/>
    <x v="0"/>
    <x v="0"/>
    <x v="0"/>
    <x v="21"/>
    <x v="5"/>
    <x v="3"/>
    <x v="2"/>
  </r>
  <r>
    <s v="TX500520"/>
    <x v="4"/>
    <x v="2"/>
    <n v="29.2"/>
    <n v="87.6"/>
    <x v="22"/>
    <d v="2025-01-26T00:00:00"/>
    <x v="2"/>
    <x v="1"/>
    <x v="1"/>
    <x v="0"/>
    <x v="2"/>
    <x v="2"/>
    <x v="3"/>
    <x v="2"/>
  </r>
  <r>
    <s v="TX500521"/>
    <x v="4"/>
    <x v="1"/>
    <n v="25.1"/>
    <n v="50.2"/>
    <x v="22"/>
    <d v="2025-01-24T00:00:00"/>
    <x v="1"/>
    <x v="0"/>
    <x v="1"/>
    <x v="0"/>
    <x v="2"/>
    <x v="3"/>
    <x v="3"/>
    <x v="1"/>
  </r>
  <r>
    <s v="TX500522"/>
    <x v="7"/>
    <x v="2"/>
    <n v="65.599999999999994"/>
    <n v="196.79999999999998"/>
    <x v="22"/>
    <d v="2025-01-23T00:00:00"/>
    <x v="2"/>
    <x v="2"/>
    <x v="1"/>
    <x v="0"/>
    <x v="3"/>
    <x v="7"/>
    <x v="3"/>
    <x v="2"/>
  </r>
  <r>
    <s v="TX500523"/>
    <x v="2"/>
    <x v="1"/>
    <n v="57.3"/>
    <n v="114.6"/>
    <x v="22"/>
    <d v="2025-01-23T00:00:00"/>
    <x v="0"/>
    <x v="0"/>
    <x v="0"/>
    <x v="0"/>
    <x v="3"/>
    <x v="7"/>
    <x v="3"/>
    <x v="0"/>
  </r>
  <r>
    <s v="TX500524"/>
    <x v="9"/>
    <x v="12"/>
    <n v="22.4"/>
    <n v="89.6"/>
    <x v="22"/>
    <d v="2025-01-24T00:00:00"/>
    <x v="2"/>
    <x v="2"/>
    <x v="2"/>
    <x v="0"/>
    <x v="3"/>
    <x v="3"/>
    <x v="3"/>
    <x v="2"/>
  </r>
  <r>
    <s v="TX500525"/>
    <x v="12"/>
    <x v="11"/>
    <n v="45.7"/>
    <n v="411.3"/>
    <x v="22"/>
    <d v="2025-01-24T00:00:00"/>
    <x v="2"/>
    <x v="0"/>
    <x v="0"/>
    <x v="0"/>
    <x v="3"/>
    <x v="3"/>
    <x v="3"/>
    <x v="2"/>
  </r>
  <r>
    <s v="TX500526"/>
    <x v="8"/>
    <x v="1"/>
    <n v="29.3"/>
    <n v="58.6"/>
    <x v="22"/>
    <d v="2025-01-24T00:00:00"/>
    <x v="1"/>
    <x v="1"/>
    <x v="0"/>
    <x v="0"/>
    <x v="3"/>
    <x v="3"/>
    <x v="3"/>
    <x v="1"/>
  </r>
  <r>
    <s v="TX500527"/>
    <x v="18"/>
    <x v="32"/>
    <n v="74"/>
    <n v="1628"/>
    <x v="22"/>
    <d v="2025-01-24T00:00:00"/>
    <x v="1"/>
    <x v="0"/>
    <x v="2"/>
    <x v="0"/>
    <x v="3"/>
    <x v="3"/>
    <x v="3"/>
    <x v="1"/>
  </r>
  <r>
    <s v="TX500528"/>
    <x v="14"/>
    <x v="1"/>
    <n v="39.200000000000003"/>
    <n v="78.400000000000006"/>
    <x v="22"/>
    <d v="2025-01-25T00:00:00"/>
    <x v="2"/>
    <x v="1"/>
    <x v="0"/>
    <x v="0"/>
    <x v="3"/>
    <x v="1"/>
    <x v="3"/>
    <x v="2"/>
  </r>
  <r>
    <s v="TX500529"/>
    <x v="4"/>
    <x v="14"/>
    <n v="62.7"/>
    <n v="1065.9000000000001"/>
    <x v="22"/>
    <d v="2025-01-24T00:00:00"/>
    <x v="2"/>
    <x v="2"/>
    <x v="1"/>
    <x v="0"/>
    <x v="3"/>
    <x v="3"/>
    <x v="3"/>
    <x v="2"/>
  </r>
  <r>
    <s v="TX500530"/>
    <x v="10"/>
    <x v="1"/>
    <n v="60.1"/>
    <n v="120.2"/>
    <x v="22"/>
    <d v="2025-01-24T00:00:00"/>
    <x v="2"/>
    <x v="3"/>
    <x v="0"/>
    <x v="0"/>
    <x v="3"/>
    <x v="3"/>
    <x v="3"/>
    <x v="2"/>
  </r>
  <r>
    <s v="TX500531"/>
    <x v="0"/>
    <x v="12"/>
    <n v="11.2"/>
    <n v="44.8"/>
    <x v="22"/>
    <d v="2025-01-24T00:00:00"/>
    <x v="2"/>
    <x v="3"/>
    <x v="1"/>
    <x v="0"/>
    <x v="3"/>
    <x v="3"/>
    <x v="3"/>
    <x v="2"/>
  </r>
  <r>
    <s v="TX500532"/>
    <x v="8"/>
    <x v="1"/>
    <n v="22.9"/>
    <n v="45.8"/>
    <x v="22"/>
    <d v="2025-01-24T00:00:00"/>
    <x v="2"/>
    <x v="0"/>
    <x v="0"/>
    <x v="0"/>
    <x v="6"/>
    <x v="3"/>
    <x v="3"/>
    <x v="2"/>
  </r>
  <r>
    <s v="TX500533"/>
    <x v="1"/>
    <x v="1"/>
    <n v="37.6"/>
    <n v="75.2"/>
    <x v="22"/>
    <d v="2025-01-26T00:00:00"/>
    <x v="2"/>
    <x v="0"/>
    <x v="0"/>
    <x v="0"/>
    <x v="6"/>
    <x v="2"/>
    <x v="3"/>
    <x v="2"/>
  </r>
  <r>
    <s v="TX500534"/>
    <x v="6"/>
    <x v="0"/>
    <n v="42.4"/>
    <n v="42.4"/>
    <x v="22"/>
    <d v="2025-01-24T00:00:00"/>
    <x v="2"/>
    <x v="3"/>
    <x v="2"/>
    <x v="0"/>
    <x v="6"/>
    <x v="3"/>
    <x v="3"/>
    <x v="2"/>
  </r>
  <r>
    <s v="TX500535"/>
    <x v="8"/>
    <x v="1"/>
    <n v="19.600000000000001"/>
    <n v="39.200000000000003"/>
    <x v="22"/>
    <d v="2025-01-27T00:00:00"/>
    <x v="2"/>
    <x v="2"/>
    <x v="0"/>
    <x v="0"/>
    <x v="7"/>
    <x v="5"/>
    <x v="3"/>
    <x v="2"/>
  </r>
  <r>
    <s v="TX500536"/>
    <x v="9"/>
    <x v="0"/>
    <n v="90.5"/>
    <n v="90.5"/>
    <x v="22"/>
    <d v="2025-01-26T00:00:00"/>
    <x v="2"/>
    <x v="2"/>
    <x v="0"/>
    <x v="0"/>
    <x v="7"/>
    <x v="2"/>
    <x v="3"/>
    <x v="2"/>
  </r>
  <r>
    <s v="TX500537"/>
    <x v="16"/>
    <x v="5"/>
    <n v="33.9"/>
    <n v="372.9"/>
    <x v="22"/>
    <d v="2025-01-24T00:00:00"/>
    <x v="1"/>
    <x v="2"/>
    <x v="1"/>
    <x v="0"/>
    <x v="7"/>
    <x v="3"/>
    <x v="3"/>
    <x v="1"/>
  </r>
  <r>
    <s v="TX500538"/>
    <x v="0"/>
    <x v="1"/>
    <n v="32.799999999999997"/>
    <n v="65.599999999999994"/>
    <x v="22"/>
    <d v="2025-01-25T00:00:00"/>
    <x v="2"/>
    <x v="4"/>
    <x v="4"/>
    <x v="0"/>
    <x v="8"/>
    <x v="1"/>
    <x v="3"/>
    <x v="2"/>
  </r>
  <r>
    <s v="TX500539"/>
    <x v="15"/>
    <x v="0"/>
    <n v="49.9"/>
    <n v="49.9"/>
    <x v="22"/>
    <d v="2025-01-24T00:00:00"/>
    <x v="1"/>
    <x v="3"/>
    <x v="1"/>
    <x v="0"/>
    <x v="8"/>
    <x v="3"/>
    <x v="3"/>
    <x v="1"/>
  </r>
  <r>
    <s v="TX500540"/>
    <x v="7"/>
    <x v="9"/>
    <n v="79.2"/>
    <n v="396"/>
    <x v="22"/>
    <d v="2025-01-24T00:00:00"/>
    <x v="2"/>
    <x v="4"/>
    <x v="0"/>
    <x v="0"/>
    <x v="8"/>
    <x v="3"/>
    <x v="3"/>
    <x v="2"/>
  </r>
  <r>
    <s v="TX500541"/>
    <x v="8"/>
    <x v="27"/>
    <n v="19.5"/>
    <n v="312"/>
    <x v="22"/>
    <d v="2025-01-25T00:00:00"/>
    <x v="1"/>
    <x v="3"/>
    <x v="2"/>
    <x v="0"/>
    <x v="8"/>
    <x v="1"/>
    <x v="3"/>
    <x v="1"/>
  </r>
  <r>
    <s v="TX500542"/>
    <x v="8"/>
    <x v="12"/>
    <n v="18"/>
    <n v="72"/>
    <x v="22"/>
    <d v="2025-01-24T00:00:00"/>
    <x v="1"/>
    <x v="1"/>
    <x v="0"/>
    <x v="0"/>
    <x v="10"/>
    <x v="3"/>
    <x v="3"/>
    <x v="1"/>
  </r>
  <r>
    <s v="TX500543"/>
    <x v="9"/>
    <x v="2"/>
    <n v="45.9"/>
    <n v="137.69999999999999"/>
    <x v="22"/>
    <d v="2025-01-25T00:00:00"/>
    <x v="2"/>
    <x v="1"/>
    <x v="1"/>
    <x v="0"/>
    <x v="10"/>
    <x v="1"/>
    <x v="3"/>
    <x v="2"/>
  </r>
  <r>
    <s v="TX500544"/>
    <x v="11"/>
    <x v="0"/>
    <n v="41.2"/>
    <n v="41.2"/>
    <x v="22"/>
    <d v="2025-01-25T00:00:00"/>
    <x v="2"/>
    <x v="1"/>
    <x v="2"/>
    <x v="0"/>
    <x v="11"/>
    <x v="1"/>
    <x v="3"/>
    <x v="2"/>
  </r>
  <r>
    <s v="TX500545"/>
    <x v="2"/>
    <x v="7"/>
    <n v="167.2"/>
    <n v="1672"/>
    <x v="22"/>
    <d v="2025-01-25T00:00:00"/>
    <x v="2"/>
    <x v="2"/>
    <x v="2"/>
    <x v="0"/>
    <x v="32"/>
    <x v="1"/>
    <x v="3"/>
    <x v="2"/>
  </r>
  <r>
    <s v="TX500546"/>
    <x v="6"/>
    <x v="17"/>
    <n v="74.5"/>
    <n v="2235"/>
    <x v="23"/>
    <d v="2025-01-27T00:00:00"/>
    <x v="2"/>
    <x v="1"/>
    <x v="2"/>
    <x v="0"/>
    <x v="38"/>
    <x v="2"/>
    <x v="3"/>
    <x v="2"/>
  </r>
  <r>
    <s v="TX500547"/>
    <x v="7"/>
    <x v="12"/>
    <n v="39.299999999999997"/>
    <n v="157.19999999999999"/>
    <x v="23"/>
    <d v="2025-01-25T00:00:00"/>
    <x v="0"/>
    <x v="2"/>
    <x v="0"/>
    <x v="0"/>
    <x v="19"/>
    <x v="3"/>
    <x v="3"/>
    <x v="0"/>
  </r>
  <r>
    <s v="TX500548"/>
    <x v="9"/>
    <x v="0"/>
    <n v="68.5"/>
    <n v="68.5"/>
    <x v="23"/>
    <d v="2025-01-27T00:00:00"/>
    <x v="1"/>
    <x v="1"/>
    <x v="2"/>
    <x v="0"/>
    <x v="12"/>
    <x v="2"/>
    <x v="3"/>
    <x v="1"/>
  </r>
  <r>
    <s v="TX500549"/>
    <x v="0"/>
    <x v="2"/>
    <n v="22.5"/>
    <n v="67.5"/>
    <x v="23"/>
    <d v="2025-01-24T00:00:00"/>
    <x v="2"/>
    <x v="4"/>
    <x v="0"/>
    <x v="0"/>
    <x v="13"/>
    <x v="7"/>
    <x v="3"/>
    <x v="2"/>
  </r>
  <r>
    <s v="TX500550"/>
    <x v="1"/>
    <x v="0"/>
    <n v="48"/>
    <n v="48"/>
    <x v="23"/>
    <d v="2025-01-25T00:00:00"/>
    <x v="3"/>
    <x v="4"/>
    <x v="1"/>
    <x v="0"/>
    <x v="46"/>
    <x v="3"/>
    <x v="3"/>
    <x v="3"/>
  </r>
  <r>
    <s v="TX500551"/>
    <x v="6"/>
    <x v="0"/>
    <n v="94"/>
    <n v="94"/>
    <x v="23"/>
    <d v="2025-01-25T00:00:00"/>
    <x v="1"/>
    <x v="3"/>
    <x v="1"/>
    <x v="0"/>
    <x v="1"/>
    <x v="3"/>
    <x v="3"/>
    <x v="1"/>
  </r>
  <r>
    <s v="TX500552"/>
    <x v="8"/>
    <x v="2"/>
    <n v="21.9"/>
    <n v="65.699999999999989"/>
    <x v="23"/>
    <d v="2025-01-25T00:00:00"/>
    <x v="2"/>
    <x v="0"/>
    <x v="0"/>
    <x v="0"/>
    <x v="44"/>
    <x v="3"/>
    <x v="3"/>
    <x v="2"/>
  </r>
  <r>
    <s v="TX500553"/>
    <x v="6"/>
    <x v="3"/>
    <n v="64.900000000000006"/>
    <n v="454.30000000000007"/>
    <x v="23"/>
    <d v="2025-01-25T00:00:00"/>
    <x v="2"/>
    <x v="0"/>
    <x v="0"/>
    <x v="0"/>
    <x v="3"/>
    <x v="3"/>
    <x v="3"/>
    <x v="2"/>
  </r>
  <r>
    <s v="TX500554"/>
    <x v="12"/>
    <x v="0"/>
    <n v="52.9"/>
    <n v="52.9"/>
    <x v="23"/>
    <d v="2025-01-24T00:00:00"/>
    <x v="2"/>
    <x v="1"/>
    <x v="1"/>
    <x v="0"/>
    <x v="3"/>
    <x v="7"/>
    <x v="3"/>
    <x v="2"/>
  </r>
  <r>
    <s v="TX500555"/>
    <x v="8"/>
    <x v="2"/>
    <n v="25.5"/>
    <n v="76.5"/>
    <x v="23"/>
    <d v="2025-01-25T00:00:00"/>
    <x v="2"/>
    <x v="1"/>
    <x v="2"/>
    <x v="0"/>
    <x v="3"/>
    <x v="3"/>
    <x v="3"/>
    <x v="2"/>
  </r>
  <r>
    <s v="TX500556"/>
    <x v="6"/>
    <x v="2"/>
    <n v="51.9"/>
    <n v="155.69999999999999"/>
    <x v="23"/>
    <d v="2025-01-25T00:00:00"/>
    <x v="2"/>
    <x v="3"/>
    <x v="0"/>
    <x v="0"/>
    <x v="3"/>
    <x v="3"/>
    <x v="3"/>
    <x v="2"/>
  </r>
  <r>
    <s v="TX500557"/>
    <x v="5"/>
    <x v="0"/>
    <n v="46.3"/>
    <n v="46.3"/>
    <x v="23"/>
    <d v="2025-01-27T00:00:00"/>
    <x v="2"/>
    <x v="4"/>
    <x v="0"/>
    <x v="0"/>
    <x v="3"/>
    <x v="2"/>
    <x v="3"/>
    <x v="2"/>
  </r>
  <r>
    <s v="TX500558"/>
    <x v="6"/>
    <x v="1"/>
    <n v="68.2"/>
    <n v="136.4"/>
    <x v="23"/>
    <d v="2025-01-26T00:00:00"/>
    <x v="2"/>
    <x v="3"/>
    <x v="0"/>
    <x v="0"/>
    <x v="3"/>
    <x v="1"/>
    <x v="3"/>
    <x v="2"/>
  </r>
  <r>
    <s v="TX500559"/>
    <x v="1"/>
    <x v="0"/>
    <n v="40.299999999999997"/>
    <n v="40.299999999999997"/>
    <x v="23"/>
    <d v="2025-01-25T00:00:00"/>
    <x v="1"/>
    <x v="0"/>
    <x v="1"/>
    <x v="0"/>
    <x v="3"/>
    <x v="3"/>
    <x v="3"/>
    <x v="1"/>
  </r>
  <r>
    <s v="TX500560"/>
    <x v="2"/>
    <x v="2"/>
    <n v="91.3"/>
    <n v="273.89999999999998"/>
    <x v="23"/>
    <d v="2025-01-29T00:00:00"/>
    <x v="1"/>
    <x v="0"/>
    <x v="2"/>
    <x v="0"/>
    <x v="6"/>
    <x v="0"/>
    <x v="3"/>
    <x v="1"/>
  </r>
  <r>
    <s v="TX500561"/>
    <x v="0"/>
    <x v="2"/>
    <n v="11.9"/>
    <n v="35.700000000000003"/>
    <x v="23"/>
    <d v="2025-01-25T00:00:00"/>
    <x v="2"/>
    <x v="0"/>
    <x v="1"/>
    <x v="0"/>
    <x v="6"/>
    <x v="3"/>
    <x v="3"/>
    <x v="2"/>
  </r>
  <r>
    <s v="TX500562"/>
    <x v="2"/>
    <x v="1"/>
    <n v="63.5"/>
    <n v="127"/>
    <x v="23"/>
    <d v="2025-01-26T00:00:00"/>
    <x v="1"/>
    <x v="1"/>
    <x v="0"/>
    <x v="0"/>
    <x v="6"/>
    <x v="1"/>
    <x v="3"/>
    <x v="1"/>
  </r>
  <r>
    <s v="TX500563"/>
    <x v="4"/>
    <x v="1"/>
    <n v="27.1"/>
    <n v="54.2"/>
    <x v="23"/>
    <d v="2025-01-27T00:00:00"/>
    <x v="1"/>
    <x v="2"/>
    <x v="2"/>
    <x v="0"/>
    <x v="6"/>
    <x v="2"/>
    <x v="3"/>
    <x v="1"/>
  </r>
  <r>
    <s v="TX500564"/>
    <x v="1"/>
    <x v="1"/>
    <n v="82.1"/>
    <n v="164.2"/>
    <x v="24"/>
    <d v="2025-01-28T00:00:00"/>
    <x v="1"/>
    <x v="1"/>
    <x v="1"/>
    <x v="0"/>
    <x v="7"/>
    <x v="2"/>
    <x v="3"/>
    <x v="1"/>
  </r>
  <r>
    <s v="TX500565"/>
    <x v="3"/>
    <x v="9"/>
    <n v="42.9"/>
    <n v="214.5"/>
    <x v="24"/>
    <d v="2025-01-27T00:00:00"/>
    <x v="2"/>
    <x v="1"/>
    <x v="0"/>
    <x v="0"/>
    <x v="8"/>
    <x v="1"/>
    <x v="3"/>
    <x v="2"/>
  </r>
  <r>
    <s v="TX500566"/>
    <x v="8"/>
    <x v="5"/>
    <n v="37.9"/>
    <n v="416.9"/>
    <x v="24"/>
    <d v="2025-02-01T00:00:00"/>
    <x v="1"/>
    <x v="0"/>
    <x v="0"/>
    <x v="0"/>
    <x v="8"/>
    <x v="6"/>
    <x v="3"/>
    <x v="1"/>
  </r>
  <r>
    <s v="TX500567"/>
    <x v="0"/>
    <x v="0"/>
    <n v="22.4"/>
    <n v="22.4"/>
    <x v="24"/>
    <d v="2025-01-26T00:00:00"/>
    <x v="2"/>
    <x v="0"/>
    <x v="1"/>
    <x v="0"/>
    <x v="17"/>
    <x v="3"/>
    <x v="3"/>
    <x v="2"/>
  </r>
  <r>
    <s v="TX500568"/>
    <x v="2"/>
    <x v="15"/>
    <n v="79.900000000000006"/>
    <n v="1038.7"/>
    <x v="24"/>
    <d v="2025-02-07T00:00:00"/>
    <x v="2"/>
    <x v="3"/>
    <x v="1"/>
    <x v="0"/>
    <x v="11"/>
    <x v="10"/>
    <x v="3"/>
    <x v="2"/>
  </r>
  <r>
    <s v="TX500569"/>
    <x v="1"/>
    <x v="0"/>
    <n v="70.599999999999994"/>
    <n v="70.599999999999994"/>
    <x v="24"/>
    <d v="2025-01-28T00:00:00"/>
    <x v="2"/>
    <x v="0"/>
    <x v="1"/>
    <x v="0"/>
    <x v="11"/>
    <x v="2"/>
    <x v="3"/>
    <x v="2"/>
  </r>
  <r>
    <s v="TX500570"/>
    <x v="6"/>
    <x v="0"/>
    <n v="49.5"/>
    <n v="49.5"/>
    <x v="24"/>
    <d v="2025-01-27T00:00:00"/>
    <x v="1"/>
    <x v="0"/>
    <x v="0"/>
    <x v="0"/>
    <x v="13"/>
    <x v="1"/>
    <x v="3"/>
    <x v="1"/>
  </r>
  <r>
    <s v="TX500571"/>
    <x v="2"/>
    <x v="1"/>
    <n v="96.6"/>
    <n v="193.2"/>
    <x v="24"/>
    <d v="2025-01-27T00:00:00"/>
    <x v="1"/>
    <x v="0"/>
    <x v="0"/>
    <x v="0"/>
    <x v="21"/>
    <x v="1"/>
    <x v="3"/>
    <x v="1"/>
  </r>
  <r>
    <s v="TX500572"/>
    <x v="6"/>
    <x v="1"/>
    <n v="52.8"/>
    <n v="105.6"/>
    <x v="24"/>
    <d v="2025-01-26T00:00:00"/>
    <x v="2"/>
    <x v="1"/>
    <x v="1"/>
    <x v="0"/>
    <x v="21"/>
    <x v="3"/>
    <x v="3"/>
    <x v="2"/>
  </r>
  <r>
    <s v="TX500573"/>
    <x v="2"/>
    <x v="0"/>
    <n v="101.7"/>
    <n v="101.7"/>
    <x v="24"/>
    <d v="2025-01-26T00:00:00"/>
    <x v="1"/>
    <x v="0"/>
    <x v="0"/>
    <x v="0"/>
    <x v="1"/>
    <x v="3"/>
    <x v="3"/>
    <x v="1"/>
  </r>
  <r>
    <s v="TX500574"/>
    <x v="4"/>
    <x v="9"/>
    <n v="26.9"/>
    <n v="134.5"/>
    <x v="24"/>
    <d v="2025-01-30T00:00:00"/>
    <x v="2"/>
    <x v="1"/>
    <x v="1"/>
    <x v="0"/>
    <x v="22"/>
    <x v="0"/>
    <x v="3"/>
    <x v="2"/>
  </r>
  <r>
    <s v="TX500575"/>
    <x v="2"/>
    <x v="12"/>
    <n v="211"/>
    <n v="844"/>
    <x v="24"/>
    <d v="2025-01-25T00:00:00"/>
    <x v="2"/>
    <x v="1"/>
    <x v="1"/>
    <x v="0"/>
    <x v="3"/>
    <x v="7"/>
    <x v="3"/>
    <x v="2"/>
  </r>
  <r>
    <s v="TX500576"/>
    <x v="0"/>
    <x v="12"/>
    <n v="21.1"/>
    <n v="84.4"/>
    <x v="24"/>
    <d v="2025-01-28T00:00:00"/>
    <x v="1"/>
    <x v="4"/>
    <x v="0"/>
    <x v="0"/>
    <x v="3"/>
    <x v="2"/>
    <x v="3"/>
    <x v="1"/>
  </r>
  <r>
    <s v="TX500577"/>
    <x v="10"/>
    <x v="0"/>
    <n v="26.6"/>
    <n v="26.6"/>
    <x v="24"/>
    <d v="2025-01-27T00:00:00"/>
    <x v="1"/>
    <x v="0"/>
    <x v="4"/>
    <x v="0"/>
    <x v="3"/>
    <x v="1"/>
    <x v="3"/>
    <x v="1"/>
  </r>
  <r>
    <s v="TX500578"/>
    <x v="12"/>
    <x v="12"/>
    <n v="51.2"/>
    <n v="204.8"/>
    <x v="24"/>
    <d v="2025-01-26T00:00:00"/>
    <x v="2"/>
    <x v="3"/>
    <x v="0"/>
    <x v="0"/>
    <x v="47"/>
    <x v="3"/>
    <x v="3"/>
    <x v="2"/>
  </r>
  <r>
    <s v="TX500579"/>
    <x v="0"/>
    <x v="9"/>
    <n v="10.6"/>
    <n v="53"/>
    <x v="24"/>
    <d v="2025-01-29T00:00:00"/>
    <x v="2"/>
    <x v="0"/>
    <x v="0"/>
    <x v="0"/>
    <x v="8"/>
    <x v="5"/>
    <x v="3"/>
    <x v="2"/>
  </r>
  <r>
    <s v="TX500580"/>
    <x v="6"/>
    <x v="2"/>
    <n v="43.4"/>
    <n v="130.19999999999999"/>
    <x v="24"/>
    <d v="2025-01-28T00:00:00"/>
    <x v="2"/>
    <x v="4"/>
    <x v="0"/>
    <x v="0"/>
    <x v="8"/>
    <x v="2"/>
    <x v="3"/>
    <x v="2"/>
  </r>
  <r>
    <s v="TX500581"/>
    <x v="12"/>
    <x v="0"/>
    <n v="80"/>
    <n v="80"/>
    <x v="24"/>
    <d v="2025-01-25T00:00:00"/>
    <x v="2"/>
    <x v="0"/>
    <x v="2"/>
    <x v="0"/>
    <x v="8"/>
    <x v="7"/>
    <x v="3"/>
    <x v="2"/>
  </r>
  <r>
    <s v="TX500582"/>
    <x v="10"/>
    <x v="12"/>
    <n v="64.7"/>
    <n v="258.8"/>
    <x v="24"/>
    <d v="2025-01-27T00:00:00"/>
    <x v="2"/>
    <x v="1"/>
    <x v="4"/>
    <x v="0"/>
    <x v="8"/>
    <x v="1"/>
    <x v="3"/>
    <x v="2"/>
  </r>
  <r>
    <s v="TX500583"/>
    <x v="8"/>
    <x v="5"/>
    <n v="26.3"/>
    <n v="289.3"/>
    <x v="25"/>
    <d v="2025-01-26T00:00:00"/>
    <x v="2"/>
    <x v="4"/>
    <x v="1"/>
    <x v="0"/>
    <x v="26"/>
    <x v="7"/>
    <x v="4"/>
    <x v="2"/>
  </r>
  <r>
    <s v="TX500584"/>
    <x v="10"/>
    <x v="0"/>
    <n v="28.5"/>
    <n v="28.5"/>
    <x v="25"/>
    <d v="2025-01-26T00:00:00"/>
    <x v="1"/>
    <x v="0"/>
    <x v="1"/>
    <x v="0"/>
    <x v="9"/>
    <x v="7"/>
    <x v="4"/>
    <x v="1"/>
  </r>
  <r>
    <s v="TX500585"/>
    <x v="17"/>
    <x v="0"/>
    <n v="47.8"/>
    <n v="47.8"/>
    <x v="25"/>
    <d v="2025-01-28T00:00:00"/>
    <x v="2"/>
    <x v="0"/>
    <x v="1"/>
    <x v="0"/>
    <x v="9"/>
    <x v="1"/>
    <x v="4"/>
    <x v="2"/>
  </r>
  <r>
    <s v="TX500586"/>
    <x v="10"/>
    <x v="2"/>
    <n v="42.8"/>
    <n v="128.39999999999998"/>
    <x v="25"/>
    <d v="2025-01-29T00:00:00"/>
    <x v="2"/>
    <x v="4"/>
    <x v="1"/>
    <x v="0"/>
    <x v="11"/>
    <x v="2"/>
    <x v="4"/>
    <x v="2"/>
  </r>
  <r>
    <s v="TX500587"/>
    <x v="6"/>
    <x v="9"/>
    <n v="46.8"/>
    <n v="234"/>
    <x v="25"/>
    <d v="2025-01-31T00:00:00"/>
    <x v="2"/>
    <x v="1"/>
    <x v="2"/>
    <x v="0"/>
    <x v="11"/>
    <x v="0"/>
    <x v="4"/>
    <x v="2"/>
  </r>
  <r>
    <s v="TX500588"/>
    <x v="1"/>
    <x v="7"/>
    <n v="64.099999999999994"/>
    <n v="641"/>
    <x v="25"/>
    <d v="2025-01-27T00:00:00"/>
    <x v="1"/>
    <x v="1"/>
    <x v="0"/>
    <x v="0"/>
    <x v="11"/>
    <x v="3"/>
    <x v="4"/>
    <x v="1"/>
  </r>
  <r>
    <s v="TX500589"/>
    <x v="2"/>
    <x v="0"/>
    <n v="89.1"/>
    <n v="89.1"/>
    <x v="25"/>
    <d v="2025-01-27T00:00:00"/>
    <x v="2"/>
    <x v="0"/>
    <x v="1"/>
    <x v="0"/>
    <x v="20"/>
    <x v="3"/>
    <x v="4"/>
    <x v="2"/>
  </r>
  <r>
    <s v="TX500590"/>
    <x v="2"/>
    <x v="2"/>
    <n v="83.1"/>
    <n v="249.29999999999998"/>
    <x v="25"/>
    <d v="2025-01-27T00:00:00"/>
    <x v="2"/>
    <x v="2"/>
    <x v="1"/>
    <x v="0"/>
    <x v="13"/>
    <x v="3"/>
    <x v="4"/>
    <x v="2"/>
  </r>
  <r>
    <s v="TX500591"/>
    <x v="8"/>
    <x v="2"/>
    <n v="40.9"/>
    <n v="122.69999999999999"/>
    <x v="25"/>
    <d v="2025-01-27T00:00:00"/>
    <x v="1"/>
    <x v="0"/>
    <x v="0"/>
    <x v="0"/>
    <x v="1"/>
    <x v="3"/>
    <x v="4"/>
    <x v="1"/>
  </r>
  <r>
    <s v="TX500592"/>
    <x v="2"/>
    <x v="1"/>
    <n v="125.7"/>
    <n v="251.4"/>
    <x v="25"/>
    <d v="2025-01-27T00:00:00"/>
    <x v="2"/>
    <x v="3"/>
    <x v="0"/>
    <x v="0"/>
    <x v="2"/>
    <x v="3"/>
    <x v="4"/>
    <x v="2"/>
  </r>
  <r>
    <s v="TX500593"/>
    <x v="3"/>
    <x v="1"/>
    <n v="30.9"/>
    <n v="61.8"/>
    <x v="25"/>
    <d v="2025-01-26T00:00:00"/>
    <x v="2"/>
    <x v="2"/>
    <x v="2"/>
    <x v="0"/>
    <x v="22"/>
    <x v="7"/>
    <x v="4"/>
    <x v="2"/>
  </r>
  <r>
    <s v="TX500594"/>
    <x v="8"/>
    <x v="1"/>
    <n v="18.3"/>
    <n v="36.6"/>
    <x v="25"/>
    <d v="2025-01-27T00:00:00"/>
    <x v="2"/>
    <x v="1"/>
    <x v="0"/>
    <x v="0"/>
    <x v="3"/>
    <x v="3"/>
    <x v="4"/>
    <x v="2"/>
  </r>
  <r>
    <s v="TX500595"/>
    <x v="4"/>
    <x v="1"/>
    <n v="56.5"/>
    <n v="113"/>
    <x v="25"/>
    <d v="2025-01-30T00:00:00"/>
    <x v="1"/>
    <x v="2"/>
    <x v="2"/>
    <x v="0"/>
    <x v="3"/>
    <x v="5"/>
    <x v="4"/>
    <x v="1"/>
  </r>
  <r>
    <s v="TX500596"/>
    <x v="10"/>
    <x v="3"/>
    <n v="29.9"/>
    <n v="209.29999999999998"/>
    <x v="25"/>
    <d v="2025-01-28T00:00:00"/>
    <x v="1"/>
    <x v="4"/>
    <x v="2"/>
    <x v="0"/>
    <x v="3"/>
    <x v="1"/>
    <x v="4"/>
    <x v="1"/>
  </r>
  <r>
    <s v="TX500597"/>
    <x v="5"/>
    <x v="1"/>
    <n v="50.4"/>
    <n v="100.8"/>
    <x v="25"/>
    <d v="2025-01-27T00:00:00"/>
    <x v="2"/>
    <x v="2"/>
    <x v="0"/>
    <x v="0"/>
    <x v="3"/>
    <x v="3"/>
    <x v="4"/>
    <x v="2"/>
  </r>
  <r>
    <s v="TX500598"/>
    <x v="2"/>
    <x v="0"/>
    <n v="85.8"/>
    <n v="85.8"/>
    <x v="25"/>
    <d v="2025-01-26T00:00:00"/>
    <x v="2"/>
    <x v="2"/>
    <x v="2"/>
    <x v="0"/>
    <x v="3"/>
    <x v="7"/>
    <x v="4"/>
    <x v="2"/>
  </r>
  <r>
    <s v="TX500599"/>
    <x v="4"/>
    <x v="27"/>
    <n v="66.599999999999994"/>
    <n v="1065.5999999999999"/>
    <x v="25"/>
    <d v="2025-01-28T00:00:00"/>
    <x v="1"/>
    <x v="1"/>
    <x v="0"/>
    <x v="0"/>
    <x v="3"/>
    <x v="1"/>
    <x v="4"/>
    <x v="1"/>
  </r>
  <r>
    <s v="TX500600"/>
    <x v="6"/>
    <x v="12"/>
    <n v="70.3"/>
    <n v="281.2"/>
    <x v="25"/>
    <d v="2025-01-27T00:00:00"/>
    <x v="2"/>
    <x v="0"/>
    <x v="1"/>
    <x v="0"/>
    <x v="3"/>
    <x v="3"/>
    <x v="4"/>
    <x v="2"/>
  </r>
  <r>
    <s v="TX500601"/>
    <x v="8"/>
    <x v="12"/>
    <n v="31"/>
    <n v="124"/>
    <x v="25"/>
    <d v="2025-01-29T00:00:00"/>
    <x v="1"/>
    <x v="0"/>
    <x v="2"/>
    <x v="0"/>
    <x v="3"/>
    <x v="2"/>
    <x v="4"/>
    <x v="1"/>
  </r>
  <r>
    <s v="TX500602"/>
    <x v="7"/>
    <x v="13"/>
    <n v="81.599999999999994"/>
    <n v="489.59999999999997"/>
    <x v="25"/>
    <d v="2025-01-27T00:00:00"/>
    <x v="2"/>
    <x v="1"/>
    <x v="1"/>
    <x v="0"/>
    <x v="37"/>
    <x v="3"/>
    <x v="4"/>
    <x v="2"/>
  </r>
  <r>
    <s v="TX500603"/>
    <x v="1"/>
    <x v="30"/>
    <n v="58.3"/>
    <n v="1457.5"/>
    <x v="25"/>
    <d v="2025-01-27T00:00:00"/>
    <x v="2"/>
    <x v="0"/>
    <x v="0"/>
    <x v="0"/>
    <x v="16"/>
    <x v="3"/>
    <x v="4"/>
    <x v="2"/>
  </r>
  <r>
    <s v="TX500604"/>
    <x v="1"/>
    <x v="12"/>
    <n v="35.1"/>
    <n v="140.4"/>
    <x v="25"/>
    <d v="2025-01-28T00:00:00"/>
    <x v="1"/>
    <x v="0"/>
    <x v="2"/>
    <x v="0"/>
    <x v="8"/>
    <x v="1"/>
    <x v="4"/>
    <x v="1"/>
  </r>
  <r>
    <s v="TX500605"/>
    <x v="2"/>
    <x v="0"/>
    <n v="80.2"/>
    <n v="80.2"/>
    <x v="25"/>
    <d v="2025-01-27T00:00:00"/>
    <x v="1"/>
    <x v="3"/>
    <x v="2"/>
    <x v="0"/>
    <x v="8"/>
    <x v="3"/>
    <x v="4"/>
    <x v="1"/>
  </r>
  <r>
    <s v="TX500606"/>
    <x v="14"/>
    <x v="2"/>
    <n v="39.200000000000003"/>
    <n v="117.60000000000001"/>
    <x v="25"/>
    <d v="2025-01-28T00:00:00"/>
    <x v="2"/>
    <x v="1"/>
    <x v="0"/>
    <x v="0"/>
    <x v="9"/>
    <x v="1"/>
    <x v="4"/>
    <x v="2"/>
  </r>
  <r>
    <s v="TX500607"/>
    <x v="0"/>
    <x v="1"/>
    <n v="15.4"/>
    <n v="30.8"/>
    <x v="25"/>
    <d v="2025-01-26T00:00:00"/>
    <x v="2"/>
    <x v="3"/>
    <x v="0"/>
    <x v="0"/>
    <x v="48"/>
    <x v="7"/>
    <x v="4"/>
    <x v="2"/>
  </r>
  <r>
    <s v="TX500608"/>
    <x v="3"/>
    <x v="2"/>
    <n v="65.400000000000006"/>
    <n v="196.20000000000002"/>
    <x v="25"/>
    <d v="2025-01-29T00:00:00"/>
    <x v="1"/>
    <x v="3"/>
    <x v="0"/>
    <x v="0"/>
    <x v="18"/>
    <x v="2"/>
    <x v="4"/>
    <x v="1"/>
  </r>
  <r>
    <s v="TX500609"/>
    <x v="1"/>
    <x v="8"/>
    <n v="63.2"/>
    <n v="505.6"/>
    <x v="25"/>
    <d v="2025-01-28T00:00:00"/>
    <x v="2"/>
    <x v="1"/>
    <x v="0"/>
    <x v="0"/>
    <x v="19"/>
    <x v="1"/>
    <x v="4"/>
    <x v="2"/>
  </r>
  <r>
    <s v="TX500610"/>
    <x v="1"/>
    <x v="13"/>
    <n v="35.700000000000003"/>
    <n v="214.20000000000002"/>
    <x v="25"/>
    <d v="2025-01-30T00:00:00"/>
    <x v="2"/>
    <x v="4"/>
    <x v="1"/>
    <x v="0"/>
    <x v="19"/>
    <x v="5"/>
    <x v="4"/>
    <x v="2"/>
  </r>
  <r>
    <s v="TX500611"/>
    <x v="0"/>
    <x v="28"/>
    <n v="26.2"/>
    <n v="524"/>
    <x v="25"/>
    <d v="2025-01-27T00:00:00"/>
    <x v="2"/>
    <x v="3"/>
    <x v="0"/>
    <x v="0"/>
    <x v="21"/>
    <x v="3"/>
    <x v="4"/>
    <x v="2"/>
  </r>
  <r>
    <s v="TX500612"/>
    <x v="7"/>
    <x v="1"/>
    <n v="31"/>
    <n v="62"/>
    <x v="25"/>
    <d v="2025-01-27T00:00:00"/>
    <x v="2"/>
    <x v="0"/>
    <x v="2"/>
    <x v="0"/>
    <x v="1"/>
    <x v="3"/>
    <x v="4"/>
    <x v="2"/>
  </r>
  <r>
    <s v="TX500613"/>
    <x v="8"/>
    <x v="12"/>
    <n v="37.700000000000003"/>
    <n v="150.80000000000001"/>
    <x v="25"/>
    <d v="2025-01-27T00:00:00"/>
    <x v="2"/>
    <x v="1"/>
    <x v="0"/>
    <x v="0"/>
    <x v="22"/>
    <x v="3"/>
    <x v="4"/>
    <x v="2"/>
  </r>
  <r>
    <s v="TX500614"/>
    <x v="10"/>
    <x v="33"/>
    <n v="43.6"/>
    <n v="1482.4"/>
    <x v="25"/>
    <d v="2025-01-28T00:00:00"/>
    <x v="2"/>
    <x v="4"/>
    <x v="1"/>
    <x v="0"/>
    <x v="3"/>
    <x v="1"/>
    <x v="4"/>
    <x v="2"/>
  </r>
  <r>
    <s v="TX500615"/>
    <x v="9"/>
    <x v="12"/>
    <n v="26.5"/>
    <n v="106"/>
    <x v="25"/>
    <d v="2025-01-28T00:00:00"/>
    <x v="1"/>
    <x v="0"/>
    <x v="4"/>
    <x v="0"/>
    <x v="3"/>
    <x v="1"/>
    <x v="4"/>
    <x v="1"/>
  </r>
  <r>
    <s v="TX500616"/>
    <x v="0"/>
    <x v="1"/>
    <n v="34.6"/>
    <n v="69.2"/>
    <x v="25"/>
    <d v="2025-01-27T00:00:00"/>
    <x v="1"/>
    <x v="4"/>
    <x v="1"/>
    <x v="0"/>
    <x v="3"/>
    <x v="3"/>
    <x v="4"/>
    <x v="1"/>
  </r>
  <r>
    <s v="TX500617"/>
    <x v="8"/>
    <x v="1"/>
    <n v="58.2"/>
    <n v="116.4"/>
    <x v="25"/>
    <d v="2025-01-27T00:00:00"/>
    <x v="1"/>
    <x v="2"/>
    <x v="2"/>
    <x v="0"/>
    <x v="3"/>
    <x v="3"/>
    <x v="4"/>
    <x v="1"/>
  </r>
  <r>
    <s v="TX500618"/>
    <x v="7"/>
    <x v="0"/>
    <n v="30.2"/>
    <n v="30.2"/>
    <x v="26"/>
    <d v="2025-01-28T00:00:00"/>
    <x v="2"/>
    <x v="2"/>
    <x v="1"/>
    <x v="0"/>
    <x v="3"/>
    <x v="3"/>
    <x v="4"/>
    <x v="2"/>
  </r>
  <r>
    <s v="TX500619"/>
    <x v="1"/>
    <x v="7"/>
    <n v="53.2"/>
    <n v="532"/>
    <x v="26"/>
    <d v="2025-01-28T00:00:00"/>
    <x v="1"/>
    <x v="0"/>
    <x v="2"/>
    <x v="0"/>
    <x v="5"/>
    <x v="3"/>
    <x v="4"/>
    <x v="1"/>
  </r>
  <r>
    <s v="TX500620"/>
    <x v="12"/>
    <x v="13"/>
    <n v="51.1"/>
    <n v="306.60000000000002"/>
    <x v="26"/>
    <d v="2025-01-27T00:00:00"/>
    <x v="1"/>
    <x v="1"/>
    <x v="2"/>
    <x v="0"/>
    <x v="5"/>
    <x v="7"/>
    <x v="4"/>
    <x v="1"/>
  </r>
  <r>
    <s v="TX500621"/>
    <x v="1"/>
    <x v="0"/>
    <n v="105.4"/>
    <n v="105.4"/>
    <x v="26"/>
    <d v="2025-01-31T00:00:00"/>
    <x v="2"/>
    <x v="1"/>
    <x v="2"/>
    <x v="0"/>
    <x v="23"/>
    <x v="5"/>
    <x v="4"/>
    <x v="2"/>
  </r>
  <r>
    <s v="TX500622"/>
    <x v="7"/>
    <x v="0"/>
    <n v="57.7"/>
    <n v="57.7"/>
    <x v="26"/>
    <d v="2025-01-27T00:00:00"/>
    <x v="1"/>
    <x v="0"/>
    <x v="4"/>
    <x v="0"/>
    <x v="8"/>
    <x v="7"/>
    <x v="4"/>
    <x v="1"/>
  </r>
  <r>
    <s v="TX500623"/>
    <x v="15"/>
    <x v="1"/>
    <n v="72.400000000000006"/>
    <n v="144.80000000000001"/>
    <x v="26"/>
    <d v="2025-02-01T00:00:00"/>
    <x v="2"/>
    <x v="0"/>
    <x v="0"/>
    <x v="0"/>
    <x v="17"/>
    <x v="0"/>
    <x v="4"/>
    <x v="2"/>
  </r>
  <r>
    <s v="TX500624"/>
    <x v="6"/>
    <x v="1"/>
    <n v="62.5"/>
    <n v="125"/>
    <x v="26"/>
    <d v="2025-01-28T00:00:00"/>
    <x v="0"/>
    <x v="0"/>
    <x v="2"/>
    <x v="0"/>
    <x v="11"/>
    <x v="3"/>
    <x v="4"/>
    <x v="0"/>
  </r>
  <r>
    <s v="TX500625"/>
    <x v="0"/>
    <x v="32"/>
    <n v="11.6"/>
    <n v="255.2"/>
    <x v="26"/>
    <d v="2025-01-29T00:00:00"/>
    <x v="2"/>
    <x v="3"/>
    <x v="2"/>
    <x v="0"/>
    <x v="18"/>
    <x v="1"/>
    <x v="4"/>
    <x v="2"/>
  </r>
  <r>
    <s v="TX500626"/>
    <x v="10"/>
    <x v="7"/>
    <n v="39.6"/>
    <n v="396"/>
    <x v="26"/>
    <d v="2025-01-29T00:00:00"/>
    <x v="2"/>
    <x v="2"/>
    <x v="2"/>
    <x v="0"/>
    <x v="18"/>
    <x v="1"/>
    <x v="4"/>
    <x v="2"/>
  </r>
  <r>
    <s v="TX500627"/>
    <x v="8"/>
    <x v="1"/>
    <n v="40.1"/>
    <n v="80.2"/>
    <x v="26"/>
    <d v="2025-01-28T00:00:00"/>
    <x v="2"/>
    <x v="2"/>
    <x v="0"/>
    <x v="0"/>
    <x v="18"/>
    <x v="3"/>
    <x v="4"/>
    <x v="2"/>
  </r>
  <r>
    <s v="TX500628"/>
    <x v="8"/>
    <x v="2"/>
    <n v="18.600000000000001"/>
    <n v="55.800000000000004"/>
    <x v="26"/>
    <d v="2025-01-28T00:00:00"/>
    <x v="2"/>
    <x v="2"/>
    <x v="0"/>
    <x v="0"/>
    <x v="21"/>
    <x v="3"/>
    <x v="4"/>
    <x v="2"/>
  </r>
  <r>
    <s v="TX500629"/>
    <x v="4"/>
    <x v="0"/>
    <n v="58.8"/>
    <n v="58.8"/>
    <x v="26"/>
    <d v="2025-01-29T00:00:00"/>
    <x v="2"/>
    <x v="0"/>
    <x v="1"/>
    <x v="0"/>
    <x v="21"/>
    <x v="1"/>
    <x v="4"/>
    <x v="2"/>
  </r>
  <r>
    <s v="TX500630"/>
    <x v="8"/>
    <x v="1"/>
    <n v="22.1"/>
    <n v="44.2"/>
    <x v="26"/>
    <d v="2025-01-30T00:00:00"/>
    <x v="1"/>
    <x v="1"/>
    <x v="2"/>
    <x v="0"/>
    <x v="21"/>
    <x v="2"/>
    <x v="4"/>
    <x v="1"/>
  </r>
  <r>
    <s v="TX500631"/>
    <x v="2"/>
    <x v="0"/>
    <n v="114.9"/>
    <n v="114.9"/>
    <x v="27"/>
    <d v="2025-01-29T00:00:00"/>
    <x v="2"/>
    <x v="1"/>
    <x v="1"/>
    <x v="0"/>
    <x v="22"/>
    <x v="3"/>
    <x v="4"/>
    <x v="2"/>
  </r>
  <r>
    <s v="TX500632"/>
    <x v="9"/>
    <x v="9"/>
    <n v="75.8"/>
    <n v="379"/>
    <x v="27"/>
    <d v="2025-01-29T00:00:00"/>
    <x v="1"/>
    <x v="0"/>
    <x v="2"/>
    <x v="0"/>
    <x v="3"/>
    <x v="3"/>
    <x v="4"/>
    <x v="1"/>
  </r>
  <r>
    <s v="TX500633"/>
    <x v="14"/>
    <x v="9"/>
    <n v="20.6"/>
    <n v="103"/>
    <x v="27"/>
    <d v="2025-01-29T00:00:00"/>
    <x v="1"/>
    <x v="2"/>
    <x v="2"/>
    <x v="0"/>
    <x v="3"/>
    <x v="3"/>
    <x v="4"/>
    <x v="1"/>
  </r>
  <r>
    <s v="TX500634"/>
    <x v="17"/>
    <x v="2"/>
    <n v="67.900000000000006"/>
    <n v="203.70000000000002"/>
    <x v="27"/>
    <d v="2025-01-29T00:00:00"/>
    <x v="2"/>
    <x v="1"/>
    <x v="1"/>
    <x v="0"/>
    <x v="3"/>
    <x v="3"/>
    <x v="4"/>
    <x v="2"/>
  </r>
  <r>
    <s v="TX500635"/>
    <x v="0"/>
    <x v="9"/>
    <n v="27"/>
    <n v="135"/>
    <x v="27"/>
    <d v="2025-02-04T00:00:00"/>
    <x v="2"/>
    <x v="0"/>
    <x v="2"/>
    <x v="0"/>
    <x v="3"/>
    <x v="6"/>
    <x v="4"/>
    <x v="2"/>
  </r>
  <r>
    <s v="TX500636"/>
    <x v="13"/>
    <x v="0"/>
    <n v="50.6"/>
    <n v="50.6"/>
    <x v="27"/>
    <d v="2025-01-28T00:00:00"/>
    <x v="1"/>
    <x v="0"/>
    <x v="1"/>
    <x v="0"/>
    <x v="3"/>
    <x v="7"/>
    <x v="4"/>
    <x v="1"/>
  </r>
  <r>
    <s v="TX500637"/>
    <x v="4"/>
    <x v="9"/>
    <n v="22.1"/>
    <n v="110.5"/>
    <x v="27"/>
    <d v="2025-02-02T00:00:00"/>
    <x v="1"/>
    <x v="0"/>
    <x v="0"/>
    <x v="0"/>
    <x v="3"/>
    <x v="0"/>
    <x v="4"/>
    <x v="1"/>
  </r>
  <r>
    <s v="TX500638"/>
    <x v="8"/>
    <x v="2"/>
    <n v="42.9"/>
    <n v="128.69999999999999"/>
    <x v="27"/>
    <d v="2025-01-30T00:00:00"/>
    <x v="2"/>
    <x v="0"/>
    <x v="0"/>
    <x v="0"/>
    <x v="3"/>
    <x v="1"/>
    <x v="4"/>
    <x v="2"/>
  </r>
  <r>
    <s v="TX500639"/>
    <x v="1"/>
    <x v="5"/>
    <n v="62.4"/>
    <n v="686.4"/>
    <x v="27"/>
    <d v="2025-01-30T00:00:00"/>
    <x v="2"/>
    <x v="2"/>
    <x v="0"/>
    <x v="0"/>
    <x v="3"/>
    <x v="1"/>
    <x v="4"/>
    <x v="2"/>
  </r>
  <r>
    <s v="TX500640"/>
    <x v="13"/>
    <x v="11"/>
    <n v="36.4"/>
    <n v="327.59999999999997"/>
    <x v="27"/>
    <d v="2025-01-30T00:00:00"/>
    <x v="2"/>
    <x v="0"/>
    <x v="2"/>
    <x v="0"/>
    <x v="3"/>
    <x v="1"/>
    <x v="4"/>
    <x v="2"/>
  </r>
  <r>
    <s v="TX500641"/>
    <x v="0"/>
    <x v="1"/>
    <n v="22.5"/>
    <n v="45"/>
    <x v="27"/>
    <d v="2025-01-31T00:00:00"/>
    <x v="1"/>
    <x v="0"/>
    <x v="0"/>
    <x v="0"/>
    <x v="3"/>
    <x v="2"/>
    <x v="4"/>
    <x v="1"/>
  </r>
  <r>
    <s v="TX500642"/>
    <x v="6"/>
    <x v="12"/>
    <n v="70.8"/>
    <n v="283.2"/>
    <x v="27"/>
    <d v="2025-01-30T00:00:00"/>
    <x v="2"/>
    <x v="4"/>
    <x v="0"/>
    <x v="0"/>
    <x v="3"/>
    <x v="1"/>
    <x v="4"/>
    <x v="2"/>
  </r>
  <r>
    <s v="TX500643"/>
    <x v="6"/>
    <x v="9"/>
    <n v="56.6"/>
    <n v="283"/>
    <x v="27"/>
    <d v="2025-01-30T00:00:00"/>
    <x v="1"/>
    <x v="0"/>
    <x v="1"/>
    <x v="0"/>
    <x v="4"/>
    <x v="1"/>
    <x v="4"/>
    <x v="1"/>
  </r>
  <r>
    <s v="TX500644"/>
    <x v="6"/>
    <x v="1"/>
    <n v="47.9"/>
    <n v="95.8"/>
    <x v="27"/>
    <d v="2025-01-29T00:00:00"/>
    <x v="2"/>
    <x v="0"/>
    <x v="0"/>
    <x v="0"/>
    <x v="6"/>
    <x v="3"/>
    <x v="4"/>
    <x v="2"/>
  </r>
  <r>
    <s v="TX500645"/>
    <x v="6"/>
    <x v="8"/>
    <n v="78.400000000000006"/>
    <n v="627.20000000000005"/>
    <x v="27"/>
    <d v="2025-01-30T00:00:00"/>
    <x v="2"/>
    <x v="1"/>
    <x v="0"/>
    <x v="0"/>
    <x v="6"/>
    <x v="1"/>
    <x v="4"/>
    <x v="2"/>
  </r>
  <r>
    <s v="TX500646"/>
    <x v="2"/>
    <x v="21"/>
    <n v="122.1"/>
    <n v="1709.3999999999999"/>
    <x v="27"/>
    <d v="2025-02-02T00:00:00"/>
    <x v="2"/>
    <x v="0"/>
    <x v="2"/>
    <x v="0"/>
    <x v="6"/>
    <x v="0"/>
    <x v="4"/>
    <x v="2"/>
  </r>
  <r>
    <s v="TX500647"/>
    <x v="2"/>
    <x v="1"/>
    <n v="83.7"/>
    <n v="167.4"/>
    <x v="28"/>
    <d v="2025-01-29T00:00:00"/>
    <x v="0"/>
    <x v="1"/>
    <x v="2"/>
    <x v="0"/>
    <x v="7"/>
    <x v="7"/>
    <x v="4"/>
    <x v="0"/>
  </r>
  <r>
    <s v="TX500648"/>
    <x v="3"/>
    <x v="12"/>
    <n v="97.9"/>
    <n v="391.6"/>
    <x v="28"/>
    <d v="2025-02-02T00:00:00"/>
    <x v="2"/>
    <x v="3"/>
    <x v="2"/>
    <x v="0"/>
    <x v="7"/>
    <x v="5"/>
    <x v="4"/>
    <x v="2"/>
  </r>
  <r>
    <s v="TX500649"/>
    <x v="14"/>
    <x v="0"/>
    <n v="15"/>
    <n v="15"/>
    <x v="28"/>
    <d v="2025-02-03T00:00:00"/>
    <x v="2"/>
    <x v="3"/>
    <x v="0"/>
    <x v="0"/>
    <x v="8"/>
    <x v="0"/>
    <x v="4"/>
    <x v="2"/>
  </r>
  <r>
    <s v="TX500650"/>
    <x v="12"/>
    <x v="2"/>
    <n v="94.6"/>
    <n v="283.79999999999995"/>
    <x v="28"/>
    <d v="2025-01-30T00:00:00"/>
    <x v="1"/>
    <x v="2"/>
    <x v="1"/>
    <x v="0"/>
    <x v="8"/>
    <x v="3"/>
    <x v="4"/>
    <x v="1"/>
  </r>
  <r>
    <s v="TX500651"/>
    <x v="0"/>
    <x v="13"/>
    <n v="19.7"/>
    <n v="118.19999999999999"/>
    <x v="28"/>
    <d v="2025-02-09T00:00:00"/>
    <x v="2"/>
    <x v="0"/>
    <x v="2"/>
    <x v="0"/>
    <x v="8"/>
    <x v="11"/>
    <x v="4"/>
    <x v="2"/>
  </r>
  <r>
    <s v="TX500652"/>
    <x v="7"/>
    <x v="0"/>
    <n v="46.7"/>
    <n v="46.7"/>
    <x v="28"/>
    <d v="2025-02-01T00:00:00"/>
    <x v="2"/>
    <x v="2"/>
    <x v="0"/>
    <x v="0"/>
    <x v="17"/>
    <x v="2"/>
    <x v="4"/>
    <x v="2"/>
  </r>
  <r>
    <s v="TX500653"/>
    <x v="1"/>
    <x v="12"/>
    <n v="43"/>
    <n v="172"/>
    <x v="28"/>
    <d v="2025-01-30T00:00:00"/>
    <x v="1"/>
    <x v="2"/>
    <x v="2"/>
    <x v="0"/>
    <x v="17"/>
    <x v="3"/>
    <x v="4"/>
    <x v="1"/>
  </r>
  <r>
    <s v="TX500654"/>
    <x v="6"/>
    <x v="2"/>
    <n v="68.2"/>
    <n v="204.60000000000002"/>
    <x v="28"/>
    <d v="2025-02-04T00:00:00"/>
    <x v="2"/>
    <x v="0"/>
    <x v="0"/>
    <x v="0"/>
    <x v="9"/>
    <x v="4"/>
    <x v="4"/>
    <x v="2"/>
  </r>
  <r>
    <s v="TX500655"/>
    <x v="10"/>
    <x v="7"/>
    <n v="24.3"/>
    <n v="243"/>
    <x v="28"/>
    <d v="2025-01-30T00:00:00"/>
    <x v="1"/>
    <x v="0"/>
    <x v="2"/>
    <x v="0"/>
    <x v="10"/>
    <x v="3"/>
    <x v="4"/>
    <x v="1"/>
  </r>
  <r>
    <s v="TX500656"/>
    <x v="7"/>
    <x v="1"/>
    <n v="86.8"/>
    <n v="173.6"/>
    <x v="28"/>
    <d v="2025-02-02T00:00:00"/>
    <x v="2"/>
    <x v="4"/>
    <x v="2"/>
    <x v="0"/>
    <x v="11"/>
    <x v="5"/>
    <x v="4"/>
    <x v="2"/>
  </r>
  <r>
    <s v="TX500657"/>
    <x v="0"/>
    <x v="1"/>
    <n v="15.8"/>
    <n v="31.6"/>
    <x v="28"/>
    <d v="2025-01-31T00:00:00"/>
    <x v="1"/>
    <x v="1"/>
    <x v="0"/>
    <x v="0"/>
    <x v="11"/>
    <x v="1"/>
    <x v="4"/>
    <x v="1"/>
  </r>
  <r>
    <s v="TX500658"/>
    <x v="2"/>
    <x v="12"/>
    <n v="61.6"/>
    <n v="246.4"/>
    <x v="28"/>
    <d v="2025-01-30T00:00:00"/>
    <x v="1"/>
    <x v="2"/>
    <x v="0"/>
    <x v="0"/>
    <x v="11"/>
    <x v="3"/>
    <x v="4"/>
    <x v="1"/>
  </r>
  <r>
    <s v="TX500659"/>
    <x v="6"/>
    <x v="2"/>
    <n v="48.7"/>
    <n v="146.10000000000002"/>
    <x v="28"/>
    <d v="2025-02-04T00:00:00"/>
    <x v="2"/>
    <x v="1"/>
    <x v="2"/>
    <x v="0"/>
    <x v="45"/>
    <x v="4"/>
    <x v="4"/>
    <x v="2"/>
  </r>
  <r>
    <s v="TX500660"/>
    <x v="8"/>
    <x v="12"/>
    <n v="24.3"/>
    <n v="97.2"/>
    <x v="28"/>
    <d v="2025-01-31T00:00:00"/>
    <x v="2"/>
    <x v="1"/>
    <x v="2"/>
    <x v="0"/>
    <x v="21"/>
    <x v="1"/>
    <x v="4"/>
    <x v="2"/>
  </r>
  <r>
    <s v="TX500661"/>
    <x v="2"/>
    <x v="1"/>
    <n v="130.69999999999999"/>
    <n v="261.39999999999998"/>
    <x v="28"/>
    <d v="2025-01-30T00:00:00"/>
    <x v="2"/>
    <x v="2"/>
    <x v="0"/>
    <x v="0"/>
    <x v="44"/>
    <x v="3"/>
    <x v="4"/>
    <x v="2"/>
  </r>
  <r>
    <s v="TX500662"/>
    <x v="10"/>
    <x v="0"/>
    <n v="26"/>
    <n v="26"/>
    <x v="28"/>
    <d v="2025-01-31T00:00:00"/>
    <x v="1"/>
    <x v="0"/>
    <x v="0"/>
    <x v="0"/>
    <x v="3"/>
    <x v="1"/>
    <x v="4"/>
    <x v="1"/>
  </r>
  <r>
    <s v="TX500663"/>
    <x v="2"/>
    <x v="9"/>
    <n v="94.4"/>
    <n v="472"/>
    <x v="28"/>
    <d v="2025-01-30T00:00:00"/>
    <x v="2"/>
    <x v="0"/>
    <x v="0"/>
    <x v="0"/>
    <x v="3"/>
    <x v="3"/>
    <x v="4"/>
    <x v="2"/>
  </r>
  <r>
    <s v="TX500664"/>
    <x v="0"/>
    <x v="13"/>
    <n v="23.7"/>
    <n v="142.19999999999999"/>
    <x v="28"/>
    <d v="2025-01-31T00:00:00"/>
    <x v="1"/>
    <x v="2"/>
    <x v="2"/>
    <x v="0"/>
    <x v="3"/>
    <x v="1"/>
    <x v="4"/>
    <x v="1"/>
  </r>
  <r>
    <s v="TX500665"/>
    <x v="9"/>
    <x v="4"/>
    <n v="37.4"/>
    <n v="448.79999999999995"/>
    <x v="28"/>
    <d v="2025-01-31T00:00:00"/>
    <x v="1"/>
    <x v="2"/>
    <x v="0"/>
    <x v="0"/>
    <x v="3"/>
    <x v="1"/>
    <x v="4"/>
    <x v="1"/>
  </r>
  <r>
    <s v="TX500666"/>
    <x v="1"/>
    <x v="34"/>
    <n v="55.2"/>
    <n v="1987.2"/>
    <x v="28"/>
    <d v="2025-01-29T00:00:00"/>
    <x v="2"/>
    <x v="3"/>
    <x v="1"/>
    <x v="0"/>
    <x v="3"/>
    <x v="7"/>
    <x v="4"/>
    <x v="2"/>
  </r>
  <r>
    <s v="TX500667"/>
    <x v="2"/>
    <x v="11"/>
    <n v="57.1"/>
    <n v="513.9"/>
    <x v="28"/>
    <d v="2025-01-31T00:00:00"/>
    <x v="1"/>
    <x v="0"/>
    <x v="2"/>
    <x v="0"/>
    <x v="3"/>
    <x v="1"/>
    <x v="4"/>
    <x v="1"/>
  </r>
  <r>
    <s v="TX500668"/>
    <x v="12"/>
    <x v="0"/>
    <n v="55.3"/>
    <n v="55.3"/>
    <x v="28"/>
    <d v="2025-01-30T00:00:00"/>
    <x v="2"/>
    <x v="2"/>
    <x v="2"/>
    <x v="0"/>
    <x v="3"/>
    <x v="3"/>
    <x v="4"/>
    <x v="2"/>
  </r>
  <r>
    <s v="TX500669"/>
    <x v="15"/>
    <x v="3"/>
    <n v="23.9"/>
    <n v="167.29999999999998"/>
    <x v="28"/>
    <d v="2025-01-30T00:00:00"/>
    <x v="2"/>
    <x v="4"/>
    <x v="1"/>
    <x v="0"/>
    <x v="3"/>
    <x v="3"/>
    <x v="4"/>
    <x v="2"/>
  </r>
  <r>
    <s v="TX500670"/>
    <x v="0"/>
    <x v="0"/>
    <n v="34.1"/>
    <n v="34.1"/>
    <x v="28"/>
    <d v="2025-02-05T00:00:00"/>
    <x v="2"/>
    <x v="2"/>
    <x v="0"/>
    <x v="0"/>
    <x v="3"/>
    <x v="6"/>
    <x v="4"/>
    <x v="2"/>
  </r>
  <r>
    <s v="TX500671"/>
    <x v="12"/>
    <x v="12"/>
    <n v="38.5"/>
    <n v="154"/>
    <x v="28"/>
    <d v="2025-02-09T00:00:00"/>
    <x v="2"/>
    <x v="0"/>
    <x v="0"/>
    <x v="0"/>
    <x v="3"/>
    <x v="11"/>
    <x v="4"/>
    <x v="2"/>
  </r>
  <r>
    <s v="TX500672"/>
    <x v="7"/>
    <x v="1"/>
    <n v="105"/>
    <n v="210"/>
    <x v="28"/>
    <d v="2025-02-04T00:00:00"/>
    <x v="2"/>
    <x v="0"/>
    <x v="2"/>
    <x v="0"/>
    <x v="3"/>
    <x v="4"/>
    <x v="4"/>
    <x v="2"/>
  </r>
  <r>
    <s v="TX500673"/>
    <x v="8"/>
    <x v="9"/>
    <n v="45.2"/>
    <n v="226"/>
    <x v="28"/>
    <d v="2025-01-31T00:00:00"/>
    <x v="2"/>
    <x v="0"/>
    <x v="2"/>
    <x v="0"/>
    <x v="3"/>
    <x v="1"/>
    <x v="4"/>
    <x v="2"/>
  </r>
  <r>
    <s v="TX500674"/>
    <x v="17"/>
    <x v="2"/>
    <n v="24.8"/>
    <n v="74.400000000000006"/>
    <x v="28"/>
    <d v="2025-01-29T00:00:00"/>
    <x v="0"/>
    <x v="0"/>
    <x v="1"/>
    <x v="0"/>
    <x v="3"/>
    <x v="7"/>
    <x v="4"/>
    <x v="0"/>
  </r>
  <r>
    <s v="TX500675"/>
    <x v="11"/>
    <x v="12"/>
    <n v="43.8"/>
    <n v="175.2"/>
    <x v="28"/>
    <d v="2025-02-05T00:00:00"/>
    <x v="2"/>
    <x v="1"/>
    <x v="2"/>
    <x v="0"/>
    <x v="6"/>
    <x v="6"/>
    <x v="4"/>
    <x v="2"/>
  </r>
  <r>
    <s v="TX500676"/>
    <x v="1"/>
    <x v="0"/>
    <n v="75"/>
    <n v="75"/>
    <x v="28"/>
    <d v="2025-01-31T00:00:00"/>
    <x v="2"/>
    <x v="4"/>
    <x v="1"/>
    <x v="0"/>
    <x v="6"/>
    <x v="1"/>
    <x v="4"/>
    <x v="2"/>
  </r>
  <r>
    <s v="TX500677"/>
    <x v="2"/>
    <x v="0"/>
    <n v="169.9"/>
    <n v="169.9"/>
    <x v="28"/>
    <d v="2025-01-30T00:00:00"/>
    <x v="1"/>
    <x v="2"/>
    <x v="0"/>
    <x v="0"/>
    <x v="6"/>
    <x v="3"/>
    <x v="4"/>
    <x v="1"/>
  </r>
  <r>
    <s v="TX500678"/>
    <x v="9"/>
    <x v="1"/>
    <n v="72.2"/>
    <n v="144.4"/>
    <x v="28"/>
    <d v="2025-01-31T00:00:00"/>
    <x v="2"/>
    <x v="4"/>
    <x v="1"/>
    <x v="0"/>
    <x v="6"/>
    <x v="1"/>
    <x v="4"/>
    <x v="2"/>
  </r>
  <r>
    <s v="TX500679"/>
    <x v="0"/>
    <x v="0"/>
    <n v="20"/>
    <n v="20"/>
    <x v="29"/>
    <d v="2025-02-02T00:00:00"/>
    <x v="2"/>
    <x v="2"/>
    <x v="1"/>
    <x v="0"/>
    <x v="7"/>
    <x v="2"/>
    <x v="4"/>
    <x v="2"/>
  </r>
  <r>
    <s v="TX500680"/>
    <x v="9"/>
    <x v="1"/>
    <n v="40.799999999999997"/>
    <n v="81.599999999999994"/>
    <x v="29"/>
    <d v="2025-02-01T00:00:00"/>
    <x v="2"/>
    <x v="3"/>
    <x v="2"/>
    <x v="0"/>
    <x v="8"/>
    <x v="1"/>
    <x v="4"/>
    <x v="2"/>
  </r>
  <r>
    <s v="TX500681"/>
    <x v="10"/>
    <x v="12"/>
    <n v="58"/>
    <n v="232"/>
    <x v="29"/>
    <d v="2025-02-03T00:00:00"/>
    <x v="2"/>
    <x v="0"/>
    <x v="0"/>
    <x v="0"/>
    <x v="8"/>
    <x v="5"/>
    <x v="4"/>
    <x v="2"/>
  </r>
  <r>
    <s v="TX500682"/>
    <x v="12"/>
    <x v="1"/>
    <n v="43.1"/>
    <n v="86.2"/>
    <x v="29"/>
    <d v="2025-01-31T00:00:00"/>
    <x v="2"/>
    <x v="1"/>
    <x v="2"/>
    <x v="0"/>
    <x v="8"/>
    <x v="3"/>
    <x v="4"/>
    <x v="2"/>
  </r>
  <r>
    <s v="TX500683"/>
    <x v="6"/>
    <x v="11"/>
    <n v="74.7"/>
    <n v="672.30000000000007"/>
    <x v="29"/>
    <d v="2025-02-01T00:00:00"/>
    <x v="1"/>
    <x v="0"/>
    <x v="2"/>
    <x v="0"/>
    <x v="8"/>
    <x v="1"/>
    <x v="4"/>
    <x v="1"/>
  </r>
  <r>
    <s v="TX500684"/>
    <x v="6"/>
    <x v="0"/>
    <n v="128.19999999999999"/>
    <n v="128.19999999999999"/>
    <x v="29"/>
    <d v="2025-01-30T00:00:00"/>
    <x v="1"/>
    <x v="1"/>
    <x v="0"/>
    <x v="0"/>
    <x v="8"/>
    <x v="7"/>
    <x v="4"/>
    <x v="1"/>
  </r>
  <r>
    <s v="TX500685"/>
    <x v="14"/>
    <x v="12"/>
    <n v="26.7"/>
    <n v="106.8"/>
    <x v="29"/>
    <d v="2025-01-31T00:00:00"/>
    <x v="1"/>
    <x v="1"/>
    <x v="0"/>
    <x v="0"/>
    <x v="8"/>
    <x v="3"/>
    <x v="4"/>
    <x v="1"/>
  </r>
  <r>
    <s v="TX500686"/>
    <x v="17"/>
    <x v="13"/>
    <n v="31.5"/>
    <n v="189"/>
    <x v="29"/>
    <d v="2025-01-31T00:00:00"/>
    <x v="2"/>
    <x v="2"/>
    <x v="0"/>
    <x v="0"/>
    <x v="17"/>
    <x v="3"/>
    <x v="4"/>
    <x v="2"/>
  </r>
  <r>
    <s v="TX500687"/>
    <x v="3"/>
    <x v="3"/>
    <n v="64.7"/>
    <n v="452.90000000000003"/>
    <x v="29"/>
    <d v="2025-01-31T00:00:00"/>
    <x v="2"/>
    <x v="0"/>
    <x v="2"/>
    <x v="0"/>
    <x v="9"/>
    <x v="3"/>
    <x v="4"/>
    <x v="2"/>
  </r>
  <r>
    <s v="TX500688"/>
    <x v="5"/>
    <x v="1"/>
    <n v="55.6"/>
    <n v="111.2"/>
    <x v="29"/>
    <d v="2025-02-02T00:00:00"/>
    <x v="2"/>
    <x v="3"/>
    <x v="0"/>
    <x v="0"/>
    <x v="11"/>
    <x v="2"/>
    <x v="4"/>
    <x v="2"/>
  </r>
  <r>
    <s v="TX500689"/>
    <x v="3"/>
    <x v="1"/>
    <n v="36.200000000000003"/>
    <n v="72.400000000000006"/>
    <x v="29"/>
    <d v="2025-01-31T00:00:00"/>
    <x v="2"/>
    <x v="3"/>
    <x v="0"/>
    <x v="0"/>
    <x v="11"/>
    <x v="3"/>
    <x v="4"/>
    <x v="2"/>
  </r>
  <r>
    <s v="TX500690"/>
    <x v="0"/>
    <x v="0"/>
    <n v="26.6"/>
    <n v="26.6"/>
    <x v="29"/>
    <d v="2025-01-31T00:00:00"/>
    <x v="0"/>
    <x v="1"/>
    <x v="1"/>
    <x v="0"/>
    <x v="19"/>
    <x v="3"/>
    <x v="4"/>
    <x v="0"/>
  </r>
  <r>
    <s v="TX500691"/>
    <x v="10"/>
    <x v="12"/>
    <n v="31.5"/>
    <n v="126"/>
    <x v="29"/>
    <d v="2025-02-01T00:00:00"/>
    <x v="1"/>
    <x v="0"/>
    <x v="0"/>
    <x v="0"/>
    <x v="31"/>
    <x v="1"/>
    <x v="4"/>
    <x v="1"/>
  </r>
  <r>
    <s v="TX500692"/>
    <x v="10"/>
    <x v="0"/>
    <n v="27"/>
    <n v="27"/>
    <x v="29"/>
    <d v="2025-02-01T00:00:00"/>
    <x v="2"/>
    <x v="1"/>
    <x v="2"/>
    <x v="0"/>
    <x v="13"/>
    <x v="1"/>
    <x v="4"/>
    <x v="2"/>
  </r>
  <r>
    <s v="TX500693"/>
    <x v="4"/>
    <x v="0"/>
    <n v="32"/>
    <n v="32"/>
    <x v="29"/>
    <d v="2025-02-02T00:00:00"/>
    <x v="1"/>
    <x v="3"/>
    <x v="0"/>
    <x v="0"/>
    <x v="21"/>
    <x v="2"/>
    <x v="4"/>
    <x v="1"/>
  </r>
  <r>
    <s v="TX500694"/>
    <x v="1"/>
    <x v="2"/>
    <n v="48.1"/>
    <n v="144.30000000000001"/>
    <x v="29"/>
    <d v="2025-02-01T00:00:00"/>
    <x v="1"/>
    <x v="2"/>
    <x v="1"/>
    <x v="0"/>
    <x v="1"/>
    <x v="1"/>
    <x v="4"/>
    <x v="1"/>
  </r>
  <r>
    <s v="TX500695"/>
    <x v="9"/>
    <x v="1"/>
    <n v="43.4"/>
    <n v="86.8"/>
    <x v="29"/>
    <d v="2025-01-31T00:00:00"/>
    <x v="1"/>
    <x v="1"/>
    <x v="1"/>
    <x v="0"/>
    <x v="22"/>
    <x v="3"/>
    <x v="4"/>
    <x v="1"/>
  </r>
  <r>
    <s v="TX500696"/>
    <x v="6"/>
    <x v="1"/>
    <n v="42.6"/>
    <n v="85.2"/>
    <x v="29"/>
    <d v="2025-02-02T00:00:00"/>
    <x v="2"/>
    <x v="3"/>
    <x v="0"/>
    <x v="0"/>
    <x v="22"/>
    <x v="2"/>
    <x v="4"/>
    <x v="2"/>
  </r>
  <r>
    <s v="TX500697"/>
    <x v="8"/>
    <x v="1"/>
    <n v="15.9"/>
    <n v="31.8"/>
    <x v="29"/>
    <d v="2025-01-31T00:00:00"/>
    <x v="2"/>
    <x v="0"/>
    <x v="0"/>
    <x v="0"/>
    <x v="34"/>
    <x v="3"/>
    <x v="4"/>
    <x v="2"/>
  </r>
  <r>
    <s v="TX500698"/>
    <x v="9"/>
    <x v="1"/>
    <n v="63.2"/>
    <n v="126.4"/>
    <x v="29"/>
    <d v="2025-01-31T00:00:00"/>
    <x v="1"/>
    <x v="1"/>
    <x v="0"/>
    <x v="0"/>
    <x v="3"/>
    <x v="3"/>
    <x v="4"/>
    <x v="1"/>
  </r>
  <r>
    <s v="TX500699"/>
    <x v="7"/>
    <x v="12"/>
    <n v="64.8"/>
    <n v="259.2"/>
    <x v="29"/>
    <d v="2025-02-01T00:00:00"/>
    <x v="0"/>
    <x v="4"/>
    <x v="1"/>
    <x v="0"/>
    <x v="3"/>
    <x v="1"/>
    <x v="4"/>
    <x v="0"/>
  </r>
  <r>
    <s v="TX500700"/>
    <x v="7"/>
    <x v="2"/>
    <n v="79.8"/>
    <n v="239.39999999999998"/>
    <x v="29"/>
    <d v="2025-01-31T00:00:00"/>
    <x v="1"/>
    <x v="0"/>
    <x v="0"/>
    <x v="0"/>
    <x v="3"/>
    <x v="3"/>
    <x v="4"/>
    <x v="1"/>
  </r>
  <r>
    <s v="TX500701"/>
    <x v="9"/>
    <x v="0"/>
    <n v="54.4"/>
    <n v="54.4"/>
    <x v="29"/>
    <d v="2025-02-01T00:00:00"/>
    <x v="2"/>
    <x v="4"/>
    <x v="2"/>
    <x v="0"/>
    <x v="3"/>
    <x v="1"/>
    <x v="4"/>
    <x v="2"/>
  </r>
  <r>
    <s v="TX500702"/>
    <x v="6"/>
    <x v="0"/>
    <n v="87.3"/>
    <n v="87.3"/>
    <x v="29"/>
    <d v="2025-01-31T00:00:00"/>
    <x v="1"/>
    <x v="1"/>
    <x v="0"/>
    <x v="0"/>
    <x v="3"/>
    <x v="3"/>
    <x v="4"/>
    <x v="1"/>
  </r>
  <r>
    <s v="TX500703"/>
    <x v="8"/>
    <x v="12"/>
    <n v="32.4"/>
    <n v="129.6"/>
    <x v="29"/>
    <d v="2025-01-30T00:00:00"/>
    <x v="1"/>
    <x v="1"/>
    <x v="0"/>
    <x v="0"/>
    <x v="3"/>
    <x v="7"/>
    <x v="4"/>
    <x v="1"/>
  </r>
  <r>
    <s v="TX500704"/>
    <x v="2"/>
    <x v="0"/>
    <n v="177.4"/>
    <n v="177.4"/>
    <x v="29"/>
    <d v="2025-02-03T00:00:00"/>
    <x v="1"/>
    <x v="0"/>
    <x v="2"/>
    <x v="0"/>
    <x v="3"/>
    <x v="5"/>
    <x v="4"/>
    <x v="1"/>
  </r>
  <r>
    <s v="TX500705"/>
    <x v="7"/>
    <x v="1"/>
    <n v="70.099999999999994"/>
    <n v="140.19999999999999"/>
    <x v="29"/>
    <d v="2025-01-31T00:00:00"/>
    <x v="1"/>
    <x v="3"/>
    <x v="1"/>
    <x v="0"/>
    <x v="3"/>
    <x v="3"/>
    <x v="4"/>
    <x v="1"/>
  </r>
  <r>
    <s v="TX500706"/>
    <x v="9"/>
    <x v="13"/>
    <n v="51.1"/>
    <n v="306.60000000000002"/>
    <x v="29"/>
    <d v="2025-01-31T00:00:00"/>
    <x v="2"/>
    <x v="0"/>
    <x v="0"/>
    <x v="0"/>
    <x v="3"/>
    <x v="3"/>
    <x v="4"/>
    <x v="2"/>
  </r>
  <r>
    <s v="TX500707"/>
    <x v="2"/>
    <x v="9"/>
    <n v="79.900000000000006"/>
    <n v="399.5"/>
    <x v="29"/>
    <d v="2025-02-01T00:00:00"/>
    <x v="1"/>
    <x v="3"/>
    <x v="2"/>
    <x v="0"/>
    <x v="24"/>
    <x v="1"/>
    <x v="4"/>
    <x v="1"/>
  </r>
  <r>
    <s v="TX500708"/>
    <x v="6"/>
    <x v="0"/>
    <n v="57.6"/>
    <n v="57.6"/>
    <x v="30"/>
    <d v="2025-02-05T00:00:00"/>
    <x v="1"/>
    <x v="0"/>
    <x v="2"/>
    <x v="0"/>
    <x v="49"/>
    <x v="0"/>
    <x v="4"/>
    <x v="1"/>
  </r>
  <r>
    <s v="TX500709"/>
    <x v="8"/>
    <x v="7"/>
    <n v="59.7"/>
    <n v="597"/>
    <x v="30"/>
    <d v="2025-02-04T00:00:00"/>
    <x v="1"/>
    <x v="2"/>
    <x v="0"/>
    <x v="0"/>
    <x v="25"/>
    <x v="5"/>
    <x v="4"/>
    <x v="1"/>
  </r>
  <r>
    <s v="TX500710"/>
    <x v="8"/>
    <x v="9"/>
    <n v="30"/>
    <n v="150"/>
    <x v="30"/>
    <d v="2025-02-02T00:00:00"/>
    <x v="1"/>
    <x v="1"/>
    <x v="0"/>
    <x v="0"/>
    <x v="6"/>
    <x v="1"/>
    <x v="4"/>
    <x v="1"/>
  </r>
  <r>
    <s v="TX500711"/>
    <x v="10"/>
    <x v="1"/>
    <n v="69.2"/>
    <n v="138.4"/>
    <x v="30"/>
    <d v="2025-02-02T00:00:00"/>
    <x v="0"/>
    <x v="2"/>
    <x v="1"/>
    <x v="0"/>
    <x v="6"/>
    <x v="1"/>
    <x v="4"/>
    <x v="0"/>
  </r>
  <r>
    <s v="TX500712"/>
    <x v="0"/>
    <x v="8"/>
    <n v="10.9"/>
    <n v="87.2"/>
    <x v="30"/>
    <d v="2025-02-01T00:00:00"/>
    <x v="2"/>
    <x v="0"/>
    <x v="2"/>
    <x v="0"/>
    <x v="6"/>
    <x v="3"/>
    <x v="4"/>
    <x v="2"/>
  </r>
  <r>
    <s v="TX500713"/>
    <x v="16"/>
    <x v="1"/>
    <n v="48.6"/>
    <n v="97.2"/>
    <x v="30"/>
    <d v="2025-02-04T00:00:00"/>
    <x v="1"/>
    <x v="1"/>
    <x v="2"/>
    <x v="0"/>
    <x v="6"/>
    <x v="5"/>
    <x v="4"/>
    <x v="1"/>
  </r>
  <r>
    <s v="TX500714"/>
    <x v="2"/>
    <x v="1"/>
    <n v="61.1"/>
    <n v="122.2"/>
    <x v="30"/>
    <d v="2025-02-03T00:00:00"/>
    <x v="2"/>
    <x v="1"/>
    <x v="2"/>
    <x v="0"/>
    <x v="7"/>
    <x v="2"/>
    <x v="4"/>
    <x v="2"/>
  </r>
  <r>
    <s v="TX500715"/>
    <x v="8"/>
    <x v="1"/>
    <n v="23.2"/>
    <n v="46.4"/>
    <x v="30"/>
    <d v="2025-02-01T00:00:00"/>
    <x v="1"/>
    <x v="3"/>
    <x v="2"/>
    <x v="0"/>
    <x v="8"/>
    <x v="3"/>
    <x v="4"/>
    <x v="1"/>
  </r>
  <r>
    <s v="TX500716"/>
    <x v="12"/>
    <x v="12"/>
    <n v="55.8"/>
    <n v="223.2"/>
    <x v="30"/>
    <d v="2025-02-01T00:00:00"/>
    <x v="1"/>
    <x v="0"/>
    <x v="0"/>
    <x v="0"/>
    <x v="8"/>
    <x v="3"/>
    <x v="4"/>
    <x v="1"/>
  </r>
  <r>
    <s v="TX500717"/>
    <x v="9"/>
    <x v="12"/>
    <n v="24.8"/>
    <n v="99.2"/>
    <x v="30"/>
    <d v="2025-02-01T00:00:00"/>
    <x v="2"/>
    <x v="0"/>
    <x v="2"/>
    <x v="0"/>
    <x v="8"/>
    <x v="3"/>
    <x v="4"/>
    <x v="2"/>
  </r>
  <r>
    <s v="TX500718"/>
    <x v="10"/>
    <x v="1"/>
    <n v="27.9"/>
    <n v="55.8"/>
    <x v="30"/>
    <d v="2025-01-31T00:00:00"/>
    <x v="1"/>
    <x v="2"/>
    <x v="2"/>
    <x v="0"/>
    <x v="8"/>
    <x v="7"/>
    <x v="4"/>
    <x v="1"/>
  </r>
  <r>
    <s v="TX500719"/>
    <x v="10"/>
    <x v="13"/>
    <n v="51.1"/>
    <n v="306.60000000000002"/>
    <x v="30"/>
    <d v="2025-01-31T00:00:00"/>
    <x v="2"/>
    <x v="3"/>
    <x v="0"/>
    <x v="0"/>
    <x v="8"/>
    <x v="7"/>
    <x v="4"/>
    <x v="2"/>
  </r>
  <r>
    <s v="TX500720"/>
    <x v="17"/>
    <x v="5"/>
    <n v="32.700000000000003"/>
    <n v="359.70000000000005"/>
    <x v="30"/>
    <d v="2025-02-01T00:00:00"/>
    <x v="1"/>
    <x v="4"/>
    <x v="2"/>
    <x v="0"/>
    <x v="17"/>
    <x v="3"/>
    <x v="4"/>
    <x v="1"/>
  </r>
  <r>
    <s v="TX500721"/>
    <x v="8"/>
    <x v="12"/>
    <n v="22.5"/>
    <n v="90"/>
    <x v="30"/>
    <d v="2025-01-31T00:00:00"/>
    <x v="1"/>
    <x v="0"/>
    <x v="2"/>
    <x v="0"/>
    <x v="26"/>
    <x v="7"/>
    <x v="4"/>
    <x v="1"/>
  </r>
  <r>
    <s v="TX500722"/>
    <x v="0"/>
    <x v="3"/>
    <n v="14.6"/>
    <n v="102.2"/>
    <x v="30"/>
    <d v="2025-02-01T00:00:00"/>
    <x v="2"/>
    <x v="2"/>
    <x v="0"/>
    <x v="0"/>
    <x v="41"/>
    <x v="3"/>
    <x v="4"/>
    <x v="2"/>
  </r>
  <r>
    <s v="TX500723"/>
    <x v="5"/>
    <x v="2"/>
    <n v="32.5"/>
    <n v="97.5"/>
    <x v="30"/>
    <d v="2025-02-03T00:00:00"/>
    <x v="1"/>
    <x v="0"/>
    <x v="0"/>
    <x v="0"/>
    <x v="10"/>
    <x v="2"/>
    <x v="4"/>
    <x v="1"/>
  </r>
  <r>
    <s v="TX500724"/>
    <x v="18"/>
    <x v="0"/>
    <n v="78.099999999999994"/>
    <n v="78.099999999999994"/>
    <x v="30"/>
    <d v="2025-02-03T00:00:00"/>
    <x v="1"/>
    <x v="0"/>
    <x v="2"/>
    <x v="0"/>
    <x v="11"/>
    <x v="2"/>
    <x v="4"/>
    <x v="1"/>
  </r>
  <r>
    <s v="TX500725"/>
    <x v="12"/>
    <x v="13"/>
    <n v="110.2"/>
    <n v="661.2"/>
    <x v="30"/>
    <d v="2025-01-31T00:00:00"/>
    <x v="1"/>
    <x v="1"/>
    <x v="4"/>
    <x v="0"/>
    <x v="13"/>
    <x v="7"/>
    <x v="4"/>
    <x v="1"/>
  </r>
  <r>
    <s v="TX500726"/>
    <x v="6"/>
    <x v="2"/>
    <n v="86.3"/>
    <n v="258.89999999999998"/>
    <x v="30"/>
    <d v="2025-02-02T00:00:00"/>
    <x v="2"/>
    <x v="3"/>
    <x v="0"/>
    <x v="0"/>
    <x v="21"/>
    <x v="1"/>
    <x v="4"/>
    <x v="2"/>
  </r>
  <r>
    <s v="TX500727"/>
    <x v="1"/>
    <x v="13"/>
    <n v="73.599999999999994"/>
    <n v="441.59999999999997"/>
    <x v="30"/>
    <d v="2025-02-02T00:00:00"/>
    <x v="3"/>
    <x v="3"/>
    <x v="4"/>
    <x v="0"/>
    <x v="44"/>
    <x v="1"/>
    <x v="4"/>
    <x v="3"/>
  </r>
  <r>
    <s v="TX500728"/>
    <x v="6"/>
    <x v="15"/>
    <n v="67.7"/>
    <n v="880.1"/>
    <x v="30"/>
    <d v="2025-02-02T00:00:00"/>
    <x v="2"/>
    <x v="0"/>
    <x v="2"/>
    <x v="0"/>
    <x v="3"/>
    <x v="1"/>
    <x v="4"/>
    <x v="2"/>
  </r>
  <r>
    <s v="TX500729"/>
    <x v="7"/>
    <x v="13"/>
    <n v="142.19999999999999"/>
    <n v="853.19999999999993"/>
    <x v="30"/>
    <d v="2025-02-01T00:00:00"/>
    <x v="2"/>
    <x v="2"/>
    <x v="4"/>
    <x v="0"/>
    <x v="3"/>
    <x v="3"/>
    <x v="4"/>
    <x v="2"/>
  </r>
  <r>
    <s v="TX500730"/>
    <x v="1"/>
    <x v="11"/>
    <n v="45.8"/>
    <n v="412.2"/>
    <x v="30"/>
    <d v="2025-02-02T00:00:00"/>
    <x v="2"/>
    <x v="1"/>
    <x v="2"/>
    <x v="0"/>
    <x v="3"/>
    <x v="1"/>
    <x v="4"/>
    <x v="2"/>
  </r>
  <r>
    <s v="TX500731"/>
    <x v="10"/>
    <x v="1"/>
    <n v="24.2"/>
    <n v="48.4"/>
    <x v="31"/>
    <d v="2025-02-04T00:00:00"/>
    <x v="2"/>
    <x v="3"/>
    <x v="2"/>
    <x v="0"/>
    <x v="3"/>
    <x v="2"/>
    <x v="4"/>
    <x v="2"/>
  </r>
  <r>
    <s v="TX500732"/>
    <x v="2"/>
    <x v="2"/>
    <n v="144.9"/>
    <n v="434.70000000000005"/>
    <x v="31"/>
    <d v="2025-02-02T00:00:00"/>
    <x v="3"/>
    <x v="2"/>
    <x v="2"/>
    <x v="0"/>
    <x v="3"/>
    <x v="3"/>
    <x v="4"/>
    <x v="3"/>
  </r>
  <r>
    <s v="TX500733"/>
    <x v="11"/>
    <x v="9"/>
    <n v="32.799999999999997"/>
    <n v="164"/>
    <x v="31"/>
    <d v="2025-02-04T00:00:00"/>
    <x v="2"/>
    <x v="2"/>
    <x v="0"/>
    <x v="0"/>
    <x v="23"/>
    <x v="2"/>
    <x v="4"/>
    <x v="2"/>
  </r>
  <r>
    <s v="TX500734"/>
    <x v="7"/>
    <x v="7"/>
    <n v="35.700000000000003"/>
    <n v="357"/>
    <x v="31"/>
    <d v="2025-02-01T00:00:00"/>
    <x v="2"/>
    <x v="0"/>
    <x v="1"/>
    <x v="0"/>
    <x v="6"/>
    <x v="7"/>
    <x v="4"/>
    <x v="2"/>
  </r>
  <r>
    <s v="TX500735"/>
    <x v="9"/>
    <x v="1"/>
    <n v="54.6"/>
    <n v="109.2"/>
    <x v="31"/>
    <d v="2025-02-02T00:00:00"/>
    <x v="2"/>
    <x v="2"/>
    <x v="0"/>
    <x v="0"/>
    <x v="6"/>
    <x v="3"/>
    <x v="4"/>
    <x v="2"/>
  </r>
  <r>
    <s v="TX500736"/>
    <x v="8"/>
    <x v="1"/>
    <n v="35.700000000000003"/>
    <n v="71.400000000000006"/>
    <x v="31"/>
    <d v="2025-02-04T00:00:00"/>
    <x v="0"/>
    <x v="0"/>
    <x v="1"/>
    <x v="0"/>
    <x v="6"/>
    <x v="2"/>
    <x v="4"/>
    <x v="0"/>
  </r>
  <r>
    <s v="TX500737"/>
    <x v="10"/>
    <x v="1"/>
    <n v="52.4"/>
    <n v="104.8"/>
    <x v="31"/>
    <d v="2025-02-01T00:00:00"/>
    <x v="2"/>
    <x v="0"/>
    <x v="3"/>
    <x v="0"/>
    <x v="6"/>
    <x v="7"/>
    <x v="4"/>
    <x v="2"/>
  </r>
  <r>
    <s v="TX500738"/>
    <x v="8"/>
    <x v="21"/>
    <n v="16.2"/>
    <n v="226.79999999999998"/>
    <x v="31"/>
    <d v="2025-02-02T00:00:00"/>
    <x v="0"/>
    <x v="0"/>
    <x v="1"/>
    <x v="0"/>
    <x v="8"/>
    <x v="3"/>
    <x v="4"/>
    <x v="0"/>
  </r>
  <r>
    <s v="TX500739"/>
    <x v="6"/>
    <x v="35"/>
    <n v="42.8"/>
    <n v="2011.6"/>
    <x v="31"/>
    <d v="2025-02-02T00:00:00"/>
    <x v="2"/>
    <x v="0"/>
    <x v="0"/>
    <x v="0"/>
    <x v="8"/>
    <x v="3"/>
    <x v="4"/>
    <x v="2"/>
  </r>
  <r>
    <s v="TX500740"/>
    <x v="6"/>
    <x v="11"/>
    <n v="144.4"/>
    <n v="1299.6000000000001"/>
    <x v="31"/>
    <d v="2025-02-04T00:00:00"/>
    <x v="2"/>
    <x v="4"/>
    <x v="0"/>
    <x v="0"/>
    <x v="8"/>
    <x v="2"/>
    <x v="4"/>
    <x v="2"/>
  </r>
  <r>
    <s v="TX500741"/>
    <x v="3"/>
    <x v="34"/>
    <n v="30.6"/>
    <n v="1101.6000000000001"/>
    <x v="31"/>
    <d v="2025-02-05T00:00:00"/>
    <x v="2"/>
    <x v="2"/>
    <x v="2"/>
    <x v="0"/>
    <x v="11"/>
    <x v="5"/>
    <x v="4"/>
    <x v="2"/>
  </r>
  <r>
    <s v="TX500742"/>
    <x v="2"/>
    <x v="1"/>
    <n v="117.5"/>
    <n v="235"/>
    <x v="31"/>
    <d v="2025-02-02T00:00:00"/>
    <x v="1"/>
    <x v="0"/>
    <x v="0"/>
    <x v="0"/>
    <x v="19"/>
    <x v="3"/>
    <x v="4"/>
    <x v="1"/>
  </r>
  <r>
    <s v="TX500743"/>
    <x v="6"/>
    <x v="1"/>
    <n v="105.7"/>
    <n v="211.4"/>
    <x v="31"/>
    <d v="2025-02-02T00:00:00"/>
    <x v="2"/>
    <x v="2"/>
    <x v="2"/>
    <x v="0"/>
    <x v="21"/>
    <x v="3"/>
    <x v="4"/>
    <x v="2"/>
  </r>
  <r>
    <s v="TX500744"/>
    <x v="3"/>
    <x v="2"/>
    <n v="133.69999999999999"/>
    <n v="401.09999999999997"/>
    <x v="31"/>
    <d v="2025-02-02T00:00:00"/>
    <x v="0"/>
    <x v="4"/>
    <x v="2"/>
    <x v="0"/>
    <x v="21"/>
    <x v="3"/>
    <x v="4"/>
    <x v="0"/>
  </r>
  <r>
    <s v="TX500745"/>
    <x v="4"/>
    <x v="9"/>
    <n v="46.8"/>
    <n v="234"/>
    <x v="32"/>
    <d v="2025-02-10T00:00:00"/>
    <x v="2"/>
    <x v="0"/>
    <x v="1"/>
    <x v="0"/>
    <x v="21"/>
    <x v="9"/>
    <x v="5"/>
    <x v="2"/>
  </r>
  <r>
    <s v="TX500746"/>
    <x v="10"/>
    <x v="2"/>
    <n v="58.4"/>
    <n v="175.2"/>
    <x v="32"/>
    <d v="2025-02-04T00:00:00"/>
    <x v="2"/>
    <x v="0"/>
    <x v="0"/>
    <x v="0"/>
    <x v="1"/>
    <x v="1"/>
    <x v="5"/>
    <x v="2"/>
  </r>
  <r>
    <s v="TX500747"/>
    <x v="6"/>
    <x v="11"/>
    <n v="65.099999999999994"/>
    <n v="585.9"/>
    <x v="32"/>
    <d v="2025-02-06T00:00:00"/>
    <x v="1"/>
    <x v="1"/>
    <x v="2"/>
    <x v="0"/>
    <x v="22"/>
    <x v="5"/>
    <x v="5"/>
    <x v="1"/>
  </r>
  <r>
    <s v="TX500748"/>
    <x v="8"/>
    <x v="0"/>
    <n v="18.600000000000001"/>
    <n v="18.600000000000001"/>
    <x v="32"/>
    <d v="2025-02-05T00:00:00"/>
    <x v="2"/>
    <x v="0"/>
    <x v="4"/>
    <x v="0"/>
    <x v="22"/>
    <x v="2"/>
    <x v="5"/>
    <x v="2"/>
  </r>
  <r>
    <s v="TX500749"/>
    <x v="1"/>
    <x v="5"/>
    <n v="92.3"/>
    <n v="1015.3"/>
    <x v="32"/>
    <d v="2025-02-04T00:00:00"/>
    <x v="1"/>
    <x v="1"/>
    <x v="0"/>
    <x v="0"/>
    <x v="3"/>
    <x v="1"/>
    <x v="5"/>
    <x v="1"/>
  </r>
  <r>
    <s v="TX500750"/>
    <x v="6"/>
    <x v="2"/>
    <n v="81.7"/>
    <n v="245.10000000000002"/>
    <x v="32"/>
    <d v="2025-02-03T00:00:00"/>
    <x v="0"/>
    <x v="4"/>
    <x v="4"/>
    <x v="0"/>
    <x v="3"/>
    <x v="3"/>
    <x v="5"/>
    <x v="0"/>
  </r>
  <r>
    <s v="TX500751"/>
    <x v="8"/>
    <x v="1"/>
    <n v="40.9"/>
    <n v="81.8"/>
    <x v="32"/>
    <d v="2025-02-04T00:00:00"/>
    <x v="1"/>
    <x v="0"/>
    <x v="1"/>
    <x v="0"/>
    <x v="3"/>
    <x v="1"/>
    <x v="5"/>
    <x v="1"/>
  </r>
  <r>
    <s v="TX500752"/>
    <x v="6"/>
    <x v="12"/>
    <n v="43.2"/>
    <n v="172.8"/>
    <x v="32"/>
    <d v="2025-02-08T00:00:00"/>
    <x v="2"/>
    <x v="0"/>
    <x v="1"/>
    <x v="0"/>
    <x v="3"/>
    <x v="4"/>
    <x v="5"/>
    <x v="2"/>
  </r>
  <r>
    <s v="TX500753"/>
    <x v="8"/>
    <x v="5"/>
    <n v="25.8"/>
    <n v="283.8"/>
    <x v="32"/>
    <d v="2025-02-05T00:00:00"/>
    <x v="1"/>
    <x v="2"/>
    <x v="1"/>
    <x v="0"/>
    <x v="3"/>
    <x v="2"/>
    <x v="5"/>
    <x v="1"/>
  </r>
  <r>
    <s v="TX500754"/>
    <x v="15"/>
    <x v="12"/>
    <n v="36.4"/>
    <n v="145.6"/>
    <x v="32"/>
    <d v="2025-02-03T00:00:00"/>
    <x v="1"/>
    <x v="0"/>
    <x v="0"/>
    <x v="0"/>
    <x v="3"/>
    <x v="3"/>
    <x v="5"/>
    <x v="1"/>
  </r>
  <r>
    <s v="TX500755"/>
    <x v="10"/>
    <x v="0"/>
    <n v="59.1"/>
    <n v="59.1"/>
    <x v="32"/>
    <d v="2025-02-03T00:00:00"/>
    <x v="2"/>
    <x v="2"/>
    <x v="0"/>
    <x v="0"/>
    <x v="7"/>
    <x v="3"/>
    <x v="5"/>
    <x v="2"/>
  </r>
  <r>
    <s v="TX500756"/>
    <x v="2"/>
    <x v="14"/>
    <n v="74.5"/>
    <n v="1266.5"/>
    <x v="32"/>
    <d v="2025-02-04T00:00:00"/>
    <x v="1"/>
    <x v="4"/>
    <x v="0"/>
    <x v="0"/>
    <x v="18"/>
    <x v="1"/>
    <x v="5"/>
    <x v="1"/>
  </r>
  <r>
    <s v="TX500757"/>
    <x v="5"/>
    <x v="0"/>
    <n v="72.8"/>
    <n v="72.8"/>
    <x v="32"/>
    <d v="2025-02-03T00:00:00"/>
    <x v="2"/>
    <x v="0"/>
    <x v="1"/>
    <x v="0"/>
    <x v="19"/>
    <x v="3"/>
    <x v="5"/>
    <x v="2"/>
  </r>
  <r>
    <s v="TX500758"/>
    <x v="6"/>
    <x v="12"/>
    <n v="137.30000000000001"/>
    <n v="549.20000000000005"/>
    <x v="32"/>
    <d v="2025-02-05T00:00:00"/>
    <x v="2"/>
    <x v="0"/>
    <x v="0"/>
    <x v="0"/>
    <x v="13"/>
    <x v="2"/>
    <x v="5"/>
    <x v="2"/>
  </r>
  <r>
    <s v="TX500759"/>
    <x v="1"/>
    <x v="2"/>
    <n v="48.7"/>
    <n v="146.10000000000002"/>
    <x v="32"/>
    <d v="2025-02-07T00:00:00"/>
    <x v="2"/>
    <x v="0"/>
    <x v="1"/>
    <x v="0"/>
    <x v="21"/>
    <x v="0"/>
    <x v="5"/>
    <x v="2"/>
  </r>
  <r>
    <s v="TX500760"/>
    <x v="6"/>
    <x v="12"/>
    <n v="53.7"/>
    <n v="214.8"/>
    <x v="32"/>
    <d v="2025-02-06T00:00:00"/>
    <x v="1"/>
    <x v="1"/>
    <x v="4"/>
    <x v="0"/>
    <x v="2"/>
    <x v="5"/>
    <x v="5"/>
    <x v="1"/>
  </r>
  <r>
    <s v="TX500761"/>
    <x v="2"/>
    <x v="3"/>
    <n v="100.9"/>
    <n v="706.30000000000007"/>
    <x v="32"/>
    <d v="2025-02-04T00:00:00"/>
    <x v="2"/>
    <x v="0"/>
    <x v="1"/>
    <x v="0"/>
    <x v="2"/>
    <x v="1"/>
    <x v="5"/>
    <x v="2"/>
  </r>
  <r>
    <s v="TX500762"/>
    <x v="10"/>
    <x v="1"/>
    <n v="41.8"/>
    <n v="83.6"/>
    <x v="32"/>
    <d v="2025-02-06T00:00:00"/>
    <x v="1"/>
    <x v="3"/>
    <x v="2"/>
    <x v="0"/>
    <x v="22"/>
    <x v="5"/>
    <x v="5"/>
    <x v="1"/>
  </r>
  <r>
    <s v="TX500763"/>
    <x v="4"/>
    <x v="8"/>
    <n v="28.5"/>
    <n v="228"/>
    <x v="32"/>
    <d v="2025-02-04T00:00:00"/>
    <x v="1"/>
    <x v="2"/>
    <x v="1"/>
    <x v="0"/>
    <x v="3"/>
    <x v="1"/>
    <x v="5"/>
    <x v="1"/>
  </r>
  <r>
    <s v="TX500764"/>
    <x v="7"/>
    <x v="12"/>
    <n v="88.9"/>
    <n v="355.6"/>
    <x v="32"/>
    <d v="2025-02-05T00:00:00"/>
    <x v="2"/>
    <x v="0"/>
    <x v="2"/>
    <x v="0"/>
    <x v="3"/>
    <x v="2"/>
    <x v="5"/>
    <x v="2"/>
  </r>
  <r>
    <s v="TX500765"/>
    <x v="6"/>
    <x v="0"/>
    <n v="62.5"/>
    <n v="62.5"/>
    <x v="32"/>
    <d v="2025-02-11T00:00:00"/>
    <x v="2"/>
    <x v="0"/>
    <x v="2"/>
    <x v="0"/>
    <x v="3"/>
    <x v="8"/>
    <x v="5"/>
    <x v="2"/>
  </r>
  <r>
    <s v="TX500766"/>
    <x v="1"/>
    <x v="2"/>
    <n v="46.9"/>
    <n v="140.69999999999999"/>
    <x v="32"/>
    <d v="2025-02-03T00:00:00"/>
    <x v="1"/>
    <x v="0"/>
    <x v="2"/>
    <x v="0"/>
    <x v="3"/>
    <x v="3"/>
    <x v="5"/>
    <x v="1"/>
  </r>
  <r>
    <s v="TX500767"/>
    <x v="8"/>
    <x v="2"/>
    <n v="45"/>
    <n v="135"/>
    <x v="32"/>
    <d v="2025-02-16T00:00:00"/>
    <x v="1"/>
    <x v="1"/>
    <x v="0"/>
    <x v="0"/>
    <x v="3"/>
    <x v="12"/>
    <x v="5"/>
    <x v="1"/>
  </r>
  <r>
    <s v="TX500768"/>
    <x v="6"/>
    <x v="2"/>
    <n v="45.2"/>
    <n v="135.60000000000002"/>
    <x v="32"/>
    <d v="2025-02-04T00:00:00"/>
    <x v="1"/>
    <x v="4"/>
    <x v="2"/>
    <x v="0"/>
    <x v="3"/>
    <x v="1"/>
    <x v="5"/>
    <x v="1"/>
  </r>
  <r>
    <s v="TX500769"/>
    <x v="4"/>
    <x v="1"/>
    <n v="60.1"/>
    <n v="120.2"/>
    <x v="32"/>
    <d v="2025-02-03T00:00:00"/>
    <x v="2"/>
    <x v="0"/>
    <x v="2"/>
    <x v="0"/>
    <x v="3"/>
    <x v="3"/>
    <x v="5"/>
    <x v="2"/>
  </r>
  <r>
    <s v="TX500770"/>
    <x v="12"/>
    <x v="12"/>
    <n v="118.7"/>
    <n v="474.8"/>
    <x v="32"/>
    <d v="2025-02-04T00:00:00"/>
    <x v="2"/>
    <x v="0"/>
    <x v="0"/>
    <x v="0"/>
    <x v="3"/>
    <x v="1"/>
    <x v="5"/>
    <x v="2"/>
  </r>
  <r>
    <s v="TX500771"/>
    <x v="9"/>
    <x v="0"/>
    <n v="57.8"/>
    <n v="57.8"/>
    <x v="32"/>
    <d v="2025-02-11T00:00:00"/>
    <x v="2"/>
    <x v="1"/>
    <x v="0"/>
    <x v="0"/>
    <x v="3"/>
    <x v="8"/>
    <x v="5"/>
    <x v="2"/>
  </r>
  <r>
    <s v="TX500772"/>
    <x v="4"/>
    <x v="0"/>
    <n v="19.5"/>
    <n v="19.5"/>
    <x v="32"/>
    <d v="2025-02-03T00:00:00"/>
    <x v="1"/>
    <x v="1"/>
    <x v="1"/>
    <x v="0"/>
    <x v="3"/>
    <x v="3"/>
    <x v="5"/>
    <x v="1"/>
  </r>
  <r>
    <s v="TX500773"/>
    <x v="12"/>
    <x v="0"/>
    <n v="42.6"/>
    <n v="42.6"/>
    <x v="32"/>
    <d v="2025-02-03T00:00:00"/>
    <x v="1"/>
    <x v="0"/>
    <x v="1"/>
    <x v="0"/>
    <x v="3"/>
    <x v="3"/>
    <x v="5"/>
    <x v="1"/>
  </r>
  <r>
    <s v="TX500774"/>
    <x v="6"/>
    <x v="1"/>
    <n v="74.8"/>
    <n v="149.6"/>
    <x v="32"/>
    <d v="2025-02-03T00:00:00"/>
    <x v="2"/>
    <x v="3"/>
    <x v="2"/>
    <x v="0"/>
    <x v="37"/>
    <x v="3"/>
    <x v="5"/>
    <x v="2"/>
  </r>
  <r>
    <s v="TX500775"/>
    <x v="8"/>
    <x v="2"/>
    <n v="32.5"/>
    <n v="97.5"/>
    <x v="32"/>
    <d v="2025-02-03T00:00:00"/>
    <x v="1"/>
    <x v="2"/>
    <x v="4"/>
    <x v="0"/>
    <x v="16"/>
    <x v="3"/>
    <x v="5"/>
    <x v="1"/>
  </r>
  <r>
    <s v="TX500776"/>
    <x v="2"/>
    <x v="2"/>
    <n v="60.5"/>
    <n v="181.5"/>
    <x v="32"/>
    <d v="2025-02-02T00:00:00"/>
    <x v="2"/>
    <x v="1"/>
    <x v="2"/>
    <x v="0"/>
    <x v="25"/>
    <x v="7"/>
    <x v="5"/>
    <x v="2"/>
  </r>
  <r>
    <s v="TX500777"/>
    <x v="1"/>
    <x v="3"/>
    <n v="57.2"/>
    <n v="400.40000000000003"/>
    <x v="32"/>
    <d v="2025-02-04T00:00:00"/>
    <x v="0"/>
    <x v="2"/>
    <x v="0"/>
    <x v="0"/>
    <x v="25"/>
    <x v="1"/>
    <x v="5"/>
    <x v="0"/>
  </r>
  <r>
    <s v="TX500778"/>
    <x v="16"/>
    <x v="1"/>
    <n v="112"/>
    <n v="224"/>
    <x v="32"/>
    <d v="2025-02-03T00:00:00"/>
    <x v="2"/>
    <x v="1"/>
    <x v="1"/>
    <x v="0"/>
    <x v="5"/>
    <x v="3"/>
    <x v="5"/>
    <x v="2"/>
  </r>
  <r>
    <s v="TX500779"/>
    <x v="7"/>
    <x v="7"/>
    <n v="49"/>
    <n v="490"/>
    <x v="32"/>
    <d v="2025-02-03T00:00:00"/>
    <x v="3"/>
    <x v="2"/>
    <x v="1"/>
    <x v="0"/>
    <x v="6"/>
    <x v="3"/>
    <x v="5"/>
    <x v="3"/>
  </r>
  <r>
    <s v="TX500780"/>
    <x v="0"/>
    <x v="1"/>
    <n v="33.700000000000003"/>
    <n v="67.400000000000006"/>
    <x v="32"/>
    <d v="2025-02-06T00:00:00"/>
    <x v="2"/>
    <x v="3"/>
    <x v="0"/>
    <x v="0"/>
    <x v="6"/>
    <x v="5"/>
    <x v="5"/>
    <x v="2"/>
  </r>
  <r>
    <s v="TX500781"/>
    <x v="4"/>
    <x v="2"/>
    <n v="35.6"/>
    <n v="106.80000000000001"/>
    <x v="32"/>
    <d v="2025-02-05T00:00:00"/>
    <x v="2"/>
    <x v="0"/>
    <x v="2"/>
    <x v="0"/>
    <x v="6"/>
    <x v="2"/>
    <x v="5"/>
    <x v="2"/>
  </r>
  <r>
    <s v="TX500782"/>
    <x v="4"/>
    <x v="36"/>
    <n v="30.4"/>
    <n v="1064"/>
    <x v="33"/>
    <d v="2025-02-03T00:00:00"/>
    <x v="2"/>
    <x v="0"/>
    <x v="1"/>
    <x v="0"/>
    <x v="7"/>
    <x v="7"/>
    <x v="5"/>
    <x v="2"/>
  </r>
  <r>
    <s v="TX500783"/>
    <x v="10"/>
    <x v="4"/>
    <n v="50.2"/>
    <n v="602.40000000000009"/>
    <x v="33"/>
    <d v="2025-02-04T00:00:00"/>
    <x v="1"/>
    <x v="4"/>
    <x v="0"/>
    <x v="0"/>
    <x v="8"/>
    <x v="3"/>
    <x v="5"/>
    <x v="1"/>
  </r>
  <r>
    <s v="TX500784"/>
    <x v="1"/>
    <x v="1"/>
    <n v="43.7"/>
    <n v="87.4"/>
    <x v="33"/>
    <d v="2025-02-05T00:00:00"/>
    <x v="2"/>
    <x v="0"/>
    <x v="0"/>
    <x v="0"/>
    <x v="8"/>
    <x v="1"/>
    <x v="5"/>
    <x v="2"/>
  </r>
  <r>
    <s v="TX500785"/>
    <x v="10"/>
    <x v="0"/>
    <n v="33.299999999999997"/>
    <n v="33.299999999999997"/>
    <x v="33"/>
    <d v="2025-02-04T00:00:00"/>
    <x v="2"/>
    <x v="2"/>
    <x v="1"/>
    <x v="0"/>
    <x v="8"/>
    <x v="3"/>
    <x v="5"/>
    <x v="2"/>
  </r>
  <r>
    <s v="TX500786"/>
    <x v="8"/>
    <x v="12"/>
    <n v="15.1"/>
    <n v="60.4"/>
    <x v="33"/>
    <d v="2025-02-05T00:00:00"/>
    <x v="2"/>
    <x v="4"/>
    <x v="2"/>
    <x v="0"/>
    <x v="8"/>
    <x v="1"/>
    <x v="5"/>
    <x v="2"/>
  </r>
  <r>
    <s v="TX500787"/>
    <x v="6"/>
    <x v="9"/>
    <n v="118.2"/>
    <n v="591"/>
    <x v="33"/>
    <d v="2025-02-04T00:00:00"/>
    <x v="2"/>
    <x v="3"/>
    <x v="4"/>
    <x v="0"/>
    <x v="8"/>
    <x v="3"/>
    <x v="5"/>
    <x v="2"/>
  </r>
  <r>
    <s v="TX500788"/>
    <x v="10"/>
    <x v="2"/>
    <n v="28.9"/>
    <n v="86.699999999999989"/>
    <x v="33"/>
    <d v="2025-02-05T00:00:00"/>
    <x v="2"/>
    <x v="2"/>
    <x v="1"/>
    <x v="0"/>
    <x v="8"/>
    <x v="1"/>
    <x v="5"/>
    <x v="2"/>
  </r>
  <r>
    <s v="TX500789"/>
    <x v="4"/>
    <x v="2"/>
    <n v="55.6"/>
    <n v="166.8"/>
    <x v="33"/>
    <d v="2025-02-04T00:00:00"/>
    <x v="1"/>
    <x v="0"/>
    <x v="1"/>
    <x v="0"/>
    <x v="8"/>
    <x v="3"/>
    <x v="5"/>
    <x v="1"/>
  </r>
  <r>
    <s v="TX500790"/>
    <x v="9"/>
    <x v="12"/>
    <n v="25.6"/>
    <n v="102.4"/>
    <x v="33"/>
    <d v="2025-02-05T00:00:00"/>
    <x v="2"/>
    <x v="0"/>
    <x v="1"/>
    <x v="0"/>
    <x v="8"/>
    <x v="1"/>
    <x v="5"/>
    <x v="2"/>
  </r>
  <r>
    <s v="TX500791"/>
    <x v="7"/>
    <x v="2"/>
    <n v="31.3"/>
    <n v="93.9"/>
    <x v="33"/>
    <d v="2025-02-04T00:00:00"/>
    <x v="1"/>
    <x v="0"/>
    <x v="0"/>
    <x v="0"/>
    <x v="17"/>
    <x v="3"/>
    <x v="5"/>
    <x v="1"/>
  </r>
  <r>
    <s v="TX500792"/>
    <x v="0"/>
    <x v="2"/>
    <n v="22.1"/>
    <n v="66.300000000000011"/>
    <x v="33"/>
    <d v="2025-02-07T00:00:00"/>
    <x v="1"/>
    <x v="0"/>
    <x v="0"/>
    <x v="0"/>
    <x v="17"/>
    <x v="5"/>
    <x v="5"/>
    <x v="1"/>
  </r>
  <r>
    <s v="TX500793"/>
    <x v="2"/>
    <x v="21"/>
    <n v="99.4"/>
    <n v="1391.6000000000001"/>
    <x v="33"/>
    <d v="2025-02-04T00:00:00"/>
    <x v="1"/>
    <x v="1"/>
    <x v="0"/>
    <x v="0"/>
    <x v="11"/>
    <x v="3"/>
    <x v="5"/>
    <x v="1"/>
  </r>
  <r>
    <s v="TX500794"/>
    <x v="7"/>
    <x v="13"/>
    <n v="66.599999999999994"/>
    <n v="399.59999999999997"/>
    <x v="33"/>
    <d v="2025-02-04T00:00:00"/>
    <x v="2"/>
    <x v="0"/>
    <x v="0"/>
    <x v="0"/>
    <x v="11"/>
    <x v="3"/>
    <x v="5"/>
    <x v="2"/>
  </r>
  <r>
    <s v="TX500795"/>
    <x v="8"/>
    <x v="1"/>
    <n v="22.6"/>
    <n v="45.2"/>
    <x v="33"/>
    <d v="2025-02-06T00:00:00"/>
    <x v="1"/>
    <x v="0"/>
    <x v="0"/>
    <x v="0"/>
    <x v="11"/>
    <x v="2"/>
    <x v="5"/>
    <x v="1"/>
  </r>
  <r>
    <s v="TX500796"/>
    <x v="2"/>
    <x v="16"/>
    <n v="66.8"/>
    <n v="1202.3999999999999"/>
    <x v="33"/>
    <d v="2025-02-04T00:00:00"/>
    <x v="2"/>
    <x v="0"/>
    <x v="4"/>
    <x v="0"/>
    <x v="13"/>
    <x v="3"/>
    <x v="5"/>
    <x v="2"/>
  </r>
  <r>
    <s v="TX500797"/>
    <x v="0"/>
    <x v="12"/>
    <n v="20.8"/>
    <n v="83.2"/>
    <x v="33"/>
    <d v="2025-02-10T00:00:00"/>
    <x v="1"/>
    <x v="1"/>
    <x v="4"/>
    <x v="0"/>
    <x v="1"/>
    <x v="6"/>
    <x v="5"/>
    <x v="1"/>
  </r>
  <r>
    <s v="TX500798"/>
    <x v="2"/>
    <x v="3"/>
    <n v="102.5"/>
    <n v="717.5"/>
    <x v="33"/>
    <d v="2025-02-04T00:00:00"/>
    <x v="2"/>
    <x v="4"/>
    <x v="2"/>
    <x v="0"/>
    <x v="3"/>
    <x v="3"/>
    <x v="5"/>
    <x v="2"/>
  </r>
  <r>
    <s v="TX500799"/>
    <x v="0"/>
    <x v="16"/>
    <n v="24.8"/>
    <n v="446.40000000000003"/>
    <x v="33"/>
    <d v="2025-02-07T00:00:00"/>
    <x v="2"/>
    <x v="0"/>
    <x v="0"/>
    <x v="0"/>
    <x v="3"/>
    <x v="5"/>
    <x v="5"/>
    <x v="2"/>
  </r>
  <r>
    <s v="TX500800"/>
    <x v="4"/>
    <x v="37"/>
    <n v="31.4"/>
    <n v="973.4"/>
    <x v="33"/>
    <d v="2025-02-04T00:00:00"/>
    <x v="2"/>
    <x v="3"/>
    <x v="0"/>
    <x v="0"/>
    <x v="3"/>
    <x v="3"/>
    <x v="5"/>
    <x v="2"/>
  </r>
  <r>
    <s v="TX500801"/>
    <x v="9"/>
    <x v="9"/>
    <n v="59.3"/>
    <n v="296.5"/>
    <x v="33"/>
    <d v="2025-02-06T00:00:00"/>
    <x v="1"/>
    <x v="1"/>
    <x v="2"/>
    <x v="0"/>
    <x v="43"/>
    <x v="2"/>
    <x v="5"/>
    <x v="1"/>
  </r>
  <r>
    <s v="TX500802"/>
    <x v="11"/>
    <x v="13"/>
    <n v="39"/>
    <n v="234"/>
    <x v="33"/>
    <d v="2025-02-06T00:00:00"/>
    <x v="1"/>
    <x v="1"/>
    <x v="0"/>
    <x v="0"/>
    <x v="6"/>
    <x v="2"/>
    <x v="5"/>
    <x v="1"/>
  </r>
  <r>
    <s v="TX500803"/>
    <x v="5"/>
    <x v="13"/>
    <n v="98.6"/>
    <n v="591.59999999999991"/>
    <x v="33"/>
    <d v="2025-02-05T00:00:00"/>
    <x v="2"/>
    <x v="1"/>
    <x v="0"/>
    <x v="0"/>
    <x v="6"/>
    <x v="1"/>
    <x v="5"/>
    <x v="2"/>
  </r>
  <r>
    <s v="TX500804"/>
    <x v="8"/>
    <x v="0"/>
    <n v="20"/>
    <n v="20"/>
    <x v="34"/>
    <d v="2025-02-05T00:00:00"/>
    <x v="1"/>
    <x v="3"/>
    <x v="2"/>
    <x v="0"/>
    <x v="8"/>
    <x v="3"/>
    <x v="5"/>
    <x v="1"/>
  </r>
  <r>
    <s v="TX500805"/>
    <x v="1"/>
    <x v="1"/>
    <n v="42.9"/>
    <n v="85.8"/>
    <x v="34"/>
    <d v="2025-02-06T00:00:00"/>
    <x v="2"/>
    <x v="0"/>
    <x v="2"/>
    <x v="0"/>
    <x v="8"/>
    <x v="1"/>
    <x v="5"/>
    <x v="2"/>
  </r>
  <r>
    <s v="TX500806"/>
    <x v="7"/>
    <x v="3"/>
    <n v="55.6"/>
    <n v="389.2"/>
    <x v="34"/>
    <d v="2025-02-06T00:00:00"/>
    <x v="2"/>
    <x v="2"/>
    <x v="1"/>
    <x v="0"/>
    <x v="8"/>
    <x v="1"/>
    <x v="5"/>
    <x v="2"/>
  </r>
  <r>
    <s v="TX500807"/>
    <x v="8"/>
    <x v="12"/>
    <n v="19.2"/>
    <n v="76.8"/>
    <x v="34"/>
    <d v="2025-02-09T00:00:00"/>
    <x v="2"/>
    <x v="0"/>
    <x v="0"/>
    <x v="0"/>
    <x v="41"/>
    <x v="0"/>
    <x v="5"/>
    <x v="2"/>
  </r>
  <r>
    <s v="TX500808"/>
    <x v="5"/>
    <x v="1"/>
    <n v="28.8"/>
    <n v="57.6"/>
    <x v="34"/>
    <d v="2025-02-06T00:00:00"/>
    <x v="1"/>
    <x v="1"/>
    <x v="0"/>
    <x v="0"/>
    <x v="18"/>
    <x v="1"/>
    <x v="5"/>
    <x v="1"/>
  </r>
  <r>
    <s v="TX500809"/>
    <x v="4"/>
    <x v="0"/>
    <n v="29.7"/>
    <n v="29.7"/>
    <x v="34"/>
    <d v="2025-02-06T00:00:00"/>
    <x v="2"/>
    <x v="2"/>
    <x v="4"/>
    <x v="0"/>
    <x v="20"/>
    <x v="1"/>
    <x v="5"/>
    <x v="2"/>
  </r>
  <r>
    <s v="TX500810"/>
    <x v="6"/>
    <x v="13"/>
    <n v="63.3"/>
    <n v="379.79999999999995"/>
    <x v="34"/>
    <d v="2025-02-05T00:00:00"/>
    <x v="0"/>
    <x v="0"/>
    <x v="2"/>
    <x v="0"/>
    <x v="21"/>
    <x v="3"/>
    <x v="5"/>
    <x v="0"/>
  </r>
  <r>
    <s v="TX500811"/>
    <x v="4"/>
    <x v="0"/>
    <n v="46"/>
    <n v="46"/>
    <x v="34"/>
    <d v="2025-02-05T00:00:00"/>
    <x v="2"/>
    <x v="0"/>
    <x v="2"/>
    <x v="0"/>
    <x v="21"/>
    <x v="3"/>
    <x v="5"/>
    <x v="2"/>
  </r>
  <r>
    <s v="TX500812"/>
    <x v="11"/>
    <x v="2"/>
    <n v="38"/>
    <n v="114"/>
    <x v="34"/>
    <d v="2025-02-06T00:00:00"/>
    <x v="2"/>
    <x v="1"/>
    <x v="2"/>
    <x v="0"/>
    <x v="21"/>
    <x v="1"/>
    <x v="5"/>
    <x v="2"/>
  </r>
  <r>
    <s v="TX500813"/>
    <x v="10"/>
    <x v="15"/>
    <n v="34.6"/>
    <n v="449.8"/>
    <x v="34"/>
    <d v="2025-02-06T00:00:00"/>
    <x v="2"/>
    <x v="0"/>
    <x v="1"/>
    <x v="0"/>
    <x v="21"/>
    <x v="1"/>
    <x v="5"/>
    <x v="2"/>
  </r>
  <r>
    <s v="TX500814"/>
    <x v="3"/>
    <x v="7"/>
    <n v="79.7"/>
    <n v="797"/>
    <x v="34"/>
    <d v="2025-02-05T00:00:00"/>
    <x v="2"/>
    <x v="4"/>
    <x v="1"/>
    <x v="0"/>
    <x v="21"/>
    <x v="3"/>
    <x v="5"/>
    <x v="2"/>
  </r>
  <r>
    <s v="TX500815"/>
    <x v="8"/>
    <x v="8"/>
    <n v="30.5"/>
    <n v="244"/>
    <x v="34"/>
    <d v="2025-02-08T00:00:00"/>
    <x v="1"/>
    <x v="3"/>
    <x v="0"/>
    <x v="0"/>
    <x v="1"/>
    <x v="5"/>
    <x v="5"/>
    <x v="1"/>
  </r>
  <r>
    <s v="TX500816"/>
    <x v="0"/>
    <x v="1"/>
    <n v="20.8"/>
    <n v="41.6"/>
    <x v="34"/>
    <d v="2025-02-05T00:00:00"/>
    <x v="2"/>
    <x v="0"/>
    <x v="0"/>
    <x v="0"/>
    <x v="2"/>
    <x v="3"/>
    <x v="5"/>
    <x v="2"/>
  </r>
  <r>
    <s v="TX500817"/>
    <x v="11"/>
    <x v="3"/>
    <n v="48.5"/>
    <n v="339.5"/>
    <x v="34"/>
    <d v="2025-02-08T00:00:00"/>
    <x v="2"/>
    <x v="2"/>
    <x v="2"/>
    <x v="0"/>
    <x v="2"/>
    <x v="5"/>
    <x v="5"/>
    <x v="2"/>
  </r>
  <r>
    <s v="TX500818"/>
    <x v="2"/>
    <x v="12"/>
    <n v="61.8"/>
    <n v="247.2"/>
    <x v="34"/>
    <d v="2025-02-08T00:00:00"/>
    <x v="2"/>
    <x v="4"/>
    <x v="0"/>
    <x v="0"/>
    <x v="22"/>
    <x v="5"/>
    <x v="5"/>
    <x v="2"/>
  </r>
  <r>
    <s v="TX500819"/>
    <x v="10"/>
    <x v="0"/>
    <n v="46.1"/>
    <n v="46.1"/>
    <x v="34"/>
    <d v="2025-02-05T00:00:00"/>
    <x v="3"/>
    <x v="2"/>
    <x v="0"/>
    <x v="0"/>
    <x v="3"/>
    <x v="3"/>
    <x v="5"/>
    <x v="3"/>
  </r>
  <r>
    <s v="TX500820"/>
    <x v="4"/>
    <x v="13"/>
    <n v="44"/>
    <n v="264"/>
    <x v="34"/>
    <d v="2025-02-05T00:00:00"/>
    <x v="2"/>
    <x v="0"/>
    <x v="0"/>
    <x v="0"/>
    <x v="3"/>
    <x v="3"/>
    <x v="5"/>
    <x v="2"/>
  </r>
  <r>
    <s v="TX500821"/>
    <x v="18"/>
    <x v="1"/>
    <n v="95.7"/>
    <n v="191.4"/>
    <x v="34"/>
    <d v="2025-02-10T00:00:00"/>
    <x v="2"/>
    <x v="3"/>
    <x v="2"/>
    <x v="0"/>
    <x v="3"/>
    <x v="4"/>
    <x v="5"/>
    <x v="2"/>
  </r>
  <r>
    <s v="TX500822"/>
    <x v="7"/>
    <x v="9"/>
    <n v="46.4"/>
    <n v="232"/>
    <x v="34"/>
    <d v="2025-02-07T00:00:00"/>
    <x v="2"/>
    <x v="0"/>
    <x v="0"/>
    <x v="0"/>
    <x v="3"/>
    <x v="2"/>
    <x v="5"/>
    <x v="2"/>
  </r>
  <r>
    <s v="TX500823"/>
    <x v="6"/>
    <x v="1"/>
    <n v="47.2"/>
    <n v="94.4"/>
    <x v="34"/>
    <d v="2025-02-06T00:00:00"/>
    <x v="2"/>
    <x v="0"/>
    <x v="2"/>
    <x v="0"/>
    <x v="3"/>
    <x v="1"/>
    <x v="5"/>
    <x v="2"/>
  </r>
  <r>
    <s v="TX500824"/>
    <x v="7"/>
    <x v="1"/>
    <n v="58.6"/>
    <n v="117.2"/>
    <x v="34"/>
    <d v="2025-02-05T00:00:00"/>
    <x v="2"/>
    <x v="2"/>
    <x v="1"/>
    <x v="0"/>
    <x v="3"/>
    <x v="3"/>
    <x v="5"/>
    <x v="2"/>
  </r>
  <r>
    <s v="TX500825"/>
    <x v="4"/>
    <x v="2"/>
    <n v="57"/>
    <n v="171"/>
    <x v="34"/>
    <d v="2025-02-05T00:00:00"/>
    <x v="1"/>
    <x v="0"/>
    <x v="2"/>
    <x v="0"/>
    <x v="3"/>
    <x v="3"/>
    <x v="5"/>
    <x v="1"/>
  </r>
  <r>
    <s v="TX500826"/>
    <x v="8"/>
    <x v="12"/>
    <n v="28.9"/>
    <n v="115.6"/>
    <x v="34"/>
    <d v="2025-02-08T00:00:00"/>
    <x v="1"/>
    <x v="2"/>
    <x v="0"/>
    <x v="0"/>
    <x v="3"/>
    <x v="5"/>
    <x v="5"/>
    <x v="1"/>
  </r>
  <r>
    <s v="TX500827"/>
    <x v="12"/>
    <x v="9"/>
    <n v="60.7"/>
    <n v="303.5"/>
    <x v="34"/>
    <d v="2025-02-08T00:00:00"/>
    <x v="0"/>
    <x v="1"/>
    <x v="1"/>
    <x v="0"/>
    <x v="3"/>
    <x v="5"/>
    <x v="5"/>
    <x v="0"/>
  </r>
  <r>
    <s v="TX500828"/>
    <x v="6"/>
    <x v="9"/>
    <n v="60.8"/>
    <n v="304"/>
    <x v="34"/>
    <d v="2025-02-08T00:00:00"/>
    <x v="1"/>
    <x v="0"/>
    <x v="1"/>
    <x v="0"/>
    <x v="3"/>
    <x v="5"/>
    <x v="5"/>
    <x v="1"/>
  </r>
  <r>
    <s v="TX500829"/>
    <x v="6"/>
    <x v="9"/>
    <n v="64.599999999999994"/>
    <n v="323"/>
    <x v="34"/>
    <d v="2025-02-05T00:00:00"/>
    <x v="2"/>
    <x v="3"/>
    <x v="0"/>
    <x v="0"/>
    <x v="3"/>
    <x v="3"/>
    <x v="5"/>
    <x v="2"/>
  </r>
  <r>
    <s v="TX500830"/>
    <x v="8"/>
    <x v="0"/>
    <n v="21.9"/>
    <n v="21.9"/>
    <x v="34"/>
    <d v="2025-02-07T00:00:00"/>
    <x v="1"/>
    <x v="1"/>
    <x v="2"/>
    <x v="0"/>
    <x v="4"/>
    <x v="2"/>
    <x v="5"/>
    <x v="1"/>
  </r>
  <r>
    <s v="TX500831"/>
    <x v="4"/>
    <x v="4"/>
    <n v="33.4"/>
    <n v="400.79999999999995"/>
    <x v="34"/>
    <d v="2025-02-06T00:00:00"/>
    <x v="2"/>
    <x v="0"/>
    <x v="0"/>
    <x v="0"/>
    <x v="23"/>
    <x v="1"/>
    <x v="5"/>
    <x v="2"/>
  </r>
  <r>
    <s v="TX500832"/>
    <x v="2"/>
    <x v="0"/>
    <n v="51.7"/>
    <n v="51.7"/>
    <x v="34"/>
    <d v="2025-02-05T00:00:00"/>
    <x v="0"/>
    <x v="0"/>
    <x v="0"/>
    <x v="0"/>
    <x v="6"/>
    <x v="3"/>
    <x v="5"/>
    <x v="0"/>
  </r>
  <r>
    <s v="TX500833"/>
    <x v="1"/>
    <x v="12"/>
    <n v="84.9"/>
    <n v="339.6"/>
    <x v="34"/>
    <d v="2025-02-05T00:00:00"/>
    <x v="2"/>
    <x v="1"/>
    <x v="1"/>
    <x v="0"/>
    <x v="6"/>
    <x v="3"/>
    <x v="5"/>
    <x v="2"/>
  </r>
  <r>
    <s v="TX500834"/>
    <x v="1"/>
    <x v="5"/>
    <n v="62.3"/>
    <n v="685.3"/>
    <x v="34"/>
    <d v="2025-02-05T00:00:00"/>
    <x v="2"/>
    <x v="2"/>
    <x v="2"/>
    <x v="0"/>
    <x v="7"/>
    <x v="3"/>
    <x v="5"/>
    <x v="2"/>
  </r>
  <r>
    <s v="TX500835"/>
    <x v="4"/>
    <x v="0"/>
    <n v="50.7"/>
    <n v="50.7"/>
    <x v="34"/>
    <d v="2025-02-06T00:00:00"/>
    <x v="1"/>
    <x v="2"/>
    <x v="2"/>
    <x v="0"/>
    <x v="8"/>
    <x v="1"/>
    <x v="5"/>
    <x v="1"/>
  </r>
  <r>
    <s v="TX500836"/>
    <x v="18"/>
    <x v="0"/>
    <n v="39.5"/>
    <n v="39.5"/>
    <x v="34"/>
    <d v="2025-02-05T00:00:00"/>
    <x v="1"/>
    <x v="4"/>
    <x v="1"/>
    <x v="0"/>
    <x v="8"/>
    <x v="3"/>
    <x v="5"/>
    <x v="1"/>
  </r>
  <r>
    <s v="TX500837"/>
    <x v="12"/>
    <x v="2"/>
    <n v="30.9"/>
    <n v="92.699999999999989"/>
    <x v="34"/>
    <d v="2025-02-05T00:00:00"/>
    <x v="0"/>
    <x v="4"/>
    <x v="2"/>
    <x v="0"/>
    <x v="8"/>
    <x v="3"/>
    <x v="5"/>
    <x v="0"/>
  </r>
  <r>
    <s v="TX500838"/>
    <x v="1"/>
    <x v="3"/>
    <n v="36.4"/>
    <n v="254.79999999999998"/>
    <x v="34"/>
    <d v="2025-02-07T00:00:00"/>
    <x v="2"/>
    <x v="0"/>
    <x v="2"/>
    <x v="0"/>
    <x v="8"/>
    <x v="2"/>
    <x v="5"/>
    <x v="2"/>
  </r>
  <r>
    <s v="TX500839"/>
    <x v="6"/>
    <x v="8"/>
    <n v="105.6"/>
    <n v="844.8"/>
    <x v="34"/>
    <d v="2025-02-14T00:00:00"/>
    <x v="2"/>
    <x v="0"/>
    <x v="0"/>
    <x v="0"/>
    <x v="8"/>
    <x v="14"/>
    <x v="5"/>
    <x v="2"/>
  </r>
  <r>
    <s v="TX500840"/>
    <x v="8"/>
    <x v="1"/>
    <n v="22.1"/>
    <n v="44.2"/>
    <x v="34"/>
    <d v="2025-02-05T00:00:00"/>
    <x v="2"/>
    <x v="0"/>
    <x v="2"/>
    <x v="0"/>
    <x v="17"/>
    <x v="3"/>
    <x v="5"/>
    <x v="2"/>
  </r>
  <r>
    <s v="TX500841"/>
    <x v="0"/>
    <x v="2"/>
    <n v="22.6"/>
    <n v="67.800000000000011"/>
    <x v="34"/>
    <d v="2025-02-05T00:00:00"/>
    <x v="2"/>
    <x v="2"/>
    <x v="0"/>
    <x v="0"/>
    <x v="17"/>
    <x v="3"/>
    <x v="5"/>
    <x v="2"/>
  </r>
  <r>
    <s v="TX500842"/>
    <x v="10"/>
    <x v="13"/>
    <n v="26.3"/>
    <n v="157.80000000000001"/>
    <x v="34"/>
    <d v="2025-02-04T00:00:00"/>
    <x v="2"/>
    <x v="2"/>
    <x v="0"/>
    <x v="0"/>
    <x v="9"/>
    <x v="7"/>
    <x v="5"/>
    <x v="2"/>
  </r>
  <r>
    <s v="TX500843"/>
    <x v="1"/>
    <x v="12"/>
    <n v="37.799999999999997"/>
    <n v="151.19999999999999"/>
    <x v="34"/>
    <d v="2025-02-05T00:00:00"/>
    <x v="2"/>
    <x v="0"/>
    <x v="2"/>
    <x v="0"/>
    <x v="11"/>
    <x v="3"/>
    <x v="5"/>
    <x v="2"/>
  </r>
  <r>
    <s v="TX500844"/>
    <x v="6"/>
    <x v="14"/>
    <n v="96"/>
    <n v="1632"/>
    <x v="34"/>
    <d v="2025-02-07T00:00:00"/>
    <x v="2"/>
    <x v="4"/>
    <x v="1"/>
    <x v="0"/>
    <x v="18"/>
    <x v="2"/>
    <x v="5"/>
    <x v="2"/>
  </r>
  <r>
    <s v="TX500845"/>
    <x v="1"/>
    <x v="0"/>
    <n v="83.6"/>
    <n v="83.6"/>
    <x v="34"/>
    <d v="2025-02-07T00:00:00"/>
    <x v="2"/>
    <x v="2"/>
    <x v="1"/>
    <x v="0"/>
    <x v="19"/>
    <x v="2"/>
    <x v="5"/>
    <x v="2"/>
  </r>
  <r>
    <s v="TX500846"/>
    <x v="2"/>
    <x v="13"/>
    <n v="72.599999999999994"/>
    <n v="435.59999999999997"/>
    <x v="34"/>
    <d v="2025-02-05T00:00:00"/>
    <x v="2"/>
    <x v="0"/>
    <x v="0"/>
    <x v="0"/>
    <x v="21"/>
    <x v="3"/>
    <x v="5"/>
    <x v="2"/>
  </r>
  <r>
    <s v="TX500847"/>
    <x v="5"/>
    <x v="28"/>
    <n v="69.099999999999994"/>
    <n v="1382"/>
    <x v="35"/>
    <d v="2025-02-11T00:00:00"/>
    <x v="1"/>
    <x v="0"/>
    <x v="2"/>
    <x v="0"/>
    <x v="21"/>
    <x v="4"/>
    <x v="5"/>
    <x v="1"/>
  </r>
  <r>
    <s v="TX500848"/>
    <x v="4"/>
    <x v="1"/>
    <n v="22.6"/>
    <n v="45.2"/>
    <x v="35"/>
    <d v="2025-02-07T00:00:00"/>
    <x v="2"/>
    <x v="1"/>
    <x v="2"/>
    <x v="0"/>
    <x v="21"/>
    <x v="1"/>
    <x v="5"/>
    <x v="2"/>
  </r>
  <r>
    <s v="TX500849"/>
    <x v="6"/>
    <x v="1"/>
    <n v="45.3"/>
    <n v="90.6"/>
    <x v="35"/>
    <d v="2025-02-09T00:00:00"/>
    <x v="1"/>
    <x v="4"/>
    <x v="2"/>
    <x v="0"/>
    <x v="21"/>
    <x v="5"/>
    <x v="5"/>
    <x v="1"/>
  </r>
  <r>
    <s v="TX500850"/>
    <x v="2"/>
    <x v="1"/>
    <n v="115.1"/>
    <n v="230.2"/>
    <x v="35"/>
    <d v="2025-02-06T00:00:00"/>
    <x v="2"/>
    <x v="1"/>
    <x v="0"/>
    <x v="0"/>
    <x v="1"/>
    <x v="3"/>
    <x v="5"/>
    <x v="2"/>
  </r>
  <r>
    <s v="TX500851"/>
    <x v="18"/>
    <x v="12"/>
    <n v="79"/>
    <n v="316"/>
    <x v="35"/>
    <d v="2025-02-07T00:00:00"/>
    <x v="1"/>
    <x v="2"/>
    <x v="4"/>
    <x v="0"/>
    <x v="1"/>
    <x v="1"/>
    <x v="5"/>
    <x v="1"/>
  </r>
  <r>
    <s v="TX500852"/>
    <x v="6"/>
    <x v="9"/>
    <n v="52.8"/>
    <n v="264"/>
    <x v="35"/>
    <d v="2025-02-06T00:00:00"/>
    <x v="2"/>
    <x v="0"/>
    <x v="0"/>
    <x v="0"/>
    <x v="42"/>
    <x v="3"/>
    <x v="5"/>
    <x v="2"/>
  </r>
  <r>
    <s v="TX500853"/>
    <x v="8"/>
    <x v="1"/>
    <n v="34.1"/>
    <n v="68.2"/>
    <x v="35"/>
    <d v="2025-02-06T00:00:00"/>
    <x v="1"/>
    <x v="3"/>
    <x v="2"/>
    <x v="0"/>
    <x v="44"/>
    <x v="3"/>
    <x v="5"/>
    <x v="1"/>
  </r>
  <r>
    <s v="TX500854"/>
    <x v="6"/>
    <x v="9"/>
    <n v="107.9"/>
    <n v="539.5"/>
    <x v="35"/>
    <d v="2025-02-05T00:00:00"/>
    <x v="2"/>
    <x v="0"/>
    <x v="2"/>
    <x v="0"/>
    <x v="50"/>
    <x v="7"/>
    <x v="5"/>
    <x v="2"/>
  </r>
  <r>
    <s v="TX500855"/>
    <x v="8"/>
    <x v="15"/>
    <n v="48.5"/>
    <n v="630.5"/>
    <x v="35"/>
    <d v="2025-02-05T00:00:00"/>
    <x v="1"/>
    <x v="2"/>
    <x v="2"/>
    <x v="0"/>
    <x v="3"/>
    <x v="7"/>
    <x v="5"/>
    <x v="1"/>
  </r>
  <r>
    <s v="TX500856"/>
    <x v="5"/>
    <x v="2"/>
    <n v="34.700000000000003"/>
    <n v="104.10000000000001"/>
    <x v="35"/>
    <d v="2025-02-06T00:00:00"/>
    <x v="0"/>
    <x v="4"/>
    <x v="1"/>
    <x v="0"/>
    <x v="3"/>
    <x v="3"/>
    <x v="5"/>
    <x v="0"/>
  </r>
  <r>
    <s v="TX500857"/>
    <x v="8"/>
    <x v="0"/>
    <n v="16.8"/>
    <n v="16.8"/>
    <x v="35"/>
    <d v="2025-02-07T00:00:00"/>
    <x v="2"/>
    <x v="3"/>
    <x v="0"/>
    <x v="0"/>
    <x v="3"/>
    <x v="1"/>
    <x v="5"/>
    <x v="2"/>
  </r>
  <r>
    <s v="TX500858"/>
    <x v="8"/>
    <x v="13"/>
    <n v="18.3"/>
    <n v="109.80000000000001"/>
    <x v="35"/>
    <d v="2025-02-08T00:00:00"/>
    <x v="2"/>
    <x v="0"/>
    <x v="0"/>
    <x v="0"/>
    <x v="3"/>
    <x v="2"/>
    <x v="5"/>
    <x v="2"/>
  </r>
  <r>
    <s v="TX500859"/>
    <x v="18"/>
    <x v="2"/>
    <n v="55.9"/>
    <n v="167.7"/>
    <x v="35"/>
    <d v="2025-02-11T00:00:00"/>
    <x v="1"/>
    <x v="3"/>
    <x v="1"/>
    <x v="0"/>
    <x v="3"/>
    <x v="4"/>
    <x v="5"/>
    <x v="1"/>
  </r>
  <r>
    <s v="TX500860"/>
    <x v="8"/>
    <x v="2"/>
    <n v="39.200000000000003"/>
    <n v="117.60000000000001"/>
    <x v="35"/>
    <d v="2025-02-07T00:00:00"/>
    <x v="2"/>
    <x v="0"/>
    <x v="1"/>
    <x v="0"/>
    <x v="3"/>
    <x v="1"/>
    <x v="5"/>
    <x v="2"/>
  </r>
  <r>
    <s v="TX500861"/>
    <x v="15"/>
    <x v="12"/>
    <n v="66.5"/>
    <n v="266"/>
    <x v="35"/>
    <d v="2025-02-07T00:00:00"/>
    <x v="0"/>
    <x v="3"/>
    <x v="1"/>
    <x v="0"/>
    <x v="3"/>
    <x v="1"/>
    <x v="5"/>
    <x v="0"/>
  </r>
  <r>
    <s v="TX500862"/>
    <x v="6"/>
    <x v="13"/>
    <n v="52.1"/>
    <n v="312.60000000000002"/>
    <x v="35"/>
    <d v="2025-02-07T00:00:00"/>
    <x v="1"/>
    <x v="1"/>
    <x v="1"/>
    <x v="0"/>
    <x v="16"/>
    <x v="1"/>
    <x v="5"/>
    <x v="1"/>
  </r>
  <r>
    <s v="TX500863"/>
    <x v="8"/>
    <x v="1"/>
    <n v="19"/>
    <n v="38"/>
    <x v="35"/>
    <d v="2025-02-06T00:00:00"/>
    <x v="1"/>
    <x v="4"/>
    <x v="2"/>
    <x v="0"/>
    <x v="6"/>
    <x v="3"/>
    <x v="5"/>
    <x v="1"/>
  </r>
  <r>
    <s v="TX500864"/>
    <x v="7"/>
    <x v="2"/>
    <n v="84.8"/>
    <n v="254.39999999999998"/>
    <x v="35"/>
    <d v="2025-02-07T00:00:00"/>
    <x v="2"/>
    <x v="2"/>
    <x v="0"/>
    <x v="0"/>
    <x v="8"/>
    <x v="1"/>
    <x v="5"/>
    <x v="2"/>
  </r>
  <r>
    <s v="TX500865"/>
    <x v="2"/>
    <x v="12"/>
    <n v="63.9"/>
    <n v="255.6"/>
    <x v="35"/>
    <d v="2025-02-08T00:00:00"/>
    <x v="2"/>
    <x v="0"/>
    <x v="0"/>
    <x v="0"/>
    <x v="8"/>
    <x v="2"/>
    <x v="5"/>
    <x v="2"/>
  </r>
  <r>
    <s v="TX500866"/>
    <x v="2"/>
    <x v="2"/>
    <n v="65.5"/>
    <n v="196.5"/>
    <x v="35"/>
    <d v="2025-02-05T00:00:00"/>
    <x v="2"/>
    <x v="1"/>
    <x v="1"/>
    <x v="0"/>
    <x v="8"/>
    <x v="7"/>
    <x v="5"/>
    <x v="2"/>
  </r>
  <r>
    <s v="TX500867"/>
    <x v="12"/>
    <x v="1"/>
    <n v="116.2"/>
    <n v="232.4"/>
    <x v="35"/>
    <d v="2025-02-11T00:00:00"/>
    <x v="1"/>
    <x v="3"/>
    <x v="0"/>
    <x v="0"/>
    <x v="17"/>
    <x v="4"/>
    <x v="5"/>
    <x v="1"/>
  </r>
  <r>
    <s v="TX500868"/>
    <x v="10"/>
    <x v="12"/>
    <n v="22.9"/>
    <n v="91.6"/>
    <x v="35"/>
    <d v="2025-02-07T00:00:00"/>
    <x v="2"/>
    <x v="2"/>
    <x v="1"/>
    <x v="0"/>
    <x v="38"/>
    <x v="1"/>
    <x v="5"/>
    <x v="2"/>
  </r>
  <r>
    <s v="TX500869"/>
    <x v="10"/>
    <x v="2"/>
    <n v="53.7"/>
    <n v="161.10000000000002"/>
    <x v="35"/>
    <d v="2025-02-06T00:00:00"/>
    <x v="1"/>
    <x v="0"/>
    <x v="4"/>
    <x v="0"/>
    <x v="18"/>
    <x v="3"/>
    <x v="5"/>
    <x v="1"/>
  </r>
  <r>
    <s v="TX500870"/>
    <x v="6"/>
    <x v="9"/>
    <n v="43.2"/>
    <n v="216"/>
    <x v="35"/>
    <d v="2025-02-07T00:00:00"/>
    <x v="2"/>
    <x v="0"/>
    <x v="0"/>
    <x v="0"/>
    <x v="19"/>
    <x v="1"/>
    <x v="5"/>
    <x v="2"/>
  </r>
  <r>
    <s v="TX500871"/>
    <x v="1"/>
    <x v="2"/>
    <n v="84.5"/>
    <n v="253.5"/>
    <x v="35"/>
    <d v="2025-02-07T00:00:00"/>
    <x v="1"/>
    <x v="2"/>
    <x v="2"/>
    <x v="0"/>
    <x v="51"/>
    <x v="1"/>
    <x v="5"/>
    <x v="1"/>
  </r>
  <r>
    <s v="TX500872"/>
    <x v="3"/>
    <x v="1"/>
    <n v="42.2"/>
    <n v="84.4"/>
    <x v="35"/>
    <d v="2025-02-06T00:00:00"/>
    <x v="2"/>
    <x v="1"/>
    <x v="2"/>
    <x v="0"/>
    <x v="1"/>
    <x v="3"/>
    <x v="5"/>
    <x v="2"/>
  </r>
  <r>
    <s v="TX500873"/>
    <x v="2"/>
    <x v="13"/>
    <n v="94.7"/>
    <n v="568.20000000000005"/>
    <x v="35"/>
    <d v="2025-02-08T00:00:00"/>
    <x v="2"/>
    <x v="1"/>
    <x v="2"/>
    <x v="0"/>
    <x v="2"/>
    <x v="2"/>
    <x v="5"/>
    <x v="2"/>
  </r>
  <r>
    <s v="TX500874"/>
    <x v="8"/>
    <x v="16"/>
    <n v="16.7"/>
    <n v="300.59999999999997"/>
    <x v="35"/>
    <d v="2025-02-17T00:00:00"/>
    <x v="2"/>
    <x v="0"/>
    <x v="2"/>
    <x v="0"/>
    <x v="2"/>
    <x v="13"/>
    <x v="5"/>
    <x v="2"/>
  </r>
  <r>
    <s v="TX500875"/>
    <x v="2"/>
    <x v="1"/>
    <n v="83.6"/>
    <n v="167.2"/>
    <x v="35"/>
    <d v="2025-02-11T00:00:00"/>
    <x v="2"/>
    <x v="1"/>
    <x v="0"/>
    <x v="0"/>
    <x v="3"/>
    <x v="4"/>
    <x v="5"/>
    <x v="2"/>
  </r>
  <r>
    <s v="TX500876"/>
    <x v="7"/>
    <x v="13"/>
    <n v="33.6"/>
    <n v="201.60000000000002"/>
    <x v="36"/>
    <d v="2025-02-07T00:00:00"/>
    <x v="2"/>
    <x v="3"/>
    <x v="0"/>
    <x v="0"/>
    <x v="3"/>
    <x v="3"/>
    <x v="5"/>
    <x v="2"/>
  </r>
  <r>
    <s v="TX500877"/>
    <x v="7"/>
    <x v="1"/>
    <n v="64.7"/>
    <n v="129.4"/>
    <x v="36"/>
    <d v="2025-02-08T00:00:00"/>
    <x v="1"/>
    <x v="1"/>
    <x v="2"/>
    <x v="0"/>
    <x v="3"/>
    <x v="1"/>
    <x v="5"/>
    <x v="1"/>
  </r>
  <r>
    <s v="TX500878"/>
    <x v="0"/>
    <x v="2"/>
    <n v="15.7"/>
    <n v="47.099999999999994"/>
    <x v="36"/>
    <d v="2025-02-12T00:00:00"/>
    <x v="2"/>
    <x v="0"/>
    <x v="0"/>
    <x v="0"/>
    <x v="3"/>
    <x v="4"/>
    <x v="5"/>
    <x v="2"/>
  </r>
  <r>
    <s v="TX500879"/>
    <x v="15"/>
    <x v="13"/>
    <n v="49.4"/>
    <n v="296.39999999999998"/>
    <x v="36"/>
    <d v="2025-02-06T00:00:00"/>
    <x v="1"/>
    <x v="1"/>
    <x v="0"/>
    <x v="0"/>
    <x v="3"/>
    <x v="7"/>
    <x v="5"/>
    <x v="1"/>
  </r>
  <r>
    <s v="TX500880"/>
    <x v="10"/>
    <x v="13"/>
    <n v="37"/>
    <n v="222"/>
    <x v="36"/>
    <d v="2025-02-09T00:00:00"/>
    <x v="2"/>
    <x v="1"/>
    <x v="2"/>
    <x v="0"/>
    <x v="3"/>
    <x v="2"/>
    <x v="5"/>
    <x v="2"/>
  </r>
  <r>
    <s v="TX500881"/>
    <x v="2"/>
    <x v="1"/>
    <n v="83.7"/>
    <n v="167.4"/>
    <x v="36"/>
    <d v="2025-02-08T00:00:00"/>
    <x v="2"/>
    <x v="3"/>
    <x v="2"/>
    <x v="0"/>
    <x v="3"/>
    <x v="1"/>
    <x v="5"/>
    <x v="2"/>
  </r>
  <r>
    <s v="TX500882"/>
    <x v="1"/>
    <x v="9"/>
    <n v="35.1"/>
    <n v="175.5"/>
    <x v="36"/>
    <d v="2025-02-07T00:00:00"/>
    <x v="2"/>
    <x v="0"/>
    <x v="0"/>
    <x v="0"/>
    <x v="3"/>
    <x v="3"/>
    <x v="5"/>
    <x v="2"/>
  </r>
  <r>
    <s v="TX500883"/>
    <x v="16"/>
    <x v="8"/>
    <n v="74"/>
    <n v="592"/>
    <x v="36"/>
    <d v="2025-02-07T00:00:00"/>
    <x v="2"/>
    <x v="4"/>
    <x v="0"/>
    <x v="0"/>
    <x v="37"/>
    <x v="3"/>
    <x v="5"/>
    <x v="2"/>
  </r>
  <r>
    <s v="TX500884"/>
    <x v="6"/>
    <x v="25"/>
    <n v="55.5"/>
    <n v="1332"/>
    <x v="36"/>
    <d v="2025-02-09T00:00:00"/>
    <x v="1"/>
    <x v="3"/>
    <x v="0"/>
    <x v="0"/>
    <x v="49"/>
    <x v="2"/>
    <x v="5"/>
    <x v="1"/>
  </r>
  <r>
    <s v="TX500885"/>
    <x v="11"/>
    <x v="1"/>
    <n v="38.9"/>
    <n v="77.8"/>
    <x v="36"/>
    <d v="2025-02-08T00:00:00"/>
    <x v="2"/>
    <x v="1"/>
    <x v="2"/>
    <x v="0"/>
    <x v="25"/>
    <x v="1"/>
    <x v="5"/>
    <x v="2"/>
  </r>
  <r>
    <s v="TX500886"/>
    <x v="16"/>
    <x v="1"/>
    <n v="64.599999999999994"/>
    <n v="129.19999999999999"/>
    <x v="36"/>
    <d v="2025-02-13T00:00:00"/>
    <x v="1"/>
    <x v="2"/>
    <x v="1"/>
    <x v="0"/>
    <x v="25"/>
    <x v="6"/>
    <x v="5"/>
    <x v="1"/>
  </r>
  <r>
    <s v="TX500887"/>
    <x v="2"/>
    <x v="2"/>
    <n v="95.3"/>
    <n v="285.89999999999998"/>
    <x v="36"/>
    <d v="2025-02-07T00:00:00"/>
    <x v="1"/>
    <x v="0"/>
    <x v="0"/>
    <x v="0"/>
    <x v="5"/>
    <x v="3"/>
    <x v="5"/>
    <x v="1"/>
  </r>
  <r>
    <s v="TX500888"/>
    <x v="13"/>
    <x v="2"/>
    <n v="25.8"/>
    <n v="77.400000000000006"/>
    <x v="36"/>
    <d v="2025-02-07T00:00:00"/>
    <x v="2"/>
    <x v="1"/>
    <x v="1"/>
    <x v="0"/>
    <x v="6"/>
    <x v="3"/>
    <x v="5"/>
    <x v="2"/>
  </r>
  <r>
    <s v="TX500889"/>
    <x v="0"/>
    <x v="1"/>
    <n v="11.6"/>
    <n v="23.2"/>
    <x v="36"/>
    <d v="2025-02-10T00:00:00"/>
    <x v="2"/>
    <x v="1"/>
    <x v="1"/>
    <x v="0"/>
    <x v="6"/>
    <x v="5"/>
    <x v="5"/>
    <x v="2"/>
  </r>
  <r>
    <s v="TX500890"/>
    <x v="7"/>
    <x v="0"/>
    <n v="52.3"/>
    <n v="52.3"/>
    <x v="36"/>
    <d v="2025-02-07T00:00:00"/>
    <x v="2"/>
    <x v="1"/>
    <x v="0"/>
    <x v="0"/>
    <x v="8"/>
    <x v="3"/>
    <x v="5"/>
    <x v="2"/>
  </r>
  <r>
    <s v="TX500891"/>
    <x v="2"/>
    <x v="7"/>
    <n v="112.2"/>
    <n v="1122"/>
    <x v="36"/>
    <d v="2025-02-07T00:00:00"/>
    <x v="2"/>
    <x v="1"/>
    <x v="1"/>
    <x v="0"/>
    <x v="8"/>
    <x v="3"/>
    <x v="5"/>
    <x v="2"/>
  </r>
  <r>
    <s v="TX500892"/>
    <x v="4"/>
    <x v="9"/>
    <n v="34.6"/>
    <n v="173"/>
    <x v="36"/>
    <d v="2025-02-08T00:00:00"/>
    <x v="1"/>
    <x v="2"/>
    <x v="0"/>
    <x v="0"/>
    <x v="8"/>
    <x v="1"/>
    <x v="5"/>
    <x v="1"/>
  </r>
  <r>
    <s v="TX500893"/>
    <x v="14"/>
    <x v="12"/>
    <n v="20.100000000000001"/>
    <n v="80.400000000000006"/>
    <x v="36"/>
    <d v="2025-02-12T00:00:00"/>
    <x v="1"/>
    <x v="1"/>
    <x v="2"/>
    <x v="0"/>
    <x v="8"/>
    <x v="4"/>
    <x v="5"/>
    <x v="1"/>
  </r>
  <r>
    <s v="TX500894"/>
    <x v="2"/>
    <x v="12"/>
    <n v="56.4"/>
    <n v="225.6"/>
    <x v="36"/>
    <d v="2025-02-08T00:00:00"/>
    <x v="2"/>
    <x v="2"/>
    <x v="0"/>
    <x v="0"/>
    <x v="10"/>
    <x v="1"/>
    <x v="5"/>
    <x v="2"/>
  </r>
  <r>
    <s v="TX500895"/>
    <x v="13"/>
    <x v="11"/>
    <n v="55.3"/>
    <n v="497.7"/>
    <x v="36"/>
    <d v="2025-02-08T00:00:00"/>
    <x v="2"/>
    <x v="1"/>
    <x v="4"/>
    <x v="0"/>
    <x v="11"/>
    <x v="1"/>
    <x v="5"/>
    <x v="2"/>
  </r>
  <r>
    <s v="TX500896"/>
    <x v="2"/>
    <x v="31"/>
    <n v="75.5"/>
    <n v="2114"/>
    <x v="36"/>
    <d v="2025-02-07T00:00:00"/>
    <x v="2"/>
    <x v="0"/>
    <x v="0"/>
    <x v="0"/>
    <x v="11"/>
    <x v="3"/>
    <x v="5"/>
    <x v="2"/>
  </r>
  <r>
    <s v="TX500897"/>
    <x v="8"/>
    <x v="0"/>
    <n v="23.6"/>
    <n v="23.6"/>
    <x v="36"/>
    <d v="2025-02-11T00:00:00"/>
    <x v="2"/>
    <x v="0"/>
    <x v="0"/>
    <x v="0"/>
    <x v="19"/>
    <x v="0"/>
    <x v="5"/>
    <x v="2"/>
  </r>
  <r>
    <s v="TX500898"/>
    <x v="9"/>
    <x v="1"/>
    <n v="70.7"/>
    <n v="141.4"/>
    <x v="36"/>
    <d v="2025-02-08T00:00:00"/>
    <x v="2"/>
    <x v="2"/>
    <x v="0"/>
    <x v="0"/>
    <x v="19"/>
    <x v="1"/>
    <x v="5"/>
    <x v="2"/>
  </r>
  <r>
    <s v="TX500899"/>
    <x v="12"/>
    <x v="1"/>
    <n v="43.2"/>
    <n v="86.4"/>
    <x v="36"/>
    <d v="2025-02-07T00:00:00"/>
    <x v="2"/>
    <x v="2"/>
    <x v="0"/>
    <x v="0"/>
    <x v="31"/>
    <x v="3"/>
    <x v="5"/>
    <x v="2"/>
  </r>
  <r>
    <s v="TX500900"/>
    <x v="9"/>
    <x v="11"/>
    <n v="70"/>
    <n v="630"/>
    <x v="36"/>
    <d v="2025-02-07T00:00:00"/>
    <x v="0"/>
    <x v="1"/>
    <x v="0"/>
    <x v="0"/>
    <x v="52"/>
    <x v="3"/>
    <x v="5"/>
    <x v="0"/>
  </r>
  <r>
    <s v="TX500901"/>
    <x v="0"/>
    <x v="1"/>
    <n v="20.5"/>
    <n v="41"/>
    <x v="36"/>
    <d v="2025-02-08T00:00:00"/>
    <x v="2"/>
    <x v="2"/>
    <x v="4"/>
    <x v="0"/>
    <x v="13"/>
    <x v="1"/>
    <x v="5"/>
    <x v="2"/>
  </r>
  <r>
    <s v="TX500902"/>
    <x v="0"/>
    <x v="12"/>
    <n v="29.1"/>
    <n v="116.4"/>
    <x v="36"/>
    <d v="2025-02-07T00:00:00"/>
    <x v="2"/>
    <x v="3"/>
    <x v="0"/>
    <x v="0"/>
    <x v="28"/>
    <x v="3"/>
    <x v="5"/>
    <x v="2"/>
  </r>
  <r>
    <s v="TX500903"/>
    <x v="6"/>
    <x v="11"/>
    <n v="53.6"/>
    <n v="482.40000000000003"/>
    <x v="36"/>
    <d v="2025-02-07T00:00:00"/>
    <x v="1"/>
    <x v="2"/>
    <x v="1"/>
    <x v="0"/>
    <x v="3"/>
    <x v="3"/>
    <x v="5"/>
    <x v="1"/>
  </r>
  <r>
    <s v="TX500904"/>
    <x v="6"/>
    <x v="9"/>
    <n v="72.3"/>
    <n v="361.5"/>
    <x v="36"/>
    <d v="2025-02-08T00:00:00"/>
    <x v="2"/>
    <x v="1"/>
    <x v="0"/>
    <x v="0"/>
    <x v="3"/>
    <x v="1"/>
    <x v="5"/>
    <x v="2"/>
  </r>
  <r>
    <s v="TX500905"/>
    <x v="13"/>
    <x v="12"/>
    <n v="22.6"/>
    <n v="90.4"/>
    <x v="36"/>
    <d v="2025-02-09T00:00:00"/>
    <x v="3"/>
    <x v="0"/>
    <x v="1"/>
    <x v="0"/>
    <x v="3"/>
    <x v="2"/>
    <x v="5"/>
    <x v="3"/>
  </r>
  <r>
    <s v="TX500906"/>
    <x v="9"/>
    <x v="1"/>
    <n v="44.2"/>
    <n v="88.4"/>
    <x v="36"/>
    <d v="2025-02-10T00:00:00"/>
    <x v="0"/>
    <x v="2"/>
    <x v="4"/>
    <x v="0"/>
    <x v="3"/>
    <x v="5"/>
    <x v="5"/>
    <x v="0"/>
  </r>
  <r>
    <s v="TX500907"/>
    <x v="9"/>
    <x v="2"/>
    <n v="94.1"/>
    <n v="282.29999999999995"/>
    <x v="36"/>
    <d v="2025-02-19T00:00:00"/>
    <x v="2"/>
    <x v="2"/>
    <x v="2"/>
    <x v="0"/>
    <x v="3"/>
    <x v="10"/>
    <x v="5"/>
    <x v="2"/>
  </r>
  <r>
    <s v="TX500908"/>
    <x v="8"/>
    <x v="2"/>
    <n v="17.899999999999999"/>
    <n v="53.699999999999996"/>
    <x v="36"/>
    <d v="2025-02-08T00:00:00"/>
    <x v="1"/>
    <x v="1"/>
    <x v="1"/>
    <x v="0"/>
    <x v="3"/>
    <x v="1"/>
    <x v="5"/>
    <x v="1"/>
  </r>
  <r>
    <s v="TX500909"/>
    <x v="12"/>
    <x v="3"/>
    <n v="52.7"/>
    <n v="368.90000000000003"/>
    <x v="36"/>
    <d v="2025-02-07T00:00:00"/>
    <x v="1"/>
    <x v="1"/>
    <x v="1"/>
    <x v="0"/>
    <x v="3"/>
    <x v="3"/>
    <x v="5"/>
    <x v="1"/>
  </r>
  <r>
    <s v="TX500910"/>
    <x v="8"/>
    <x v="0"/>
    <n v="36.799999999999997"/>
    <n v="36.799999999999997"/>
    <x v="36"/>
    <d v="2025-02-06T00:00:00"/>
    <x v="0"/>
    <x v="0"/>
    <x v="2"/>
    <x v="0"/>
    <x v="3"/>
    <x v="7"/>
    <x v="5"/>
    <x v="0"/>
  </r>
  <r>
    <s v="TX500911"/>
    <x v="4"/>
    <x v="0"/>
    <n v="52.5"/>
    <n v="52.5"/>
    <x v="36"/>
    <d v="2025-02-07T00:00:00"/>
    <x v="1"/>
    <x v="0"/>
    <x v="1"/>
    <x v="0"/>
    <x v="6"/>
    <x v="3"/>
    <x v="5"/>
    <x v="1"/>
  </r>
  <r>
    <s v="TX500912"/>
    <x v="2"/>
    <x v="1"/>
    <n v="133.80000000000001"/>
    <n v="267.60000000000002"/>
    <x v="36"/>
    <d v="2025-02-08T00:00:00"/>
    <x v="1"/>
    <x v="0"/>
    <x v="1"/>
    <x v="0"/>
    <x v="7"/>
    <x v="1"/>
    <x v="5"/>
    <x v="1"/>
  </r>
  <r>
    <s v="TX500913"/>
    <x v="6"/>
    <x v="1"/>
    <n v="53.2"/>
    <n v="106.4"/>
    <x v="36"/>
    <d v="2025-02-08T00:00:00"/>
    <x v="1"/>
    <x v="0"/>
    <x v="0"/>
    <x v="0"/>
    <x v="17"/>
    <x v="1"/>
    <x v="5"/>
    <x v="1"/>
  </r>
  <r>
    <s v="TX500914"/>
    <x v="14"/>
    <x v="13"/>
    <n v="18.7"/>
    <n v="112.19999999999999"/>
    <x v="36"/>
    <d v="2025-02-08T00:00:00"/>
    <x v="0"/>
    <x v="0"/>
    <x v="1"/>
    <x v="0"/>
    <x v="10"/>
    <x v="1"/>
    <x v="5"/>
    <x v="0"/>
  </r>
  <r>
    <s v="TX500915"/>
    <x v="6"/>
    <x v="12"/>
    <n v="108.8"/>
    <n v="435.2"/>
    <x v="36"/>
    <d v="2025-02-07T00:00:00"/>
    <x v="2"/>
    <x v="3"/>
    <x v="2"/>
    <x v="0"/>
    <x v="11"/>
    <x v="3"/>
    <x v="5"/>
    <x v="2"/>
  </r>
  <r>
    <s v="TX500916"/>
    <x v="15"/>
    <x v="9"/>
    <n v="38.5"/>
    <n v="192.5"/>
    <x v="36"/>
    <d v="2025-02-10T00:00:00"/>
    <x v="2"/>
    <x v="0"/>
    <x v="1"/>
    <x v="0"/>
    <x v="14"/>
    <x v="5"/>
    <x v="5"/>
    <x v="2"/>
  </r>
  <r>
    <s v="TX500917"/>
    <x v="10"/>
    <x v="7"/>
    <n v="46.5"/>
    <n v="465"/>
    <x v="36"/>
    <d v="2025-02-08T00:00:00"/>
    <x v="1"/>
    <x v="2"/>
    <x v="1"/>
    <x v="0"/>
    <x v="2"/>
    <x v="1"/>
    <x v="5"/>
    <x v="1"/>
  </r>
  <r>
    <s v="TX500918"/>
    <x v="2"/>
    <x v="2"/>
    <n v="75.8"/>
    <n v="227.39999999999998"/>
    <x v="36"/>
    <d v="2025-02-10T00:00:00"/>
    <x v="2"/>
    <x v="1"/>
    <x v="4"/>
    <x v="0"/>
    <x v="44"/>
    <x v="5"/>
    <x v="5"/>
    <x v="2"/>
  </r>
  <r>
    <s v="TX500919"/>
    <x v="8"/>
    <x v="0"/>
    <n v="20.9"/>
    <n v="20.9"/>
    <x v="36"/>
    <d v="2025-02-10T00:00:00"/>
    <x v="1"/>
    <x v="0"/>
    <x v="0"/>
    <x v="0"/>
    <x v="22"/>
    <x v="5"/>
    <x v="5"/>
    <x v="1"/>
  </r>
  <r>
    <s v="TX500920"/>
    <x v="18"/>
    <x v="2"/>
    <n v="47.4"/>
    <n v="142.19999999999999"/>
    <x v="36"/>
    <d v="2025-02-09T00:00:00"/>
    <x v="2"/>
    <x v="0"/>
    <x v="0"/>
    <x v="0"/>
    <x v="3"/>
    <x v="2"/>
    <x v="5"/>
    <x v="2"/>
  </r>
  <r>
    <s v="TX500921"/>
    <x v="9"/>
    <x v="1"/>
    <n v="53.8"/>
    <n v="107.6"/>
    <x v="36"/>
    <d v="2025-02-07T00:00:00"/>
    <x v="0"/>
    <x v="0"/>
    <x v="1"/>
    <x v="0"/>
    <x v="3"/>
    <x v="3"/>
    <x v="5"/>
    <x v="0"/>
  </r>
  <r>
    <s v="TX500922"/>
    <x v="8"/>
    <x v="2"/>
    <n v="24.6"/>
    <n v="73.800000000000011"/>
    <x v="36"/>
    <d v="2025-02-08T00:00:00"/>
    <x v="3"/>
    <x v="1"/>
    <x v="2"/>
    <x v="0"/>
    <x v="3"/>
    <x v="1"/>
    <x v="5"/>
    <x v="3"/>
  </r>
  <r>
    <s v="TX500923"/>
    <x v="9"/>
    <x v="2"/>
    <n v="70.900000000000006"/>
    <n v="212.70000000000002"/>
    <x v="36"/>
    <d v="2025-02-11T00:00:00"/>
    <x v="2"/>
    <x v="2"/>
    <x v="2"/>
    <x v="0"/>
    <x v="3"/>
    <x v="0"/>
    <x v="5"/>
    <x v="2"/>
  </r>
  <r>
    <s v="TX500924"/>
    <x v="17"/>
    <x v="2"/>
    <n v="31.9"/>
    <n v="95.699999999999989"/>
    <x v="36"/>
    <d v="2025-02-08T00:00:00"/>
    <x v="2"/>
    <x v="2"/>
    <x v="2"/>
    <x v="0"/>
    <x v="3"/>
    <x v="1"/>
    <x v="5"/>
    <x v="2"/>
  </r>
  <r>
    <s v="TX500925"/>
    <x v="0"/>
    <x v="1"/>
    <n v="20.399999999999999"/>
    <n v="40.799999999999997"/>
    <x v="36"/>
    <d v="2025-02-10T00:00:00"/>
    <x v="1"/>
    <x v="3"/>
    <x v="2"/>
    <x v="0"/>
    <x v="3"/>
    <x v="5"/>
    <x v="5"/>
    <x v="1"/>
  </r>
  <r>
    <s v="TX500926"/>
    <x v="8"/>
    <x v="1"/>
    <n v="18.600000000000001"/>
    <n v="37.200000000000003"/>
    <x v="36"/>
    <d v="2025-02-08T00:00:00"/>
    <x v="0"/>
    <x v="0"/>
    <x v="1"/>
    <x v="0"/>
    <x v="3"/>
    <x v="1"/>
    <x v="5"/>
    <x v="0"/>
  </r>
  <r>
    <s v="TX500927"/>
    <x v="4"/>
    <x v="9"/>
    <n v="48.3"/>
    <n v="241.5"/>
    <x v="36"/>
    <d v="2025-02-08T00:00:00"/>
    <x v="2"/>
    <x v="1"/>
    <x v="0"/>
    <x v="0"/>
    <x v="3"/>
    <x v="1"/>
    <x v="5"/>
    <x v="2"/>
  </r>
  <r>
    <s v="TX500928"/>
    <x v="0"/>
    <x v="12"/>
    <n v="27.7"/>
    <n v="110.8"/>
    <x v="36"/>
    <d v="2025-02-08T00:00:00"/>
    <x v="2"/>
    <x v="0"/>
    <x v="0"/>
    <x v="0"/>
    <x v="3"/>
    <x v="1"/>
    <x v="5"/>
    <x v="2"/>
  </r>
  <r>
    <s v="TX500929"/>
    <x v="4"/>
    <x v="9"/>
    <n v="22.5"/>
    <n v="112.5"/>
    <x v="36"/>
    <d v="2025-02-08T00:00:00"/>
    <x v="2"/>
    <x v="4"/>
    <x v="2"/>
    <x v="0"/>
    <x v="3"/>
    <x v="1"/>
    <x v="5"/>
    <x v="2"/>
  </r>
  <r>
    <s v="TX500930"/>
    <x v="17"/>
    <x v="9"/>
    <n v="21.6"/>
    <n v="108"/>
    <x v="36"/>
    <d v="2025-02-14T00:00:00"/>
    <x v="2"/>
    <x v="0"/>
    <x v="1"/>
    <x v="0"/>
    <x v="3"/>
    <x v="9"/>
    <x v="5"/>
    <x v="2"/>
  </r>
  <r>
    <s v="TX500931"/>
    <x v="10"/>
    <x v="3"/>
    <n v="26.3"/>
    <n v="184.1"/>
    <x v="36"/>
    <d v="2025-02-06T00:00:00"/>
    <x v="2"/>
    <x v="2"/>
    <x v="1"/>
    <x v="0"/>
    <x v="3"/>
    <x v="7"/>
    <x v="5"/>
    <x v="2"/>
  </r>
  <r>
    <s v="TX500932"/>
    <x v="6"/>
    <x v="3"/>
    <n v="103"/>
    <n v="721"/>
    <x v="37"/>
    <d v="2025-02-08T00:00:00"/>
    <x v="1"/>
    <x v="0"/>
    <x v="2"/>
    <x v="0"/>
    <x v="6"/>
    <x v="3"/>
    <x v="5"/>
    <x v="1"/>
  </r>
  <r>
    <s v="TX500933"/>
    <x v="5"/>
    <x v="20"/>
    <n v="46.6"/>
    <n v="699"/>
    <x v="37"/>
    <d v="2025-02-08T00:00:00"/>
    <x v="2"/>
    <x v="0"/>
    <x v="1"/>
    <x v="0"/>
    <x v="6"/>
    <x v="3"/>
    <x v="5"/>
    <x v="2"/>
  </r>
  <r>
    <s v="TX500934"/>
    <x v="0"/>
    <x v="9"/>
    <n v="32.200000000000003"/>
    <n v="161"/>
    <x v="37"/>
    <d v="2025-02-10T00:00:00"/>
    <x v="2"/>
    <x v="0"/>
    <x v="2"/>
    <x v="0"/>
    <x v="36"/>
    <x v="2"/>
    <x v="5"/>
    <x v="2"/>
  </r>
  <r>
    <s v="TX500935"/>
    <x v="8"/>
    <x v="2"/>
    <n v="22"/>
    <n v="66"/>
    <x v="37"/>
    <d v="2025-02-14T00:00:00"/>
    <x v="1"/>
    <x v="1"/>
    <x v="0"/>
    <x v="0"/>
    <x v="7"/>
    <x v="6"/>
    <x v="5"/>
    <x v="1"/>
  </r>
  <r>
    <s v="TX500936"/>
    <x v="0"/>
    <x v="1"/>
    <n v="25.2"/>
    <n v="50.4"/>
    <x v="37"/>
    <d v="2025-02-11T00:00:00"/>
    <x v="2"/>
    <x v="0"/>
    <x v="0"/>
    <x v="0"/>
    <x v="7"/>
    <x v="5"/>
    <x v="5"/>
    <x v="2"/>
  </r>
  <r>
    <s v="TX500937"/>
    <x v="1"/>
    <x v="13"/>
    <n v="68.7"/>
    <n v="412.20000000000005"/>
    <x v="37"/>
    <d v="2025-02-09T00:00:00"/>
    <x v="1"/>
    <x v="4"/>
    <x v="0"/>
    <x v="0"/>
    <x v="8"/>
    <x v="1"/>
    <x v="5"/>
    <x v="1"/>
  </r>
  <r>
    <s v="TX500938"/>
    <x v="0"/>
    <x v="2"/>
    <n v="22.2"/>
    <n v="66.599999999999994"/>
    <x v="37"/>
    <d v="2025-02-10T00:00:00"/>
    <x v="1"/>
    <x v="2"/>
    <x v="2"/>
    <x v="0"/>
    <x v="8"/>
    <x v="2"/>
    <x v="5"/>
    <x v="1"/>
  </r>
  <r>
    <s v="TX500939"/>
    <x v="1"/>
    <x v="3"/>
    <n v="36"/>
    <n v="252"/>
    <x v="37"/>
    <d v="2025-02-08T00:00:00"/>
    <x v="2"/>
    <x v="1"/>
    <x v="0"/>
    <x v="0"/>
    <x v="8"/>
    <x v="3"/>
    <x v="5"/>
    <x v="2"/>
  </r>
  <r>
    <s v="TX500940"/>
    <x v="18"/>
    <x v="0"/>
    <n v="50.6"/>
    <n v="50.6"/>
    <x v="37"/>
    <d v="2025-02-09T00:00:00"/>
    <x v="2"/>
    <x v="0"/>
    <x v="1"/>
    <x v="0"/>
    <x v="8"/>
    <x v="1"/>
    <x v="5"/>
    <x v="2"/>
  </r>
  <r>
    <s v="TX500941"/>
    <x v="15"/>
    <x v="1"/>
    <n v="44.9"/>
    <n v="89.8"/>
    <x v="37"/>
    <d v="2025-02-09T00:00:00"/>
    <x v="1"/>
    <x v="0"/>
    <x v="1"/>
    <x v="0"/>
    <x v="8"/>
    <x v="1"/>
    <x v="5"/>
    <x v="1"/>
  </r>
  <r>
    <s v="TX500942"/>
    <x v="6"/>
    <x v="2"/>
    <n v="71.599999999999994"/>
    <n v="214.79999999999998"/>
    <x v="37"/>
    <d v="2025-02-11T00:00:00"/>
    <x v="1"/>
    <x v="1"/>
    <x v="2"/>
    <x v="0"/>
    <x v="10"/>
    <x v="5"/>
    <x v="5"/>
    <x v="1"/>
  </r>
  <r>
    <s v="TX500943"/>
    <x v="6"/>
    <x v="13"/>
    <n v="51.5"/>
    <n v="309"/>
    <x v="37"/>
    <d v="2025-02-09T00:00:00"/>
    <x v="0"/>
    <x v="4"/>
    <x v="0"/>
    <x v="0"/>
    <x v="11"/>
    <x v="1"/>
    <x v="5"/>
    <x v="0"/>
  </r>
  <r>
    <s v="TX500944"/>
    <x v="7"/>
    <x v="9"/>
    <n v="55.5"/>
    <n v="277.5"/>
    <x v="37"/>
    <d v="2025-02-08T00:00:00"/>
    <x v="1"/>
    <x v="1"/>
    <x v="1"/>
    <x v="0"/>
    <x v="11"/>
    <x v="3"/>
    <x v="5"/>
    <x v="1"/>
  </r>
  <r>
    <s v="TX500945"/>
    <x v="6"/>
    <x v="0"/>
    <n v="51.7"/>
    <n v="51.7"/>
    <x v="37"/>
    <d v="2025-02-21T00:00:00"/>
    <x v="1"/>
    <x v="2"/>
    <x v="0"/>
    <x v="0"/>
    <x v="19"/>
    <x v="12"/>
    <x v="5"/>
    <x v="1"/>
  </r>
  <r>
    <s v="TX500946"/>
    <x v="8"/>
    <x v="38"/>
    <n v="45.5"/>
    <n v="955.5"/>
    <x v="37"/>
    <d v="2025-02-08T00:00:00"/>
    <x v="2"/>
    <x v="3"/>
    <x v="2"/>
    <x v="0"/>
    <x v="19"/>
    <x v="3"/>
    <x v="5"/>
    <x v="2"/>
  </r>
  <r>
    <s v="TX500947"/>
    <x v="8"/>
    <x v="1"/>
    <n v="33.799999999999997"/>
    <n v="67.599999999999994"/>
    <x v="37"/>
    <d v="2025-02-13T00:00:00"/>
    <x v="2"/>
    <x v="3"/>
    <x v="0"/>
    <x v="0"/>
    <x v="20"/>
    <x v="4"/>
    <x v="5"/>
    <x v="2"/>
  </r>
  <r>
    <s v="TX500948"/>
    <x v="3"/>
    <x v="2"/>
    <n v="76.5"/>
    <n v="229.5"/>
    <x v="37"/>
    <d v="2025-02-08T00:00:00"/>
    <x v="2"/>
    <x v="0"/>
    <x v="1"/>
    <x v="0"/>
    <x v="21"/>
    <x v="3"/>
    <x v="5"/>
    <x v="2"/>
  </r>
  <r>
    <s v="TX500949"/>
    <x v="9"/>
    <x v="2"/>
    <n v="42.6"/>
    <n v="127.80000000000001"/>
    <x v="37"/>
    <d v="2025-02-13T00:00:00"/>
    <x v="2"/>
    <x v="2"/>
    <x v="2"/>
    <x v="0"/>
    <x v="2"/>
    <x v="4"/>
    <x v="5"/>
    <x v="2"/>
  </r>
  <r>
    <s v="TX500950"/>
    <x v="6"/>
    <x v="2"/>
    <n v="44.1"/>
    <n v="132.30000000000001"/>
    <x v="37"/>
    <d v="2025-02-09T00:00:00"/>
    <x v="2"/>
    <x v="1"/>
    <x v="1"/>
    <x v="0"/>
    <x v="22"/>
    <x v="1"/>
    <x v="5"/>
    <x v="2"/>
  </r>
  <r>
    <s v="TX500951"/>
    <x v="8"/>
    <x v="1"/>
    <n v="40.9"/>
    <n v="81.8"/>
    <x v="37"/>
    <d v="2025-02-11T00:00:00"/>
    <x v="1"/>
    <x v="0"/>
    <x v="0"/>
    <x v="0"/>
    <x v="3"/>
    <x v="5"/>
    <x v="5"/>
    <x v="1"/>
  </r>
  <r>
    <s v="TX500952"/>
    <x v="9"/>
    <x v="2"/>
    <n v="49.1"/>
    <n v="147.30000000000001"/>
    <x v="37"/>
    <d v="2025-02-11T00:00:00"/>
    <x v="2"/>
    <x v="3"/>
    <x v="1"/>
    <x v="0"/>
    <x v="3"/>
    <x v="5"/>
    <x v="5"/>
    <x v="2"/>
  </r>
  <r>
    <s v="TX500953"/>
    <x v="18"/>
    <x v="0"/>
    <n v="85.3"/>
    <n v="85.3"/>
    <x v="37"/>
    <d v="2025-02-11T00:00:00"/>
    <x v="1"/>
    <x v="1"/>
    <x v="1"/>
    <x v="0"/>
    <x v="3"/>
    <x v="5"/>
    <x v="5"/>
    <x v="1"/>
  </r>
  <r>
    <s v="TX500954"/>
    <x v="6"/>
    <x v="12"/>
    <n v="43.1"/>
    <n v="172.4"/>
    <x v="38"/>
    <d v="2025-02-11T00:00:00"/>
    <x v="1"/>
    <x v="0"/>
    <x v="0"/>
    <x v="0"/>
    <x v="3"/>
    <x v="2"/>
    <x v="5"/>
    <x v="1"/>
  </r>
  <r>
    <s v="TX500955"/>
    <x v="4"/>
    <x v="12"/>
    <n v="46.2"/>
    <n v="184.8"/>
    <x v="38"/>
    <d v="2025-02-09T00:00:00"/>
    <x v="1"/>
    <x v="2"/>
    <x v="0"/>
    <x v="0"/>
    <x v="3"/>
    <x v="3"/>
    <x v="5"/>
    <x v="1"/>
  </r>
  <r>
    <s v="TX500956"/>
    <x v="1"/>
    <x v="0"/>
    <n v="74.400000000000006"/>
    <n v="74.400000000000006"/>
    <x v="38"/>
    <d v="2025-02-10T00:00:00"/>
    <x v="1"/>
    <x v="4"/>
    <x v="2"/>
    <x v="0"/>
    <x v="3"/>
    <x v="1"/>
    <x v="5"/>
    <x v="1"/>
  </r>
  <r>
    <s v="TX500957"/>
    <x v="17"/>
    <x v="1"/>
    <n v="51.2"/>
    <n v="102.4"/>
    <x v="38"/>
    <d v="2025-02-09T00:00:00"/>
    <x v="1"/>
    <x v="1"/>
    <x v="0"/>
    <x v="0"/>
    <x v="3"/>
    <x v="3"/>
    <x v="5"/>
    <x v="1"/>
  </r>
  <r>
    <s v="TX500958"/>
    <x v="14"/>
    <x v="12"/>
    <n v="11.8"/>
    <n v="47.2"/>
    <x v="38"/>
    <d v="2025-02-08T00:00:00"/>
    <x v="1"/>
    <x v="2"/>
    <x v="0"/>
    <x v="0"/>
    <x v="3"/>
    <x v="7"/>
    <x v="5"/>
    <x v="1"/>
  </r>
  <r>
    <s v="TX500959"/>
    <x v="10"/>
    <x v="6"/>
    <n v="40.799999999999997"/>
    <n v="1101.5999999999999"/>
    <x v="38"/>
    <d v="2025-02-09T00:00:00"/>
    <x v="2"/>
    <x v="3"/>
    <x v="2"/>
    <x v="0"/>
    <x v="3"/>
    <x v="3"/>
    <x v="5"/>
    <x v="2"/>
  </r>
  <r>
    <s v="TX500960"/>
    <x v="8"/>
    <x v="0"/>
    <n v="24.7"/>
    <n v="24.7"/>
    <x v="38"/>
    <d v="2025-02-10T00:00:00"/>
    <x v="2"/>
    <x v="2"/>
    <x v="1"/>
    <x v="0"/>
    <x v="3"/>
    <x v="1"/>
    <x v="5"/>
    <x v="2"/>
  </r>
  <r>
    <s v="TX500961"/>
    <x v="8"/>
    <x v="3"/>
    <n v="22.1"/>
    <n v="154.70000000000002"/>
    <x v="38"/>
    <d v="2025-02-08T00:00:00"/>
    <x v="2"/>
    <x v="2"/>
    <x v="4"/>
    <x v="0"/>
    <x v="3"/>
    <x v="7"/>
    <x v="5"/>
    <x v="2"/>
  </r>
  <r>
    <s v="TX500962"/>
    <x v="8"/>
    <x v="0"/>
    <n v="18.100000000000001"/>
    <n v="18.100000000000001"/>
    <x v="38"/>
    <d v="2025-02-12T00:00:00"/>
    <x v="1"/>
    <x v="3"/>
    <x v="2"/>
    <x v="0"/>
    <x v="3"/>
    <x v="5"/>
    <x v="5"/>
    <x v="1"/>
  </r>
  <r>
    <s v="TX500963"/>
    <x v="17"/>
    <x v="1"/>
    <n v="58.8"/>
    <n v="117.6"/>
    <x v="38"/>
    <d v="2025-02-11T00:00:00"/>
    <x v="2"/>
    <x v="0"/>
    <x v="0"/>
    <x v="0"/>
    <x v="25"/>
    <x v="2"/>
    <x v="5"/>
    <x v="2"/>
  </r>
  <r>
    <s v="TX500964"/>
    <x v="18"/>
    <x v="1"/>
    <n v="30.8"/>
    <n v="61.6"/>
    <x v="38"/>
    <d v="2025-02-09T00:00:00"/>
    <x v="2"/>
    <x v="0"/>
    <x v="0"/>
    <x v="0"/>
    <x v="6"/>
    <x v="3"/>
    <x v="5"/>
    <x v="2"/>
  </r>
  <r>
    <s v="TX500965"/>
    <x v="0"/>
    <x v="1"/>
    <n v="12"/>
    <n v="24"/>
    <x v="38"/>
    <d v="2025-02-12T00:00:00"/>
    <x v="2"/>
    <x v="0"/>
    <x v="0"/>
    <x v="0"/>
    <x v="6"/>
    <x v="5"/>
    <x v="5"/>
    <x v="2"/>
  </r>
  <r>
    <s v="TX500966"/>
    <x v="0"/>
    <x v="12"/>
    <n v="13.6"/>
    <n v="54.4"/>
    <x v="38"/>
    <d v="2025-02-11T00:00:00"/>
    <x v="1"/>
    <x v="2"/>
    <x v="0"/>
    <x v="0"/>
    <x v="6"/>
    <x v="2"/>
    <x v="5"/>
    <x v="1"/>
  </r>
  <r>
    <s v="TX500967"/>
    <x v="0"/>
    <x v="0"/>
    <n v="17.899999999999999"/>
    <n v="17.899999999999999"/>
    <x v="38"/>
    <d v="2025-02-09T00:00:00"/>
    <x v="1"/>
    <x v="3"/>
    <x v="0"/>
    <x v="0"/>
    <x v="6"/>
    <x v="3"/>
    <x v="5"/>
    <x v="1"/>
  </r>
  <r>
    <s v="TX500968"/>
    <x v="9"/>
    <x v="1"/>
    <n v="38.6"/>
    <n v="77.2"/>
    <x v="38"/>
    <d v="2025-02-12T00:00:00"/>
    <x v="2"/>
    <x v="4"/>
    <x v="0"/>
    <x v="0"/>
    <x v="7"/>
    <x v="5"/>
    <x v="5"/>
    <x v="2"/>
  </r>
  <r>
    <s v="TX500969"/>
    <x v="5"/>
    <x v="9"/>
    <n v="32.700000000000003"/>
    <n v="163.5"/>
    <x v="38"/>
    <d v="2025-02-09T00:00:00"/>
    <x v="1"/>
    <x v="2"/>
    <x v="2"/>
    <x v="0"/>
    <x v="8"/>
    <x v="3"/>
    <x v="5"/>
    <x v="1"/>
  </r>
  <r>
    <s v="TX500970"/>
    <x v="3"/>
    <x v="1"/>
    <n v="111.4"/>
    <n v="222.8"/>
    <x v="38"/>
    <d v="2025-02-09T00:00:00"/>
    <x v="2"/>
    <x v="1"/>
    <x v="0"/>
    <x v="0"/>
    <x v="8"/>
    <x v="3"/>
    <x v="5"/>
    <x v="2"/>
  </r>
  <r>
    <s v="TX500971"/>
    <x v="2"/>
    <x v="13"/>
    <n v="80.3"/>
    <n v="481.79999999999995"/>
    <x v="38"/>
    <d v="2025-02-10T00:00:00"/>
    <x v="2"/>
    <x v="1"/>
    <x v="0"/>
    <x v="0"/>
    <x v="8"/>
    <x v="1"/>
    <x v="5"/>
    <x v="2"/>
  </r>
  <r>
    <s v="TX500972"/>
    <x v="6"/>
    <x v="1"/>
    <n v="58.9"/>
    <n v="117.8"/>
    <x v="38"/>
    <d v="2025-02-09T00:00:00"/>
    <x v="1"/>
    <x v="1"/>
    <x v="0"/>
    <x v="0"/>
    <x v="8"/>
    <x v="3"/>
    <x v="5"/>
    <x v="1"/>
  </r>
  <r>
    <s v="TX500973"/>
    <x v="6"/>
    <x v="2"/>
    <n v="51.9"/>
    <n v="155.69999999999999"/>
    <x v="38"/>
    <d v="2025-02-10T00:00:00"/>
    <x v="2"/>
    <x v="1"/>
    <x v="4"/>
    <x v="0"/>
    <x v="8"/>
    <x v="1"/>
    <x v="5"/>
    <x v="2"/>
  </r>
  <r>
    <s v="TX500974"/>
    <x v="2"/>
    <x v="2"/>
    <n v="50.3"/>
    <n v="150.89999999999998"/>
    <x v="38"/>
    <d v="2025-02-09T00:00:00"/>
    <x v="1"/>
    <x v="2"/>
    <x v="0"/>
    <x v="0"/>
    <x v="17"/>
    <x v="3"/>
    <x v="5"/>
    <x v="1"/>
  </r>
  <r>
    <s v="TX500975"/>
    <x v="11"/>
    <x v="13"/>
    <n v="45"/>
    <n v="270"/>
    <x v="38"/>
    <d v="2025-02-14T00:00:00"/>
    <x v="2"/>
    <x v="3"/>
    <x v="0"/>
    <x v="0"/>
    <x v="9"/>
    <x v="4"/>
    <x v="5"/>
    <x v="2"/>
  </r>
  <r>
    <s v="TX500976"/>
    <x v="10"/>
    <x v="13"/>
    <n v="44.7"/>
    <n v="268.20000000000005"/>
    <x v="38"/>
    <d v="2025-02-10T00:00:00"/>
    <x v="2"/>
    <x v="2"/>
    <x v="0"/>
    <x v="0"/>
    <x v="11"/>
    <x v="1"/>
    <x v="5"/>
    <x v="2"/>
  </r>
  <r>
    <s v="TX500977"/>
    <x v="18"/>
    <x v="20"/>
    <n v="33"/>
    <n v="495"/>
    <x v="38"/>
    <d v="2025-02-09T00:00:00"/>
    <x v="2"/>
    <x v="2"/>
    <x v="0"/>
    <x v="0"/>
    <x v="11"/>
    <x v="3"/>
    <x v="5"/>
    <x v="2"/>
  </r>
  <r>
    <s v="TX500978"/>
    <x v="1"/>
    <x v="9"/>
    <n v="44.9"/>
    <n v="224.5"/>
    <x v="38"/>
    <d v="2025-02-11T00:00:00"/>
    <x v="2"/>
    <x v="2"/>
    <x v="2"/>
    <x v="0"/>
    <x v="18"/>
    <x v="2"/>
    <x v="5"/>
    <x v="2"/>
  </r>
  <r>
    <s v="TX500979"/>
    <x v="10"/>
    <x v="1"/>
    <n v="34.6"/>
    <n v="69.2"/>
    <x v="38"/>
    <d v="2025-02-12T00:00:00"/>
    <x v="2"/>
    <x v="0"/>
    <x v="1"/>
    <x v="0"/>
    <x v="19"/>
    <x v="5"/>
    <x v="5"/>
    <x v="2"/>
  </r>
  <r>
    <s v="TX500980"/>
    <x v="7"/>
    <x v="3"/>
    <n v="47.1"/>
    <n v="329.7"/>
    <x v="38"/>
    <d v="2025-02-13T00:00:00"/>
    <x v="2"/>
    <x v="0"/>
    <x v="0"/>
    <x v="0"/>
    <x v="13"/>
    <x v="0"/>
    <x v="5"/>
    <x v="2"/>
  </r>
  <r>
    <s v="TX500981"/>
    <x v="4"/>
    <x v="9"/>
    <n v="26.1"/>
    <n v="130.5"/>
    <x v="38"/>
    <d v="2025-02-13T00:00:00"/>
    <x v="1"/>
    <x v="0"/>
    <x v="2"/>
    <x v="0"/>
    <x v="21"/>
    <x v="0"/>
    <x v="5"/>
    <x v="1"/>
  </r>
  <r>
    <s v="TX500982"/>
    <x v="12"/>
    <x v="9"/>
    <n v="66.8"/>
    <n v="334"/>
    <x v="38"/>
    <d v="2025-02-11T00:00:00"/>
    <x v="2"/>
    <x v="0"/>
    <x v="0"/>
    <x v="0"/>
    <x v="21"/>
    <x v="2"/>
    <x v="5"/>
    <x v="2"/>
  </r>
  <r>
    <s v="TX500983"/>
    <x v="2"/>
    <x v="1"/>
    <n v="167.9"/>
    <n v="335.8"/>
    <x v="38"/>
    <d v="2025-02-09T00:00:00"/>
    <x v="2"/>
    <x v="3"/>
    <x v="2"/>
    <x v="0"/>
    <x v="21"/>
    <x v="3"/>
    <x v="5"/>
    <x v="2"/>
  </r>
  <r>
    <s v="TX500984"/>
    <x v="10"/>
    <x v="11"/>
    <n v="34.6"/>
    <n v="311.40000000000003"/>
    <x v="38"/>
    <d v="2025-02-09T00:00:00"/>
    <x v="2"/>
    <x v="2"/>
    <x v="1"/>
    <x v="0"/>
    <x v="21"/>
    <x v="3"/>
    <x v="5"/>
    <x v="2"/>
  </r>
  <r>
    <s v="TX500985"/>
    <x v="8"/>
    <x v="2"/>
    <n v="35.1"/>
    <n v="105.30000000000001"/>
    <x v="39"/>
    <d v="2025-02-13T00:00:00"/>
    <x v="1"/>
    <x v="4"/>
    <x v="2"/>
    <x v="0"/>
    <x v="1"/>
    <x v="5"/>
    <x v="6"/>
    <x v="1"/>
  </r>
  <r>
    <s v="TX500986"/>
    <x v="6"/>
    <x v="12"/>
    <n v="104.5"/>
    <n v="418"/>
    <x v="39"/>
    <d v="2025-02-10T00:00:00"/>
    <x v="1"/>
    <x v="1"/>
    <x v="1"/>
    <x v="0"/>
    <x v="1"/>
    <x v="3"/>
    <x v="6"/>
    <x v="1"/>
  </r>
  <r>
    <s v="TX500987"/>
    <x v="8"/>
    <x v="0"/>
    <n v="37.9"/>
    <n v="37.9"/>
    <x v="39"/>
    <d v="2025-02-11T00:00:00"/>
    <x v="0"/>
    <x v="1"/>
    <x v="2"/>
    <x v="0"/>
    <x v="2"/>
    <x v="1"/>
    <x v="6"/>
    <x v="0"/>
  </r>
  <r>
    <s v="TX500988"/>
    <x v="4"/>
    <x v="2"/>
    <n v="25.5"/>
    <n v="76.5"/>
    <x v="39"/>
    <d v="2025-02-12T00:00:00"/>
    <x v="1"/>
    <x v="3"/>
    <x v="0"/>
    <x v="0"/>
    <x v="2"/>
    <x v="2"/>
    <x v="6"/>
    <x v="1"/>
  </r>
  <r>
    <s v="TX500989"/>
    <x v="0"/>
    <x v="2"/>
    <n v="32"/>
    <n v="96"/>
    <x v="39"/>
    <d v="2025-02-13T00:00:00"/>
    <x v="2"/>
    <x v="1"/>
    <x v="0"/>
    <x v="0"/>
    <x v="22"/>
    <x v="5"/>
    <x v="6"/>
    <x v="2"/>
  </r>
  <r>
    <s v="TX500990"/>
    <x v="1"/>
    <x v="0"/>
    <n v="47.1"/>
    <n v="47.1"/>
    <x v="39"/>
    <d v="2025-02-10T00:00:00"/>
    <x v="2"/>
    <x v="0"/>
    <x v="0"/>
    <x v="0"/>
    <x v="34"/>
    <x v="3"/>
    <x v="6"/>
    <x v="2"/>
  </r>
  <r>
    <s v="TX500991"/>
    <x v="6"/>
    <x v="1"/>
    <n v="50.6"/>
    <n v="101.2"/>
    <x v="39"/>
    <d v="2025-02-15T00:00:00"/>
    <x v="0"/>
    <x v="0"/>
    <x v="0"/>
    <x v="0"/>
    <x v="3"/>
    <x v="4"/>
    <x v="6"/>
    <x v="0"/>
  </r>
  <r>
    <s v="TX500992"/>
    <x v="6"/>
    <x v="9"/>
    <n v="81.7"/>
    <n v="408.5"/>
    <x v="39"/>
    <d v="2025-02-10T00:00:00"/>
    <x v="2"/>
    <x v="1"/>
    <x v="2"/>
    <x v="0"/>
    <x v="3"/>
    <x v="3"/>
    <x v="6"/>
    <x v="2"/>
  </r>
  <r>
    <s v="TX500993"/>
    <x v="5"/>
    <x v="1"/>
    <n v="50.7"/>
    <n v="101.4"/>
    <x v="39"/>
    <d v="2025-02-10T00:00:00"/>
    <x v="3"/>
    <x v="2"/>
    <x v="2"/>
    <x v="0"/>
    <x v="3"/>
    <x v="3"/>
    <x v="6"/>
    <x v="3"/>
  </r>
  <r>
    <s v="TX500994"/>
    <x v="2"/>
    <x v="10"/>
    <n v="67.3"/>
    <n v="1278.7"/>
    <x v="39"/>
    <d v="2025-02-13T00:00:00"/>
    <x v="2"/>
    <x v="2"/>
    <x v="0"/>
    <x v="0"/>
    <x v="3"/>
    <x v="5"/>
    <x v="6"/>
    <x v="2"/>
  </r>
  <r>
    <s v="TX500995"/>
    <x v="2"/>
    <x v="12"/>
    <n v="64.8"/>
    <n v="259.2"/>
    <x v="39"/>
    <d v="2025-02-12T00:00:00"/>
    <x v="2"/>
    <x v="3"/>
    <x v="0"/>
    <x v="0"/>
    <x v="3"/>
    <x v="2"/>
    <x v="6"/>
    <x v="2"/>
  </r>
  <r>
    <s v="TX500996"/>
    <x v="5"/>
    <x v="32"/>
    <n v="61.3"/>
    <n v="1348.6"/>
    <x v="39"/>
    <d v="2025-02-10T00:00:00"/>
    <x v="2"/>
    <x v="0"/>
    <x v="2"/>
    <x v="0"/>
    <x v="3"/>
    <x v="3"/>
    <x v="6"/>
    <x v="2"/>
  </r>
  <r>
    <s v="TX500997"/>
    <x v="14"/>
    <x v="0"/>
    <n v="32.9"/>
    <n v="32.9"/>
    <x v="39"/>
    <d v="2025-02-12T00:00:00"/>
    <x v="2"/>
    <x v="4"/>
    <x v="0"/>
    <x v="0"/>
    <x v="3"/>
    <x v="2"/>
    <x v="6"/>
    <x v="2"/>
  </r>
  <r>
    <s v="TX500998"/>
    <x v="6"/>
    <x v="1"/>
    <n v="100.8"/>
    <n v="201.6"/>
    <x v="39"/>
    <d v="2025-02-12T00:00:00"/>
    <x v="2"/>
    <x v="0"/>
    <x v="0"/>
    <x v="0"/>
    <x v="3"/>
    <x v="2"/>
    <x v="6"/>
    <x v="2"/>
  </r>
  <r>
    <s v="TX500999"/>
    <x v="8"/>
    <x v="12"/>
    <n v="25.1"/>
    <n v="100.4"/>
    <x v="39"/>
    <d v="2025-02-11T00:00:00"/>
    <x v="2"/>
    <x v="1"/>
    <x v="0"/>
    <x v="0"/>
    <x v="3"/>
    <x v="1"/>
    <x v="6"/>
    <x v="2"/>
  </r>
  <r>
    <s v="TX501000"/>
    <x v="17"/>
    <x v="0"/>
    <n v="48.5"/>
    <n v="48.5"/>
    <x v="39"/>
    <d v="2025-02-10T00:00:00"/>
    <x v="2"/>
    <x v="0"/>
    <x v="1"/>
    <x v="0"/>
    <x v="3"/>
    <x v="3"/>
    <x v="6"/>
    <x v="2"/>
  </r>
  <r>
    <s v="TX501001"/>
    <x v="7"/>
    <x v="1"/>
    <n v="33.6"/>
    <n v="67.2"/>
    <x v="39"/>
    <d v="2025-02-13T00:00:00"/>
    <x v="2"/>
    <x v="2"/>
    <x v="2"/>
    <x v="0"/>
    <x v="3"/>
    <x v="5"/>
    <x v="6"/>
    <x v="2"/>
  </r>
  <r>
    <s v="TX501002"/>
    <x v="8"/>
    <x v="0"/>
    <n v="39.299999999999997"/>
    <n v="39.299999999999997"/>
    <x v="39"/>
    <d v="2025-02-20T00:00:00"/>
    <x v="2"/>
    <x v="1"/>
    <x v="1"/>
    <x v="0"/>
    <x v="49"/>
    <x v="11"/>
    <x v="6"/>
    <x v="2"/>
  </r>
  <r>
    <s v="TX501003"/>
    <x v="4"/>
    <x v="7"/>
    <n v="48.8"/>
    <n v="488"/>
    <x v="39"/>
    <d v="2025-02-11T00:00:00"/>
    <x v="2"/>
    <x v="3"/>
    <x v="1"/>
    <x v="0"/>
    <x v="25"/>
    <x v="1"/>
    <x v="6"/>
    <x v="2"/>
  </r>
  <r>
    <s v="TX501004"/>
    <x v="6"/>
    <x v="8"/>
    <n v="72.8"/>
    <n v="582.4"/>
    <x v="39"/>
    <d v="2025-02-11T00:00:00"/>
    <x v="1"/>
    <x v="1"/>
    <x v="2"/>
    <x v="0"/>
    <x v="5"/>
    <x v="1"/>
    <x v="6"/>
    <x v="1"/>
  </r>
  <r>
    <s v="TX501005"/>
    <x v="10"/>
    <x v="8"/>
    <n v="46.2"/>
    <n v="369.6"/>
    <x v="39"/>
    <d v="2025-02-10T00:00:00"/>
    <x v="1"/>
    <x v="3"/>
    <x v="4"/>
    <x v="0"/>
    <x v="5"/>
    <x v="3"/>
    <x v="6"/>
    <x v="1"/>
  </r>
  <r>
    <s v="TX501006"/>
    <x v="4"/>
    <x v="1"/>
    <n v="20.7"/>
    <n v="41.4"/>
    <x v="39"/>
    <d v="2025-02-10T00:00:00"/>
    <x v="2"/>
    <x v="2"/>
    <x v="3"/>
    <x v="0"/>
    <x v="6"/>
    <x v="3"/>
    <x v="6"/>
    <x v="2"/>
  </r>
  <r>
    <s v="TX501007"/>
    <x v="0"/>
    <x v="0"/>
    <n v="35.700000000000003"/>
    <n v="35.700000000000003"/>
    <x v="39"/>
    <d v="2025-02-11T00:00:00"/>
    <x v="2"/>
    <x v="3"/>
    <x v="0"/>
    <x v="0"/>
    <x v="6"/>
    <x v="1"/>
    <x v="6"/>
    <x v="2"/>
  </r>
  <r>
    <s v="TX501008"/>
    <x v="2"/>
    <x v="27"/>
    <n v="166.2"/>
    <n v="2659.2"/>
    <x v="39"/>
    <d v="2025-02-11T00:00:00"/>
    <x v="0"/>
    <x v="2"/>
    <x v="0"/>
    <x v="0"/>
    <x v="7"/>
    <x v="1"/>
    <x v="6"/>
    <x v="0"/>
  </r>
  <r>
    <s v="TX501009"/>
    <x v="6"/>
    <x v="12"/>
    <n v="85.8"/>
    <n v="343.2"/>
    <x v="39"/>
    <d v="2025-02-10T00:00:00"/>
    <x v="2"/>
    <x v="1"/>
    <x v="1"/>
    <x v="0"/>
    <x v="7"/>
    <x v="3"/>
    <x v="6"/>
    <x v="2"/>
  </r>
  <r>
    <s v="TX501010"/>
    <x v="8"/>
    <x v="2"/>
    <n v="26"/>
    <n v="78"/>
    <x v="39"/>
    <d v="2025-02-11T00:00:00"/>
    <x v="3"/>
    <x v="1"/>
    <x v="0"/>
    <x v="0"/>
    <x v="7"/>
    <x v="1"/>
    <x v="6"/>
    <x v="3"/>
  </r>
  <r>
    <s v="TX501011"/>
    <x v="2"/>
    <x v="15"/>
    <n v="116.6"/>
    <n v="1515.8"/>
    <x v="39"/>
    <d v="2025-02-12T00:00:00"/>
    <x v="2"/>
    <x v="0"/>
    <x v="0"/>
    <x v="0"/>
    <x v="8"/>
    <x v="2"/>
    <x v="6"/>
    <x v="2"/>
  </r>
  <r>
    <s v="TX501012"/>
    <x v="9"/>
    <x v="3"/>
    <n v="53.9"/>
    <n v="377.3"/>
    <x v="39"/>
    <d v="2025-02-12T00:00:00"/>
    <x v="3"/>
    <x v="0"/>
    <x v="2"/>
    <x v="0"/>
    <x v="8"/>
    <x v="2"/>
    <x v="6"/>
    <x v="3"/>
  </r>
  <r>
    <s v="TX501013"/>
    <x v="12"/>
    <x v="9"/>
    <n v="72.3"/>
    <n v="361.5"/>
    <x v="39"/>
    <d v="2025-02-11T00:00:00"/>
    <x v="0"/>
    <x v="2"/>
    <x v="2"/>
    <x v="0"/>
    <x v="8"/>
    <x v="1"/>
    <x v="6"/>
    <x v="0"/>
  </r>
  <r>
    <s v="TX501014"/>
    <x v="5"/>
    <x v="1"/>
    <n v="31.4"/>
    <n v="62.8"/>
    <x v="39"/>
    <d v="2025-02-11T00:00:00"/>
    <x v="2"/>
    <x v="0"/>
    <x v="0"/>
    <x v="0"/>
    <x v="8"/>
    <x v="1"/>
    <x v="6"/>
    <x v="2"/>
  </r>
  <r>
    <s v="TX501015"/>
    <x v="13"/>
    <x v="1"/>
    <n v="53.1"/>
    <n v="106.2"/>
    <x v="39"/>
    <d v="2025-02-12T00:00:00"/>
    <x v="1"/>
    <x v="1"/>
    <x v="0"/>
    <x v="0"/>
    <x v="8"/>
    <x v="2"/>
    <x v="6"/>
    <x v="1"/>
  </r>
  <r>
    <s v="TX501016"/>
    <x v="2"/>
    <x v="12"/>
    <n v="56.2"/>
    <n v="224.8"/>
    <x v="39"/>
    <d v="2025-02-10T00:00:00"/>
    <x v="2"/>
    <x v="0"/>
    <x v="0"/>
    <x v="0"/>
    <x v="8"/>
    <x v="3"/>
    <x v="6"/>
    <x v="2"/>
  </r>
  <r>
    <s v="TX501017"/>
    <x v="1"/>
    <x v="7"/>
    <n v="77.3"/>
    <n v="773"/>
    <x v="39"/>
    <d v="2025-02-10T00:00:00"/>
    <x v="2"/>
    <x v="2"/>
    <x v="0"/>
    <x v="0"/>
    <x v="11"/>
    <x v="3"/>
    <x v="6"/>
    <x v="2"/>
  </r>
  <r>
    <s v="TX501018"/>
    <x v="6"/>
    <x v="15"/>
    <n v="57.8"/>
    <n v="751.4"/>
    <x v="39"/>
    <d v="2025-02-10T00:00:00"/>
    <x v="0"/>
    <x v="0"/>
    <x v="0"/>
    <x v="0"/>
    <x v="53"/>
    <x v="3"/>
    <x v="6"/>
    <x v="0"/>
  </r>
  <r>
    <s v="TX501019"/>
    <x v="12"/>
    <x v="20"/>
    <n v="42.1"/>
    <n v="631.5"/>
    <x v="39"/>
    <d v="2025-02-11T00:00:00"/>
    <x v="2"/>
    <x v="1"/>
    <x v="1"/>
    <x v="0"/>
    <x v="53"/>
    <x v="1"/>
    <x v="6"/>
    <x v="2"/>
  </r>
  <r>
    <s v="TX501020"/>
    <x v="8"/>
    <x v="11"/>
    <n v="22.8"/>
    <n v="205.20000000000002"/>
    <x v="39"/>
    <d v="2025-02-13T00:00:00"/>
    <x v="1"/>
    <x v="2"/>
    <x v="2"/>
    <x v="0"/>
    <x v="19"/>
    <x v="5"/>
    <x v="6"/>
    <x v="1"/>
  </r>
  <r>
    <s v="TX501021"/>
    <x v="2"/>
    <x v="2"/>
    <n v="171.1"/>
    <n v="513.29999999999995"/>
    <x v="40"/>
    <d v="2025-02-17T00:00:00"/>
    <x v="2"/>
    <x v="2"/>
    <x v="1"/>
    <x v="0"/>
    <x v="19"/>
    <x v="6"/>
    <x v="6"/>
    <x v="2"/>
  </r>
  <r>
    <s v="TX501022"/>
    <x v="8"/>
    <x v="0"/>
    <n v="28"/>
    <n v="28"/>
    <x v="40"/>
    <d v="2025-02-12T00:00:00"/>
    <x v="1"/>
    <x v="2"/>
    <x v="2"/>
    <x v="0"/>
    <x v="21"/>
    <x v="1"/>
    <x v="6"/>
    <x v="1"/>
  </r>
  <r>
    <s v="TX501023"/>
    <x v="6"/>
    <x v="3"/>
    <n v="50.2"/>
    <n v="351.40000000000003"/>
    <x v="40"/>
    <d v="2025-02-12T00:00:00"/>
    <x v="1"/>
    <x v="2"/>
    <x v="0"/>
    <x v="0"/>
    <x v="21"/>
    <x v="1"/>
    <x v="6"/>
    <x v="1"/>
  </r>
  <r>
    <s v="TX501024"/>
    <x v="6"/>
    <x v="1"/>
    <n v="56"/>
    <n v="112"/>
    <x v="40"/>
    <d v="2025-02-10T00:00:00"/>
    <x v="1"/>
    <x v="0"/>
    <x v="2"/>
    <x v="0"/>
    <x v="22"/>
    <x v="7"/>
    <x v="6"/>
    <x v="1"/>
  </r>
  <r>
    <s v="TX501025"/>
    <x v="1"/>
    <x v="1"/>
    <n v="38.299999999999997"/>
    <n v="76.599999999999994"/>
    <x v="40"/>
    <d v="2025-02-11T00:00:00"/>
    <x v="2"/>
    <x v="1"/>
    <x v="0"/>
    <x v="0"/>
    <x v="3"/>
    <x v="3"/>
    <x v="6"/>
    <x v="2"/>
  </r>
  <r>
    <s v="TX501026"/>
    <x v="0"/>
    <x v="9"/>
    <n v="22.3"/>
    <n v="111.5"/>
    <x v="40"/>
    <d v="2025-02-14T00:00:00"/>
    <x v="2"/>
    <x v="2"/>
    <x v="1"/>
    <x v="0"/>
    <x v="3"/>
    <x v="5"/>
    <x v="6"/>
    <x v="2"/>
  </r>
  <r>
    <s v="TX501027"/>
    <x v="0"/>
    <x v="2"/>
    <n v="22.3"/>
    <n v="66.900000000000006"/>
    <x v="40"/>
    <d v="2025-02-13T00:00:00"/>
    <x v="2"/>
    <x v="2"/>
    <x v="0"/>
    <x v="0"/>
    <x v="3"/>
    <x v="2"/>
    <x v="6"/>
    <x v="2"/>
  </r>
  <r>
    <s v="TX501028"/>
    <x v="1"/>
    <x v="0"/>
    <n v="32.9"/>
    <n v="32.9"/>
    <x v="40"/>
    <d v="2025-02-15T00:00:00"/>
    <x v="2"/>
    <x v="0"/>
    <x v="0"/>
    <x v="0"/>
    <x v="3"/>
    <x v="0"/>
    <x v="6"/>
    <x v="2"/>
  </r>
  <r>
    <s v="TX501029"/>
    <x v="10"/>
    <x v="2"/>
    <n v="31.9"/>
    <n v="95.699999999999989"/>
    <x v="40"/>
    <d v="2025-02-15T00:00:00"/>
    <x v="2"/>
    <x v="0"/>
    <x v="0"/>
    <x v="0"/>
    <x v="3"/>
    <x v="0"/>
    <x v="6"/>
    <x v="2"/>
  </r>
  <r>
    <s v="TX501030"/>
    <x v="6"/>
    <x v="1"/>
    <n v="94"/>
    <n v="188"/>
    <x v="40"/>
    <d v="2025-02-11T00:00:00"/>
    <x v="1"/>
    <x v="2"/>
    <x v="2"/>
    <x v="0"/>
    <x v="3"/>
    <x v="3"/>
    <x v="6"/>
    <x v="1"/>
  </r>
  <r>
    <s v="TX501031"/>
    <x v="10"/>
    <x v="1"/>
    <n v="30.7"/>
    <n v="61.4"/>
    <x v="40"/>
    <d v="2025-02-11T00:00:00"/>
    <x v="2"/>
    <x v="0"/>
    <x v="1"/>
    <x v="0"/>
    <x v="3"/>
    <x v="3"/>
    <x v="6"/>
    <x v="2"/>
  </r>
  <r>
    <s v="TX501032"/>
    <x v="5"/>
    <x v="9"/>
    <n v="90.5"/>
    <n v="452.5"/>
    <x v="40"/>
    <d v="2025-02-17T00:00:00"/>
    <x v="1"/>
    <x v="0"/>
    <x v="2"/>
    <x v="0"/>
    <x v="3"/>
    <x v="6"/>
    <x v="6"/>
    <x v="1"/>
  </r>
  <r>
    <s v="TX501033"/>
    <x v="8"/>
    <x v="9"/>
    <n v="25.3"/>
    <n v="126.5"/>
    <x v="40"/>
    <d v="2025-02-14T00:00:00"/>
    <x v="2"/>
    <x v="0"/>
    <x v="2"/>
    <x v="0"/>
    <x v="3"/>
    <x v="5"/>
    <x v="6"/>
    <x v="2"/>
  </r>
  <r>
    <s v="TX501034"/>
    <x v="6"/>
    <x v="2"/>
    <n v="58.1"/>
    <n v="174.3"/>
    <x v="40"/>
    <d v="2025-02-14T00:00:00"/>
    <x v="0"/>
    <x v="0"/>
    <x v="2"/>
    <x v="0"/>
    <x v="3"/>
    <x v="5"/>
    <x v="6"/>
    <x v="0"/>
  </r>
  <r>
    <s v="TX501035"/>
    <x v="2"/>
    <x v="2"/>
    <n v="74.900000000000006"/>
    <n v="224.70000000000002"/>
    <x v="40"/>
    <d v="2025-02-11T00:00:00"/>
    <x v="2"/>
    <x v="4"/>
    <x v="0"/>
    <x v="0"/>
    <x v="3"/>
    <x v="3"/>
    <x v="6"/>
    <x v="2"/>
  </r>
  <r>
    <s v="TX501036"/>
    <x v="4"/>
    <x v="1"/>
    <n v="32.5"/>
    <n v="65"/>
    <x v="40"/>
    <d v="2025-02-11T00:00:00"/>
    <x v="1"/>
    <x v="2"/>
    <x v="2"/>
    <x v="0"/>
    <x v="43"/>
    <x v="3"/>
    <x v="6"/>
    <x v="1"/>
  </r>
  <r>
    <s v="TX501037"/>
    <x v="4"/>
    <x v="9"/>
    <n v="62"/>
    <n v="310"/>
    <x v="40"/>
    <d v="2025-02-11T00:00:00"/>
    <x v="1"/>
    <x v="4"/>
    <x v="2"/>
    <x v="0"/>
    <x v="25"/>
    <x v="3"/>
    <x v="6"/>
    <x v="1"/>
  </r>
  <r>
    <s v="TX501038"/>
    <x v="13"/>
    <x v="13"/>
    <n v="28.9"/>
    <n v="173.39999999999998"/>
    <x v="40"/>
    <d v="2025-02-13T00:00:00"/>
    <x v="2"/>
    <x v="0"/>
    <x v="1"/>
    <x v="0"/>
    <x v="6"/>
    <x v="2"/>
    <x v="6"/>
    <x v="2"/>
  </r>
  <r>
    <s v="TX501039"/>
    <x v="6"/>
    <x v="8"/>
    <n v="42.8"/>
    <n v="342.4"/>
    <x v="40"/>
    <d v="2025-02-12T00:00:00"/>
    <x v="2"/>
    <x v="0"/>
    <x v="2"/>
    <x v="0"/>
    <x v="6"/>
    <x v="1"/>
    <x v="6"/>
    <x v="2"/>
  </r>
  <r>
    <s v="TX501040"/>
    <x v="8"/>
    <x v="8"/>
    <n v="39.4"/>
    <n v="315.2"/>
    <x v="40"/>
    <d v="2025-02-12T00:00:00"/>
    <x v="1"/>
    <x v="0"/>
    <x v="0"/>
    <x v="0"/>
    <x v="36"/>
    <x v="1"/>
    <x v="6"/>
    <x v="1"/>
  </r>
  <r>
    <s v="TX501041"/>
    <x v="18"/>
    <x v="2"/>
    <n v="66.400000000000006"/>
    <n v="199.20000000000002"/>
    <x v="40"/>
    <d v="2025-02-11T00:00:00"/>
    <x v="0"/>
    <x v="2"/>
    <x v="1"/>
    <x v="0"/>
    <x v="7"/>
    <x v="3"/>
    <x v="6"/>
    <x v="0"/>
  </r>
  <r>
    <s v="TX501042"/>
    <x v="17"/>
    <x v="12"/>
    <n v="35.9"/>
    <n v="143.6"/>
    <x v="40"/>
    <d v="2025-02-17T00:00:00"/>
    <x v="2"/>
    <x v="1"/>
    <x v="0"/>
    <x v="0"/>
    <x v="7"/>
    <x v="6"/>
    <x v="6"/>
    <x v="2"/>
  </r>
  <r>
    <s v="TX501043"/>
    <x v="0"/>
    <x v="12"/>
    <n v="26.9"/>
    <n v="107.6"/>
    <x v="40"/>
    <d v="2025-02-11T00:00:00"/>
    <x v="1"/>
    <x v="1"/>
    <x v="0"/>
    <x v="0"/>
    <x v="7"/>
    <x v="3"/>
    <x v="6"/>
    <x v="1"/>
  </r>
  <r>
    <s v="TX501044"/>
    <x v="2"/>
    <x v="0"/>
    <n v="55.1"/>
    <n v="55.1"/>
    <x v="40"/>
    <d v="2025-02-11T00:00:00"/>
    <x v="2"/>
    <x v="0"/>
    <x v="0"/>
    <x v="0"/>
    <x v="7"/>
    <x v="3"/>
    <x v="6"/>
    <x v="2"/>
  </r>
  <r>
    <s v="TX501045"/>
    <x v="4"/>
    <x v="1"/>
    <n v="23.9"/>
    <n v="47.8"/>
    <x v="40"/>
    <d v="2025-02-11T00:00:00"/>
    <x v="1"/>
    <x v="0"/>
    <x v="2"/>
    <x v="0"/>
    <x v="8"/>
    <x v="3"/>
    <x v="6"/>
    <x v="1"/>
  </r>
  <r>
    <s v="TX501046"/>
    <x v="9"/>
    <x v="15"/>
    <n v="21.1"/>
    <n v="274.3"/>
    <x v="40"/>
    <d v="2025-02-18T00:00:00"/>
    <x v="2"/>
    <x v="0"/>
    <x v="1"/>
    <x v="0"/>
    <x v="8"/>
    <x v="9"/>
    <x v="6"/>
    <x v="2"/>
  </r>
  <r>
    <s v="TX501047"/>
    <x v="8"/>
    <x v="9"/>
    <n v="33.799999999999997"/>
    <n v="169"/>
    <x v="40"/>
    <d v="2025-02-12T00:00:00"/>
    <x v="2"/>
    <x v="0"/>
    <x v="0"/>
    <x v="0"/>
    <x v="8"/>
    <x v="1"/>
    <x v="6"/>
    <x v="2"/>
  </r>
  <r>
    <s v="TX501048"/>
    <x v="2"/>
    <x v="12"/>
    <n v="56.1"/>
    <n v="224.4"/>
    <x v="40"/>
    <d v="2025-02-10T00:00:00"/>
    <x v="2"/>
    <x v="3"/>
    <x v="2"/>
    <x v="0"/>
    <x v="9"/>
    <x v="7"/>
    <x v="6"/>
    <x v="2"/>
  </r>
  <r>
    <s v="TX501049"/>
    <x v="3"/>
    <x v="0"/>
    <n v="58.5"/>
    <n v="58.5"/>
    <x v="41"/>
    <d v="2025-02-15T00:00:00"/>
    <x v="2"/>
    <x v="1"/>
    <x v="2"/>
    <x v="0"/>
    <x v="9"/>
    <x v="5"/>
    <x v="6"/>
    <x v="2"/>
  </r>
  <r>
    <s v="TX501050"/>
    <x v="6"/>
    <x v="0"/>
    <n v="84.2"/>
    <n v="84.2"/>
    <x v="41"/>
    <d v="2025-02-13T00:00:00"/>
    <x v="1"/>
    <x v="3"/>
    <x v="0"/>
    <x v="0"/>
    <x v="11"/>
    <x v="1"/>
    <x v="6"/>
    <x v="1"/>
  </r>
  <r>
    <s v="TX501051"/>
    <x v="11"/>
    <x v="12"/>
    <n v="52"/>
    <n v="208"/>
    <x v="41"/>
    <d v="2025-02-14T00:00:00"/>
    <x v="1"/>
    <x v="0"/>
    <x v="0"/>
    <x v="0"/>
    <x v="11"/>
    <x v="2"/>
    <x v="6"/>
    <x v="1"/>
  </r>
  <r>
    <s v="TX501052"/>
    <x v="4"/>
    <x v="9"/>
    <n v="31.5"/>
    <n v="157.5"/>
    <x v="41"/>
    <d v="2025-02-12T00:00:00"/>
    <x v="2"/>
    <x v="0"/>
    <x v="2"/>
    <x v="0"/>
    <x v="11"/>
    <x v="3"/>
    <x v="6"/>
    <x v="2"/>
  </r>
  <r>
    <s v="TX501053"/>
    <x v="16"/>
    <x v="2"/>
    <n v="46.2"/>
    <n v="138.60000000000002"/>
    <x v="41"/>
    <d v="2025-02-12T00:00:00"/>
    <x v="1"/>
    <x v="0"/>
    <x v="0"/>
    <x v="0"/>
    <x v="53"/>
    <x v="3"/>
    <x v="6"/>
    <x v="1"/>
  </r>
  <r>
    <s v="TX501054"/>
    <x v="2"/>
    <x v="13"/>
    <n v="135"/>
    <n v="810"/>
    <x v="41"/>
    <d v="2025-02-12T00:00:00"/>
    <x v="2"/>
    <x v="1"/>
    <x v="2"/>
    <x v="0"/>
    <x v="18"/>
    <x v="3"/>
    <x v="6"/>
    <x v="2"/>
  </r>
  <r>
    <s v="TX501055"/>
    <x v="12"/>
    <x v="2"/>
    <n v="92.2"/>
    <n v="276.60000000000002"/>
    <x v="41"/>
    <d v="2025-02-15T00:00:00"/>
    <x v="1"/>
    <x v="0"/>
    <x v="0"/>
    <x v="0"/>
    <x v="21"/>
    <x v="5"/>
    <x v="6"/>
    <x v="1"/>
  </r>
  <r>
    <s v="TX501056"/>
    <x v="8"/>
    <x v="0"/>
    <n v="36.6"/>
    <n v="36.6"/>
    <x v="41"/>
    <d v="2025-02-13T00:00:00"/>
    <x v="1"/>
    <x v="2"/>
    <x v="2"/>
    <x v="0"/>
    <x v="21"/>
    <x v="1"/>
    <x v="6"/>
    <x v="1"/>
  </r>
  <r>
    <s v="TX501057"/>
    <x v="9"/>
    <x v="1"/>
    <n v="50.6"/>
    <n v="101.2"/>
    <x v="41"/>
    <d v="2025-02-14T00:00:00"/>
    <x v="2"/>
    <x v="0"/>
    <x v="0"/>
    <x v="0"/>
    <x v="2"/>
    <x v="2"/>
    <x v="6"/>
    <x v="2"/>
  </r>
  <r>
    <s v="TX501058"/>
    <x v="18"/>
    <x v="3"/>
    <n v="56.7"/>
    <n v="396.90000000000003"/>
    <x v="41"/>
    <d v="2025-02-14T00:00:00"/>
    <x v="2"/>
    <x v="0"/>
    <x v="0"/>
    <x v="0"/>
    <x v="2"/>
    <x v="2"/>
    <x v="6"/>
    <x v="2"/>
  </r>
  <r>
    <s v="TX501059"/>
    <x v="9"/>
    <x v="15"/>
    <n v="22.9"/>
    <n v="297.7"/>
    <x v="41"/>
    <d v="2025-02-12T00:00:00"/>
    <x v="2"/>
    <x v="0"/>
    <x v="1"/>
    <x v="0"/>
    <x v="44"/>
    <x v="3"/>
    <x v="6"/>
    <x v="2"/>
  </r>
  <r>
    <s v="TX501060"/>
    <x v="15"/>
    <x v="10"/>
    <n v="53.6"/>
    <n v="1018.4"/>
    <x v="41"/>
    <d v="2025-02-12T00:00:00"/>
    <x v="1"/>
    <x v="0"/>
    <x v="0"/>
    <x v="0"/>
    <x v="22"/>
    <x v="3"/>
    <x v="6"/>
    <x v="1"/>
  </r>
  <r>
    <s v="TX501061"/>
    <x v="18"/>
    <x v="1"/>
    <n v="30.2"/>
    <n v="60.4"/>
    <x v="41"/>
    <d v="2025-02-13T00:00:00"/>
    <x v="0"/>
    <x v="2"/>
    <x v="2"/>
    <x v="0"/>
    <x v="3"/>
    <x v="1"/>
    <x v="6"/>
    <x v="0"/>
  </r>
  <r>
    <s v="TX501062"/>
    <x v="15"/>
    <x v="13"/>
    <n v="83.4"/>
    <n v="500.40000000000003"/>
    <x v="41"/>
    <d v="2025-02-12T00:00:00"/>
    <x v="1"/>
    <x v="1"/>
    <x v="2"/>
    <x v="0"/>
    <x v="3"/>
    <x v="3"/>
    <x v="6"/>
    <x v="1"/>
  </r>
  <r>
    <s v="TX501063"/>
    <x v="13"/>
    <x v="4"/>
    <n v="16.600000000000001"/>
    <n v="199.20000000000002"/>
    <x v="41"/>
    <d v="2025-02-13T00:00:00"/>
    <x v="1"/>
    <x v="1"/>
    <x v="0"/>
    <x v="0"/>
    <x v="3"/>
    <x v="1"/>
    <x v="6"/>
    <x v="1"/>
  </r>
  <r>
    <s v="TX501064"/>
    <x v="8"/>
    <x v="14"/>
    <n v="21.9"/>
    <n v="372.29999999999995"/>
    <x v="41"/>
    <d v="2025-02-13T00:00:00"/>
    <x v="2"/>
    <x v="4"/>
    <x v="1"/>
    <x v="0"/>
    <x v="3"/>
    <x v="1"/>
    <x v="6"/>
    <x v="2"/>
  </r>
  <r>
    <s v="TX501065"/>
    <x v="8"/>
    <x v="31"/>
    <n v="33.799999999999997"/>
    <n v="946.39999999999986"/>
    <x v="41"/>
    <d v="2025-02-13T00:00:00"/>
    <x v="1"/>
    <x v="2"/>
    <x v="4"/>
    <x v="0"/>
    <x v="3"/>
    <x v="1"/>
    <x v="6"/>
    <x v="1"/>
  </r>
  <r>
    <s v="TX501066"/>
    <x v="18"/>
    <x v="1"/>
    <n v="53.2"/>
    <n v="106.4"/>
    <x v="41"/>
    <d v="2025-02-11T00:00:00"/>
    <x v="1"/>
    <x v="1"/>
    <x v="0"/>
    <x v="0"/>
    <x v="3"/>
    <x v="7"/>
    <x v="6"/>
    <x v="1"/>
  </r>
  <r>
    <s v="TX501067"/>
    <x v="2"/>
    <x v="1"/>
    <n v="176.7"/>
    <n v="353.4"/>
    <x v="41"/>
    <d v="2025-02-14T00:00:00"/>
    <x v="2"/>
    <x v="2"/>
    <x v="0"/>
    <x v="0"/>
    <x v="3"/>
    <x v="2"/>
    <x v="6"/>
    <x v="2"/>
  </r>
  <r>
    <s v="TX501068"/>
    <x v="12"/>
    <x v="2"/>
    <n v="54"/>
    <n v="162"/>
    <x v="41"/>
    <d v="2025-02-14T00:00:00"/>
    <x v="1"/>
    <x v="0"/>
    <x v="1"/>
    <x v="0"/>
    <x v="3"/>
    <x v="2"/>
    <x v="6"/>
    <x v="1"/>
  </r>
  <r>
    <s v="TX501069"/>
    <x v="9"/>
    <x v="1"/>
    <n v="70.099999999999994"/>
    <n v="140.19999999999999"/>
    <x v="41"/>
    <d v="2025-02-19T00:00:00"/>
    <x v="2"/>
    <x v="3"/>
    <x v="2"/>
    <x v="0"/>
    <x v="3"/>
    <x v="9"/>
    <x v="6"/>
    <x v="2"/>
  </r>
  <r>
    <s v="TX501070"/>
    <x v="8"/>
    <x v="0"/>
    <n v="26.5"/>
    <n v="26.5"/>
    <x v="41"/>
    <d v="2025-02-13T00:00:00"/>
    <x v="2"/>
    <x v="1"/>
    <x v="0"/>
    <x v="0"/>
    <x v="3"/>
    <x v="1"/>
    <x v="6"/>
    <x v="2"/>
  </r>
  <r>
    <s v="TX501071"/>
    <x v="7"/>
    <x v="9"/>
    <n v="89"/>
    <n v="445"/>
    <x v="41"/>
    <d v="2025-02-13T00:00:00"/>
    <x v="1"/>
    <x v="2"/>
    <x v="4"/>
    <x v="0"/>
    <x v="3"/>
    <x v="1"/>
    <x v="6"/>
    <x v="1"/>
  </r>
  <r>
    <s v="TX501072"/>
    <x v="1"/>
    <x v="13"/>
    <n v="47"/>
    <n v="282"/>
    <x v="41"/>
    <d v="2025-02-14T00:00:00"/>
    <x v="2"/>
    <x v="3"/>
    <x v="0"/>
    <x v="0"/>
    <x v="24"/>
    <x v="2"/>
    <x v="6"/>
    <x v="2"/>
  </r>
  <r>
    <s v="TX501073"/>
    <x v="3"/>
    <x v="1"/>
    <n v="55.2"/>
    <n v="110.4"/>
    <x v="41"/>
    <d v="2025-02-14T00:00:00"/>
    <x v="1"/>
    <x v="1"/>
    <x v="1"/>
    <x v="0"/>
    <x v="6"/>
    <x v="2"/>
    <x v="6"/>
    <x v="1"/>
  </r>
  <r>
    <s v="TX501074"/>
    <x v="8"/>
    <x v="39"/>
    <n v="33.299999999999997"/>
    <n v="1398.6"/>
    <x v="41"/>
    <d v="2025-02-25T00:00:00"/>
    <x v="1"/>
    <x v="1"/>
    <x v="2"/>
    <x v="0"/>
    <x v="6"/>
    <x v="12"/>
    <x v="6"/>
    <x v="1"/>
  </r>
  <r>
    <s v="TX501075"/>
    <x v="2"/>
    <x v="12"/>
    <n v="110.9"/>
    <n v="443.6"/>
    <x v="42"/>
    <d v="2025-02-12T00:00:00"/>
    <x v="1"/>
    <x v="2"/>
    <x v="4"/>
    <x v="0"/>
    <x v="6"/>
    <x v="7"/>
    <x v="6"/>
    <x v="1"/>
  </r>
  <r>
    <s v="TX501076"/>
    <x v="2"/>
    <x v="13"/>
    <n v="67.3"/>
    <n v="403.79999999999995"/>
    <x v="42"/>
    <d v="2025-02-13T00:00:00"/>
    <x v="1"/>
    <x v="0"/>
    <x v="0"/>
    <x v="0"/>
    <x v="8"/>
    <x v="3"/>
    <x v="6"/>
    <x v="1"/>
  </r>
  <r>
    <s v="TX501077"/>
    <x v="6"/>
    <x v="2"/>
    <n v="69.7"/>
    <n v="209.10000000000002"/>
    <x v="42"/>
    <d v="2025-02-13T00:00:00"/>
    <x v="1"/>
    <x v="2"/>
    <x v="1"/>
    <x v="0"/>
    <x v="8"/>
    <x v="3"/>
    <x v="6"/>
    <x v="1"/>
  </r>
  <r>
    <s v="TX501078"/>
    <x v="5"/>
    <x v="0"/>
    <n v="39.1"/>
    <n v="39.1"/>
    <x v="42"/>
    <d v="2025-02-17T00:00:00"/>
    <x v="1"/>
    <x v="0"/>
    <x v="1"/>
    <x v="0"/>
    <x v="17"/>
    <x v="0"/>
    <x v="6"/>
    <x v="1"/>
  </r>
  <r>
    <s v="TX501079"/>
    <x v="2"/>
    <x v="2"/>
    <n v="208.6"/>
    <n v="625.79999999999995"/>
    <x v="42"/>
    <d v="2025-02-12T00:00:00"/>
    <x v="1"/>
    <x v="4"/>
    <x v="2"/>
    <x v="0"/>
    <x v="17"/>
    <x v="7"/>
    <x v="6"/>
    <x v="1"/>
  </r>
  <r>
    <s v="TX501080"/>
    <x v="15"/>
    <x v="2"/>
    <n v="27.8"/>
    <n v="83.4"/>
    <x v="42"/>
    <d v="2025-02-13T00:00:00"/>
    <x v="1"/>
    <x v="3"/>
    <x v="1"/>
    <x v="0"/>
    <x v="11"/>
    <x v="3"/>
    <x v="6"/>
    <x v="1"/>
  </r>
  <r>
    <s v="TX501081"/>
    <x v="10"/>
    <x v="9"/>
    <n v="29.4"/>
    <n v="147"/>
    <x v="42"/>
    <d v="2025-02-14T00:00:00"/>
    <x v="2"/>
    <x v="0"/>
    <x v="0"/>
    <x v="0"/>
    <x v="11"/>
    <x v="1"/>
    <x v="6"/>
    <x v="2"/>
  </r>
  <r>
    <s v="TX501082"/>
    <x v="9"/>
    <x v="1"/>
    <n v="29.2"/>
    <n v="58.4"/>
    <x v="42"/>
    <d v="2025-02-14T00:00:00"/>
    <x v="2"/>
    <x v="1"/>
    <x v="2"/>
    <x v="0"/>
    <x v="20"/>
    <x v="1"/>
    <x v="6"/>
    <x v="2"/>
  </r>
  <r>
    <s v="TX501083"/>
    <x v="10"/>
    <x v="9"/>
    <n v="26.5"/>
    <n v="132.5"/>
    <x v="42"/>
    <d v="2025-02-14T00:00:00"/>
    <x v="2"/>
    <x v="0"/>
    <x v="0"/>
    <x v="0"/>
    <x v="52"/>
    <x v="1"/>
    <x v="6"/>
    <x v="2"/>
  </r>
  <r>
    <s v="TX501084"/>
    <x v="5"/>
    <x v="0"/>
    <n v="30.3"/>
    <n v="30.3"/>
    <x v="42"/>
    <d v="2025-02-13T00:00:00"/>
    <x v="2"/>
    <x v="4"/>
    <x v="1"/>
    <x v="0"/>
    <x v="13"/>
    <x v="3"/>
    <x v="6"/>
    <x v="2"/>
  </r>
  <r>
    <s v="TX501085"/>
    <x v="16"/>
    <x v="4"/>
    <n v="39.700000000000003"/>
    <n v="476.40000000000003"/>
    <x v="42"/>
    <d v="2025-02-13T00:00:00"/>
    <x v="2"/>
    <x v="0"/>
    <x v="0"/>
    <x v="0"/>
    <x v="21"/>
    <x v="3"/>
    <x v="6"/>
    <x v="2"/>
  </r>
  <r>
    <s v="TX501086"/>
    <x v="7"/>
    <x v="7"/>
    <n v="58.9"/>
    <n v="589"/>
    <x v="42"/>
    <d v="2025-02-14T00:00:00"/>
    <x v="2"/>
    <x v="1"/>
    <x v="4"/>
    <x v="0"/>
    <x v="21"/>
    <x v="1"/>
    <x v="6"/>
    <x v="2"/>
  </r>
  <r>
    <s v="TX501087"/>
    <x v="2"/>
    <x v="1"/>
    <n v="174.1"/>
    <n v="348.2"/>
    <x v="42"/>
    <d v="2025-02-14T00:00:00"/>
    <x v="2"/>
    <x v="0"/>
    <x v="1"/>
    <x v="0"/>
    <x v="46"/>
    <x v="1"/>
    <x v="6"/>
    <x v="2"/>
  </r>
  <r>
    <s v="TX501088"/>
    <x v="6"/>
    <x v="1"/>
    <n v="70.8"/>
    <n v="141.6"/>
    <x v="42"/>
    <d v="2025-02-15T00:00:00"/>
    <x v="1"/>
    <x v="2"/>
    <x v="0"/>
    <x v="0"/>
    <x v="22"/>
    <x v="2"/>
    <x v="6"/>
    <x v="1"/>
  </r>
  <r>
    <s v="TX501089"/>
    <x v="7"/>
    <x v="1"/>
    <n v="57.4"/>
    <n v="114.8"/>
    <x v="42"/>
    <d v="2025-02-14T00:00:00"/>
    <x v="2"/>
    <x v="1"/>
    <x v="1"/>
    <x v="0"/>
    <x v="34"/>
    <x v="1"/>
    <x v="6"/>
    <x v="2"/>
  </r>
  <r>
    <s v="TX501090"/>
    <x v="0"/>
    <x v="1"/>
    <n v="28.5"/>
    <n v="57"/>
    <x v="42"/>
    <d v="2025-02-14T00:00:00"/>
    <x v="1"/>
    <x v="3"/>
    <x v="1"/>
    <x v="0"/>
    <x v="3"/>
    <x v="1"/>
    <x v="6"/>
    <x v="1"/>
  </r>
  <r>
    <s v="TX501091"/>
    <x v="2"/>
    <x v="28"/>
    <n v="106.6"/>
    <n v="2132"/>
    <x v="42"/>
    <d v="2025-02-13T00:00:00"/>
    <x v="0"/>
    <x v="1"/>
    <x v="4"/>
    <x v="0"/>
    <x v="3"/>
    <x v="3"/>
    <x v="6"/>
    <x v="0"/>
  </r>
  <r>
    <s v="TX501092"/>
    <x v="2"/>
    <x v="2"/>
    <n v="119.7"/>
    <n v="359.1"/>
    <x v="42"/>
    <d v="2025-02-13T00:00:00"/>
    <x v="2"/>
    <x v="1"/>
    <x v="4"/>
    <x v="0"/>
    <x v="3"/>
    <x v="3"/>
    <x v="6"/>
    <x v="2"/>
  </r>
  <r>
    <s v="TX501093"/>
    <x v="18"/>
    <x v="0"/>
    <n v="73.3"/>
    <n v="73.3"/>
    <x v="42"/>
    <d v="2025-02-17T00:00:00"/>
    <x v="2"/>
    <x v="0"/>
    <x v="2"/>
    <x v="0"/>
    <x v="3"/>
    <x v="0"/>
    <x v="6"/>
    <x v="2"/>
  </r>
  <r>
    <s v="TX501094"/>
    <x v="0"/>
    <x v="1"/>
    <n v="25.8"/>
    <n v="51.6"/>
    <x v="42"/>
    <d v="2025-02-26T00:00:00"/>
    <x v="1"/>
    <x v="2"/>
    <x v="0"/>
    <x v="0"/>
    <x v="3"/>
    <x v="12"/>
    <x v="6"/>
    <x v="1"/>
  </r>
  <r>
    <s v="TX501095"/>
    <x v="17"/>
    <x v="2"/>
    <n v="49.1"/>
    <n v="147.30000000000001"/>
    <x v="42"/>
    <d v="2025-02-14T00:00:00"/>
    <x v="2"/>
    <x v="0"/>
    <x v="0"/>
    <x v="0"/>
    <x v="24"/>
    <x v="1"/>
    <x v="6"/>
    <x v="2"/>
  </r>
  <r>
    <s v="TX501096"/>
    <x v="1"/>
    <x v="0"/>
    <n v="44.9"/>
    <n v="44.9"/>
    <x v="42"/>
    <d v="2025-02-15T00:00:00"/>
    <x v="2"/>
    <x v="3"/>
    <x v="2"/>
    <x v="0"/>
    <x v="6"/>
    <x v="2"/>
    <x v="6"/>
    <x v="2"/>
  </r>
  <r>
    <s v="TX501097"/>
    <x v="15"/>
    <x v="3"/>
    <n v="29.9"/>
    <n v="209.29999999999998"/>
    <x v="42"/>
    <d v="2025-02-13T00:00:00"/>
    <x v="2"/>
    <x v="0"/>
    <x v="0"/>
    <x v="0"/>
    <x v="6"/>
    <x v="3"/>
    <x v="6"/>
    <x v="2"/>
  </r>
  <r>
    <s v="TX501098"/>
    <x v="7"/>
    <x v="1"/>
    <n v="54.3"/>
    <n v="108.6"/>
    <x v="43"/>
    <d v="2025-02-14T00:00:00"/>
    <x v="1"/>
    <x v="3"/>
    <x v="0"/>
    <x v="0"/>
    <x v="36"/>
    <x v="3"/>
    <x v="6"/>
    <x v="1"/>
  </r>
  <r>
    <s v="TX501099"/>
    <x v="9"/>
    <x v="12"/>
    <n v="57"/>
    <n v="228"/>
    <x v="43"/>
    <d v="2025-02-15T00:00:00"/>
    <x v="2"/>
    <x v="0"/>
    <x v="0"/>
    <x v="0"/>
    <x v="8"/>
    <x v="1"/>
    <x v="6"/>
    <x v="2"/>
  </r>
  <r>
    <s v="TX501100"/>
    <x v="2"/>
    <x v="0"/>
    <n v="139.19999999999999"/>
    <n v="139.19999999999999"/>
    <x v="43"/>
    <d v="2025-02-14T00:00:00"/>
    <x v="2"/>
    <x v="3"/>
    <x v="2"/>
    <x v="0"/>
    <x v="8"/>
    <x v="3"/>
    <x v="6"/>
    <x v="2"/>
  </r>
  <r>
    <s v="TX501101"/>
    <x v="10"/>
    <x v="0"/>
    <n v="33"/>
    <n v="33"/>
    <x v="43"/>
    <d v="2025-02-16T00:00:00"/>
    <x v="2"/>
    <x v="0"/>
    <x v="2"/>
    <x v="0"/>
    <x v="8"/>
    <x v="2"/>
    <x v="6"/>
    <x v="2"/>
  </r>
  <r>
    <s v="TX501102"/>
    <x v="11"/>
    <x v="13"/>
    <n v="80.2"/>
    <n v="481.20000000000005"/>
    <x v="43"/>
    <d v="2025-02-15T00:00:00"/>
    <x v="1"/>
    <x v="1"/>
    <x v="4"/>
    <x v="0"/>
    <x v="8"/>
    <x v="1"/>
    <x v="6"/>
    <x v="1"/>
  </r>
  <r>
    <s v="TX501103"/>
    <x v="18"/>
    <x v="8"/>
    <n v="49"/>
    <n v="392"/>
    <x v="43"/>
    <d v="2025-02-14T00:00:00"/>
    <x v="0"/>
    <x v="2"/>
    <x v="1"/>
    <x v="0"/>
    <x v="9"/>
    <x v="3"/>
    <x v="6"/>
    <x v="0"/>
  </r>
  <r>
    <s v="TX501104"/>
    <x v="1"/>
    <x v="12"/>
    <n v="104.4"/>
    <n v="417.6"/>
    <x v="43"/>
    <d v="2025-02-13T00:00:00"/>
    <x v="2"/>
    <x v="0"/>
    <x v="0"/>
    <x v="0"/>
    <x v="9"/>
    <x v="7"/>
    <x v="6"/>
    <x v="2"/>
  </r>
  <r>
    <s v="TX501105"/>
    <x v="3"/>
    <x v="0"/>
    <n v="41.6"/>
    <n v="41.6"/>
    <x v="43"/>
    <d v="2025-02-16T00:00:00"/>
    <x v="1"/>
    <x v="3"/>
    <x v="0"/>
    <x v="0"/>
    <x v="11"/>
    <x v="2"/>
    <x v="6"/>
    <x v="1"/>
  </r>
  <r>
    <s v="TX501106"/>
    <x v="19"/>
    <x v="1"/>
    <n v="16.399999999999999"/>
    <n v="32.799999999999997"/>
    <x v="43"/>
    <d v="2025-02-14T00:00:00"/>
    <x v="3"/>
    <x v="0"/>
    <x v="2"/>
    <x v="0"/>
    <x v="11"/>
    <x v="3"/>
    <x v="6"/>
    <x v="3"/>
  </r>
  <r>
    <s v="TX501107"/>
    <x v="8"/>
    <x v="1"/>
    <n v="22"/>
    <n v="44"/>
    <x v="43"/>
    <d v="2025-02-14T00:00:00"/>
    <x v="1"/>
    <x v="2"/>
    <x v="2"/>
    <x v="0"/>
    <x v="53"/>
    <x v="3"/>
    <x v="6"/>
    <x v="1"/>
  </r>
  <r>
    <s v="TX501108"/>
    <x v="15"/>
    <x v="1"/>
    <n v="33.6"/>
    <n v="67.2"/>
    <x v="43"/>
    <d v="2025-02-18T00:00:00"/>
    <x v="2"/>
    <x v="0"/>
    <x v="0"/>
    <x v="0"/>
    <x v="21"/>
    <x v="0"/>
    <x v="6"/>
    <x v="2"/>
  </r>
  <r>
    <s v="TX501109"/>
    <x v="11"/>
    <x v="13"/>
    <n v="43"/>
    <n v="258"/>
    <x v="43"/>
    <d v="2025-02-14T00:00:00"/>
    <x v="2"/>
    <x v="2"/>
    <x v="0"/>
    <x v="0"/>
    <x v="21"/>
    <x v="3"/>
    <x v="6"/>
    <x v="2"/>
  </r>
  <r>
    <s v="TX501110"/>
    <x v="6"/>
    <x v="9"/>
    <n v="108.8"/>
    <n v="544"/>
    <x v="43"/>
    <d v="2025-02-16T00:00:00"/>
    <x v="2"/>
    <x v="4"/>
    <x v="2"/>
    <x v="0"/>
    <x v="21"/>
    <x v="2"/>
    <x v="6"/>
    <x v="2"/>
  </r>
  <r>
    <s v="TX501111"/>
    <x v="0"/>
    <x v="11"/>
    <n v="29.3"/>
    <n v="263.7"/>
    <x v="43"/>
    <d v="2025-02-15T00:00:00"/>
    <x v="1"/>
    <x v="4"/>
    <x v="2"/>
    <x v="0"/>
    <x v="21"/>
    <x v="1"/>
    <x v="6"/>
    <x v="1"/>
  </r>
  <r>
    <s v="TX501112"/>
    <x v="2"/>
    <x v="0"/>
    <n v="122.7"/>
    <n v="122.7"/>
    <x v="43"/>
    <d v="2025-02-16T00:00:00"/>
    <x v="3"/>
    <x v="0"/>
    <x v="2"/>
    <x v="0"/>
    <x v="1"/>
    <x v="2"/>
    <x v="6"/>
    <x v="3"/>
  </r>
  <r>
    <s v="TX501113"/>
    <x v="4"/>
    <x v="3"/>
    <n v="22.9"/>
    <n v="160.29999999999998"/>
    <x v="43"/>
    <d v="2025-02-14T00:00:00"/>
    <x v="2"/>
    <x v="0"/>
    <x v="0"/>
    <x v="0"/>
    <x v="42"/>
    <x v="3"/>
    <x v="6"/>
    <x v="2"/>
  </r>
  <r>
    <s v="TX501114"/>
    <x v="8"/>
    <x v="7"/>
    <n v="25.5"/>
    <n v="255"/>
    <x v="43"/>
    <d v="2025-02-20T00:00:00"/>
    <x v="2"/>
    <x v="0"/>
    <x v="0"/>
    <x v="0"/>
    <x v="33"/>
    <x v="6"/>
    <x v="6"/>
    <x v="2"/>
  </r>
  <r>
    <s v="TX501115"/>
    <x v="17"/>
    <x v="2"/>
    <n v="23.4"/>
    <n v="70.199999999999989"/>
    <x v="43"/>
    <d v="2025-02-17T00:00:00"/>
    <x v="2"/>
    <x v="0"/>
    <x v="2"/>
    <x v="0"/>
    <x v="3"/>
    <x v="5"/>
    <x v="6"/>
    <x v="2"/>
  </r>
  <r>
    <s v="TX501116"/>
    <x v="5"/>
    <x v="8"/>
    <n v="27.4"/>
    <n v="219.2"/>
    <x v="43"/>
    <d v="2025-02-16T00:00:00"/>
    <x v="2"/>
    <x v="2"/>
    <x v="0"/>
    <x v="0"/>
    <x v="3"/>
    <x v="2"/>
    <x v="6"/>
    <x v="2"/>
  </r>
  <r>
    <s v="TX501117"/>
    <x v="5"/>
    <x v="9"/>
    <n v="68.400000000000006"/>
    <n v="342"/>
    <x v="43"/>
    <d v="2025-02-14T00:00:00"/>
    <x v="2"/>
    <x v="0"/>
    <x v="0"/>
    <x v="0"/>
    <x v="3"/>
    <x v="3"/>
    <x v="6"/>
    <x v="2"/>
  </r>
  <r>
    <s v="TX501118"/>
    <x v="6"/>
    <x v="0"/>
    <n v="51.9"/>
    <n v="51.9"/>
    <x v="43"/>
    <d v="2025-02-13T00:00:00"/>
    <x v="2"/>
    <x v="0"/>
    <x v="0"/>
    <x v="0"/>
    <x v="3"/>
    <x v="7"/>
    <x v="6"/>
    <x v="2"/>
  </r>
  <r>
    <s v="TX501119"/>
    <x v="0"/>
    <x v="9"/>
    <n v="26.4"/>
    <n v="132"/>
    <x v="43"/>
    <d v="2025-02-16T00:00:00"/>
    <x v="2"/>
    <x v="0"/>
    <x v="2"/>
    <x v="0"/>
    <x v="3"/>
    <x v="2"/>
    <x v="6"/>
    <x v="2"/>
  </r>
  <r>
    <s v="TX501120"/>
    <x v="12"/>
    <x v="1"/>
    <n v="117"/>
    <n v="234"/>
    <x v="43"/>
    <d v="2025-02-14T00:00:00"/>
    <x v="2"/>
    <x v="1"/>
    <x v="1"/>
    <x v="0"/>
    <x v="3"/>
    <x v="3"/>
    <x v="6"/>
    <x v="2"/>
  </r>
  <r>
    <s v="TX501121"/>
    <x v="7"/>
    <x v="2"/>
    <n v="49.6"/>
    <n v="148.80000000000001"/>
    <x v="44"/>
    <d v="2025-02-16T00:00:00"/>
    <x v="2"/>
    <x v="0"/>
    <x v="0"/>
    <x v="0"/>
    <x v="3"/>
    <x v="1"/>
    <x v="6"/>
    <x v="2"/>
  </r>
  <r>
    <s v="TX501122"/>
    <x v="4"/>
    <x v="2"/>
    <n v="38"/>
    <n v="114"/>
    <x v="44"/>
    <d v="2025-02-17T00:00:00"/>
    <x v="1"/>
    <x v="2"/>
    <x v="4"/>
    <x v="0"/>
    <x v="3"/>
    <x v="2"/>
    <x v="6"/>
    <x v="1"/>
  </r>
  <r>
    <s v="TX501123"/>
    <x v="0"/>
    <x v="2"/>
    <n v="20.6"/>
    <n v="61.800000000000004"/>
    <x v="44"/>
    <d v="2025-02-16T00:00:00"/>
    <x v="2"/>
    <x v="4"/>
    <x v="2"/>
    <x v="0"/>
    <x v="3"/>
    <x v="1"/>
    <x v="6"/>
    <x v="2"/>
  </r>
  <r>
    <s v="TX501124"/>
    <x v="0"/>
    <x v="1"/>
    <n v="16"/>
    <n v="32"/>
    <x v="44"/>
    <d v="2025-02-15T00:00:00"/>
    <x v="1"/>
    <x v="1"/>
    <x v="1"/>
    <x v="0"/>
    <x v="49"/>
    <x v="3"/>
    <x v="6"/>
    <x v="1"/>
  </r>
  <r>
    <s v="TX501125"/>
    <x v="15"/>
    <x v="12"/>
    <n v="49.3"/>
    <n v="197.2"/>
    <x v="44"/>
    <d v="2025-02-15T00:00:00"/>
    <x v="2"/>
    <x v="2"/>
    <x v="0"/>
    <x v="0"/>
    <x v="23"/>
    <x v="3"/>
    <x v="6"/>
    <x v="2"/>
  </r>
  <r>
    <s v="TX501126"/>
    <x v="9"/>
    <x v="1"/>
    <n v="24.1"/>
    <n v="48.2"/>
    <x v="44"/>
    <d v="2025-02-18T00:00:00"/>
    <x v="2"/>
    <x v="0"/>
    <x v="0"/>
    <x v="0"/>
    <x v="6"/>
    <x v="5"/>
    <x v="6"/>
    <x v="2"/>
  </r>
  <r>
    <s v="TX501127"/>
    <x v="15"/>
    <x v="8"/>
    <n v="32.700000000000003"/>
    <n v="261.60000000000002"/>
    <x v="44"/>
    <d v="2025-02-15T00:00:00"/>
    <x v="2"/>
    <x v="1"/>
    <x v="0"/>
    <x v="0"/>
    <x v="6"/>
    <x v="3"/>
    <x v="6"/>
    <x v="2"/>
  </r>
  <r>
    <s v="TX501128"/>
    <x v="6"/>
    <x v="2"/>
    <n v="74.400000000000006"/>
    <n v="223.20000000000002"/>
    <x v="44"/>
    <d v="2025-02-15T00:00:00"/>
    <x v="2"/>
    <x v="3"/>
    <x v="2"/>
    <x v="0"/>
    <x v="8"/>
    <x v="3"/>
    <x v="6"/>
    <x v="2"/>
  </r>
  <r>
    <s v="TX501129"/>
    <x v="12"/>
    <x v="0"/>
    <n v="45.6"/>
    <n v="45.6"/>
    <x v="44"/>
    <d v="2025-02-18T00:00:00"/>
    <x v="2"/>
    <x v="4"/>
    <x v="0"/>
    <x v="0"/>
    <x v="8"/>
    <x v="5"/>
    <x v="6"/>
    <x v="2"/>
  </r>
  <r>
    <s v="TX501130"/>
    <x v="8"/>
    <x v="8"/>
    <n v="19.600000000000001"/>
    <n v="156.80000000000001"/>
    <x v="44"/>
    <d v="2025-02-27T00:00:00"/>
    <x v="2"/>
    <x v="0"/>
    <x v="0"/>
    <x v="0"/>
    <x v="8"/>
    <x v="10"/>
    <x v="6"/>
    <x v="2"/>
  </r>
  <r>
    <s v="TX501131"/>
    <x v="9"/>
    <x v="0"/>
    <n v="51.8"/>
    <n v="51.8"/>
    <x v="44"/>
    <d v="2025-02-15T00:00:00"/>
    <x v="2"/>
    <x v="1"/>
    <x v="0"/>
    <x v="0"/>
    <x v="8"/>
    <x v="3"/>
    <x v="6"/>
    <x v="2"/>
  </r>
  <r>
    <s v="TX501132"/>
    <x v="6"/>
    <x v="0"/>
    <n v="74.7"/>
    <n v="74.7"/>
    <x v="44"/>
    <d v="2025-02-15T00:00:00"/>
    <x v="1"/>
    <x v="0"/>
    <x v="1"/>
    <x v="0"/>
    <x v="8"/>
    <x v="3"/>
    <x v="6"/>
    <x v="1"/>
  </r>
  <r>
    <s v="TX501133"/>
    <x v="19"/>
    <x v="2"/>
    <n v="22.4"/>
    <n v="67.199999999999989"/>
    <x v="44"/>
    <d v="2025-02-15T00:00:00"/>
    <x v="2"/>
    <x v="1"/>
    <x v="2"/>
    <x v="0"/>
    <x v="9"/>
    <x v="3"/>
    <x v="6"/>
    <x v="2"/>
  </r>
  <r>
    <s v="TX501134"/>
    <x v="1"/>
    <x v="12"/>
    <n v="31.4"/>
    <n v="125.6"/>
    <x v="44"/>
    <d v="2025-02-15T00:00:00"/>
    <x v="2"/>
    <x v="1"/>
    <x v="0"/>
    <x v="0"/>
    <x v="9"/>
    <x v="3"/>
    <x v="6"/>
    <x v="2"/>
  </r>
  <r>
    <s v="TX501135"/>
    <x v="6"/>
    <x v="0"/>
    <n v="94"/>
    <n v="94"/>
    <x v="44"/>
    <d v="2025-02-14T00:00:00"/>
    <x v="2"/>
    <x v="1"/>
    <x v="2"/>
    <x v="0"/>
    <x v="10"/>
    <x v="7"/>
    <x v="6"/>
    <x v="2"/>
  </r>
  <r>
    <s v="TX501136"/>
    <x v="10"/>
    <x v="0"/>
    <n v="22.3"/>
    <n v="22.3"/>
    <x v="44"/>
    <d v="2025-02-15T00:00:00"/>
    <x v="1"/>
    <x v="4"/>
    <x v="0"/>
    <x v="0"/>
    <x v="20"/>
    <x v="3"/>
    <x v="6"/>
    <x v="1"/>
  </r>
  <r>
    <s v="TX501137"/>
    <x v="0"/>
    <x v="0"/>
    <n v="21.9"/>
    <n v="21.9"/>
    <x v="44"/>
    <d v="2025-02-17T00:00:00"/>
    <x v="2"/>
    <x v="2"/>
    <x v="0"/>
    <x v="0"/>
    <x v="21"/>
    <x v="2"/>
    <x v="6"/>
    <x v="2"/>
  </r>
  <r>
    <s v="TX501138"/>
    <x v="17"/>
    <x v="2"/>
    <n v="27"/>
    <n v="81"/>
    <x v="44"/>
    <d v="2025-02-16T00:00:00"/>
    <x v="2"/>
    <x v="4"/>
    <x v="2"/>
    <x v="0"/>
    <x v="2"/>
    <x v="1"/>
    <x v="6"/>
    <x v="2"/>
  </r>
  <r>
    <s v="TX501139"/>
    <x v="2"/>
    <x v="12"/>
    <n v="149.6"/>
    <n v="598.4"/>
    <x v="44"/>
    <d v="2025-02-14T00:00:00"/>
    <x v="2"/>
    <x v="4"/>
    <x v="0"/>
    <x v="0"/>
    <x v="22"/>
    <x v="7"/>
    <x v="6"/>
    <x v="2"/>
  </r>
  <r>
    <s v="TX501140"/>
    <x v="2"/>
    <x v="12"/>
    <n v="129.1"/>
    <n v="516.4"/>
    <x v="44"/>
    <d v="2025-02-24T00:00:00"/>
    <x v="1"/>
    <x v="0"/>
    <x v="1"/>
    <x v="0"/>
    <x v="3"/>
    <x v="14"/>
    <x v="6"/>
    <x v="1"/>
  </r>
  <r>
    <s v="TX501141"/>
    <x v="1"/>
    <x v="4"/>
    <n v="40.4"/>
    <n v="484.79999999999995"/>
    <x v="44"/>
    <d v="2025-02-15T00:00:00"/>
    <x v="1"/>
    <x v="1"/>
    <x v="1"/>
    <x v="0"/>
    <x v="3"/>
    <x v="3"/>
    <x v="6"/>
    <x v="1"/>
  </r>
  <r>
    <s v="TX501142"/>
    <x v="4"/>
    <x v="2"/>
    <n v="48.5"/>
    <n v="145.5"/>
    <x v="44"/>
    <d v="2025-02-16T00:00:00"/>
    <x v="2"/>
    <x v="0"/>
    <x v="4"/>
    <x v="0"/>
    <x v="3"/>
    <x v="1"/>
    <x v="6"/>
    <x v="2"/>
  </r>
  <r>
    <s v="TX501143"/>
    <x v="9"/>
    <x v="1"/>
    <n v="37.6"/>
    <n v="75.2"/>
    <x v="44"/>
    <d v="2025-02-16T00:00:00"/>
    <x v="2"/>
    <x v="1"/>
    <x v="2"/>
    <x v="0"/>
    <x v="3"/>
    <x v="1"/>
    <x v="6"/>
    <x v="2"/>
  </r>
  <r>
    <s v="TX501144"/>
    <x v="8"/>
    <x v="1"/>
    <n v="19.600000000000001"/>
    <n v="39.200000000000003"/>
    <x v="44"/>
    <d v="2025-02-15T00:00:00"/>
    <x v="1"/>
    <x v="3"/>
    <x v="4"/>
    <x v="0"/>
    <x v="43"/>
    <x v="3"/>
    <x v="6"/>
    <x v="1"/>
  </r>
  <r>
    <s v="TX501145"/>
    <x v="8"/>
    <x v="9"/>
    <n v="18.5"/>
    <n v="92.5"/>
    <x v="44"/>
    <d v="2025-02-15T00:00:00"/>
    <x v="2"/>
    <x v="2"/>
    <x v="1"/>
    <x v="0"/>
    <x v="6"/>
    <x v="3"/>
    <x v="6"/>
    <x v="2"/>
  </r>
  <r>
    <s v="TX501146"/>
    <x v="5"/>
    <x v="2"/>
    <n v="25.5"/>
    <n v="76.5"/>
    <x v="44"/>
    <d v="2025-02-16T00:00:00"/>
    <x v="2"/>
    <x v="4"/>
    <x v="1"/>
    <x v="0"/>
    <x v="6"/>
    <x v="1"/>
    <x v="6"/>
    <x v="2"/>
  </r>
  <r>
    <s v="TX501147"/>
    <x v="2"/>
    <x v="1"/>
    <n v="94.7"/>
    <n v="189.4"/>
    <x v="44"/>
    <d v="2025-02-15T00:00:00"/>
    <x v="2"/>
    <x v="2"/>
    <x v="0"/>
    <x v="0"/>
    <x v="36"/>
    <x v="3"/>
    <x v="6"/>
    <x v="2"/>
  </r>
  <r>
    <s v="TX501148"/>
    <x v="1"/>
    <x v="13"/>
    <n v="38.799999999999997"/>
    <n v="232.79999999999998"/>
    <x v="44"/>
    <d v="2025-02-19T00:00:00"/>
    <x v="2"/>
    <x v="2"/>
    <x v="2"/>
    <x v="0"/>
    <x v="8"/>
    <x v="0"/>
    <x v="6"/>
    <x v="2"/>
  </r>
  <r>
    <s v="TX501149"/>
    <x v="9"/>
    <x v="1"/>
    <n v="49.4"/>
    <n v="98.8"/>
    <x v="45"/>
    <d v="2025-02-23T00:00:00"/>
    <x v="1"/>
    <x v="4"/>
    <x v="1"/>
    <x v="0"/>
    <x v="8"/>
    <x v="9"/>
    <x v="6"/>
    <x v="1"/>
  </r>
  <r>
    <s v="TX501150"/>
    <x v="7"/>
    <x v="2"/>
    <n v="68"/>
    <n v="204"/>
    <x v="45"/>
    <d v="2025-02-18T00:00:00"/>
    <x v="1"/>
    <x v="0"/>
    <x v="2"/>
    <x v="0"/>
    <x v="8"/>
    <x v="2"/>
    <x v="6"/>
    <x v="1"/>
  </r>
  <r>
    <s v="TX501151"/>
    <x v="15"/>
    <x v="3"/>
    <n v="63.7"/>
    <n v="445.90000000000003"/>
    <x v="45"/>
    <d v="2025-02-16T00:00:00"/>
    <x v="2"/>
    <x v="2"/>
    <x v="2"/>
    <x v="0"/>
    <x v="8"/>
    <x v="3"/>
    <x v="6"/>
    <x v="2"/>
  </r>
  <r>
    <s v="TX501152"/>
    <x v="10"/>
    <x v="1"/>
    <n v="66.2"/>
    <n v="132.4"/>
    <x v="45"/>
    <d v="2025-02-16T00:00:00"/>
    <x v="2"/>
    <x v="4"/>
    <x v="2"/>
    <x v="0"/>
    <x v="17"/>
    <x v="3"/>
    <x v="6"/>
    <x v="2"/>
  </r>
  <r>
    <s v="TX501153"/>
    <x v="12"/>
    <x v="2"/>
    <n v="32.299999999999997"/>
    <n v="96.899999999999991"/>
    <x v="45"/>
    <d v="2025-02-16T00:00:00"/>
    <x v="3"/>
    <x v="2"/>
    <x v="1"/>
    <x v="0"/>
    <x v="9"/>
    <x v="3"/>
    <x v="6"/>
    <x v="3"/>
  </r>
  <r>
    <s v="TX501154"/>
    <x v="4"/>
    <x v="1"/>
    <n v="66.900000000000006"/>
    <n v="133.80000000000001"/>
    <x v="45"/>
    <d v="2025-02-18T00:00:00"/>
    <x v="1"/>
    <x v="1"/>
    <x v="0"/>
    <x v="0"/>
    <x v="11"/>
    <x v="2"/>
    <x v="6"/>
    <x v="1"/>
  </r>
  <r>
    <s v="TX501155"/>
    <x v="4"/>
    <x v="4"/>
    <n v="25.2"/>
    <n v="302.39999999999998"/>
    <x v="45"/>
    <d v="2025-02-19T00:00:00"/>
    <x v="2"/>
    <x v="0"/>
    <x v="1"/>
    <x v="0"/>
    <x v="11"/>
    <x v="5"/>
    <x v="6"/>
    <x v="2"/>
  </r>
  <r>
    <s v="TX501156"/>
    <x v="10"/>
    <x v="13"/>
    <n v="29.5"/>
    <n v="177"/>
    <x v="45"/>
    <d v="2025-02-16T00:00:00"/>
    <x v="1"/>
    <x v="2"/>
    <x v="0"/>
    <x v="0"/>
    <x v="11"/>
    <x v="3"/>
    <x v="6"/>
    <x v="1"/>
  </r>
  <r>
    <s v="TX501157"/>
    <x v="8"/>
    <x v="9"/>
    <n v="21.6"/>
    <n v="108"/>
    <x v="45"/>
    <d v="2025-02-17T00:00:00"/>
    <x v="2"/>
    <x v="0"/>
    <x v="2"/>
    <x v="0"/>
    <x v="32"/>
    <x v="1"/>
    <x v="6"/>
    <x v="2"/>
  </r>
  <r>
    <s v="TX501158"/>
    <x v="12"/>
    <x v="2"/>
    <n v="69"/>
    <n v="207"/>
    <x v="45"/>
    <d v="2025-02-16T00:00:00"/>
    <x v="2"/>
    <x v="0"/>
    <x v="0"/>
    <x v="0"/>
    <x v="18"/>
    <x v="3"/>
    <x v="6"/>
    <x v="2"/>
  </r>
  <r>
    <s v="TX501159"/>
    <x v="7"/>
    <x v="1"/>
    <n v="115"/>
    <n v="230"/>
    <x v="45"/>
    <d v="2025-02-19T00:00:00"/>
    <x v="1"/>
    <x v="0"/>
    <x v="2"/>
    <x v="0"/>
    <x v="18"/>
    <x v="5"/>
    <x v="6"/>
    <x v="1"/>
  </r>
  <r>
    <s v="TX501160"/>
    <x v="2"/>
    <x v="1"/>
    <n v="109.3"/>
    <n v="218.6"/>
    <x v="45"/>
    <d v="2025-02-17T00:00:00"/>
    <x v="0"/>
    <x v="3"/>
    <x v="1"/>
    <x v="0"/>
    <x v="19"/>
    <x v="1"/>
    <x v="6"/>
    <x v="0"/>
  </r>
  <r>
    <s v="TX501161"/>
    <x v="9"/>
    <x v="1"/>
    <n v="66.599999999999994"/>
    <n v="133.19999999999999"/>
    <x v="45"/>
    <d v="2025-02-18T00:00:00"/>
    <x v="0"/>
    <x v="4"/>
    <x v="1"/>
    <x v="0"/>
    <x v="19"/>
    <x v="2"/>
    <x v="6"/>
    <x v="0"/>
  </r>
  <r>
    <s v="TX501162"/>
    <x v="12"/>
    <x v="9"/>
    <n v="47.7"/>
    <n v="238.5"/>
    <x v="45"/>
    <d v="2025-02-16T00:00:00"/>
    <x v="1"/>
    <x v="3"/>
    <x v="2"/>
    <x v="0"/>
    <x v="21"/>
    <x v="3"/>
    <x v="6"/>
    <x v="1"/>
  </r>
  <r>
    <s v="TX501163"/>
    <x v="8"/>
    <x v="1"/>
    <n v="46"/>
    <n v="92"/>
    <x v="45"/>
    <d v="2025-02-16T00:00:00"/>
    <x v="2"/>
    <x v="4"/>
    <x v="4"/>
    <x v="0"/>
    <x v="22"/>
    <x v="3"/>
    <x v="6"/>
    <x v="2"/>
  </r>
  <r>
    <s v="TX501164"/>
    <x v="1"/>
    <x v="13"/>
    <n v="39.299999999999997"/>
    <n v="235.79999999999998"/>
    <x v="45"/>
    <d v="2025-02-17T00:00:00"/>
    <x v="1"/>
    <x v="3"/>
    <x v="2"/>
    <x v="0"/>
    <x v="3"/>
    <x v="1"/>
    <x v="6"/>
    <x v="1"/>
  </r>
  <r>
    <s v="TX501165"/>
    <x v="9"/>
    <x v="0"/>
    <n v="70.2"/>
    <n v="70.2"/>
    <x v="45"/>
    <d v="2025-02-16T00:00:00"/>
    <x v="2"/>
    <x v="0"/>
    <x v="4"/>
    <x v="0"/>
    <x v="3"/>
    <x v="3"/>
    <x v="6"/>
    <x v="2"/>
  </r>
  <r>
    <s v="TX501166"/>
    <x v="3"/>
    <x v="12"/>
    <n v="71.5"/>
    <n v="286"/>
    <x v="45"/>
    <d v="2025-02-15T00:00:00"/>
    <x v="2"/>
    <x v="1"/>
    <x v="2"/>
    <x v="0"/>
    <x v="3"/>
    <x v="7"/>
    <x v="6"/>
    <x v="2"/>
  </r>
  <r>
    <s v="TX501167"/>
    <x v="10"/>
    <x v="3"/>
    <n v="31"/>
    <n v="217"/>
    <x v="45"/>
    <d v="2025-02-22T00:00:00"/>
    <x v="2"/>
    <x v="3"/>
    <x v="2"/>
    <x v="0"/>
    <x v="3"/>
    <x v="6"/>
    <x v="6"/>
    <x v="2"/>
  </r>
  <r>
    <s v="TX501168"/>
    <x v="2"/>
    <x v="9"/>
    <n v="68.2"/>
    <n v="341"/>
    <x v="45"/>
    <d v="2025-02-20T00:00:00"/>
    <x v="2"/>
    <x v="0"/>
    <x v="2"/>
    <x v="0"/>
    <x v="3"/>
    <x v="0"/>
    <x v="6"/>
    <x v="2"/>
  </r>
  <r>
    <s v="TX501169"/>
    <x v="2"/>
    <x v="0"/>
    <n v="91.4"/>
    <n v="91.4"/>
    <x v="45"/>
    <d v="2025-02-19T00:00:00"/>
    <x v="2"/>
    <x v="1"/>
    <x v="2"/>
    <x v="0"/>
    <x v="6"/>
    <x v="5"/>
    <x v="6"/>
    <x v="2"/>
  </r>
  <r>
    <s v="TX501170"/>
    <x v="6"/>
    <x v="7"/>
    <n v="112.9"/>
    <n v="1129"/>
    <x v="45"/>
    <d v="2025-02-16T00:00:00"/>
    <x v="2"/>
    <x v="0"/>
    <x v="0"/>
    <x v="0"/>
    <x v="6"/>
    <x v="3"/>
    <x v="6"/>
    <x v="2"/>
  </r>
  <r>
    <s v="TX501171"/>
    <x v="17"/>
    <x v="11"/>
    <n v="33.700000000000003"/>
    <n v="303.3"/>
    <x v="45"/>
    <d v="2025-02-16T00:00:00"/>
    <x v="2"/>
    <x v="1"/>
    <x v="2"/>
    <x v="0"/>
    <x v="8"/>
    <x v="3"/>
    <x v="6"/>
    <x v="2"/>
  </r>
  <r>
    <s v="TX501172"/>
    <x v="15"/>
    <x v="7"/>
    <n v="35.299999999999997"/>
    <n v="353"/>
    <x v="45"/>
    <d v="2025-02-17T00:00:00"/>
    <x v="1"/>
    <x v="2"/>
    <x v="0"/>
    <x v="0"/>
    <x v="8"/>
    <x v="1"/>
    <x v="6"/>
    <x v="1"/>
  </r>
  <r>
    <s v="TX501173"/>
    <x v="18"/>
    <x v="2"/>
    <n v="45.6"/>
    <n v="136.80000000000001"/>
    <x v="45"/>
    <d v="2025-02-19T00:00:00"/>
    <x v="1"/>
    <x v="3"/>
    <x v="0"/>
    <x v="0"/>
    <x v="8"/>
    <x v="5"/>
    <x v="6"/>
    <x v="1"/>
  </r>
  <r>
    <s v="TX501174"/>
    <x v="7"/>
    <x v="3"/>
    <n v="47.1"/>
    <n v="329.7"/>
    <x v="45"/>
    <d v="2025-02-16T00:00:00"/>
    <x v="2"/>
    <x v="4"/>
    <x v="2"/>
    <x v="0"/>
    <x v="9"/>
    <x v="3"/>
    <x v="6"/>
    <x v="2"/>
  </r>
  <r>
    <s v="TX501175"/>
    <x v="8"/>
    <x v="9"/>
    <n v="16.2"/>
    <n v="81"/>
    <x v="45"/>
    <d v="2025-02-17T00:00:00"/>
    <x v="2"/>
    <x v="3"/>
    <x v="2"/>
    <x v="0"/>
    <x v="19"/>
    <x v="1"/>
    <x v="6"/>
    <x v="2"/>
  </r>
  <r>
    <s v="TX501176"/>
    <x v="1"/>
    <x v="1"/>
    <n v="159.69999999999999"/>
    <n v="319.39999999999998"/>
    <x v="46"/>
    <d v="2025-02-17T00:00:00"/>
    <x v="1"/>
    <x v="4"/>
    <x v="0"/>
    <x v="0"/>
    <x v="13"/>
    <x v="3"/>
    <x v="7"/>
    <x v="1"/>
  </r>
  <r>
    <s v="TX501177"/>
    <x v="8"/>
    <x v="12"/>
    <n v="19"/>
    <n v="76"/>
    <x v="46"/>
    <d v="2025-02-23T00:00:00"/>
    <x v="2"/>
    <x v="2"/>
    <x v="2"/>
    <x v="0"/>
    <x v="21"/>
    <x v="6"/>
    <x v="7"/>
    <x v="2"/>
  </r>
  <r>
    <s v="TX501178"/>
    <x v="6"/>
    <x v="13"/>
    <n v="91.1"/>
    <n v="546.59999999999991"/>
    <x v="46"/>
    <d v="2025-02-25T00:00:00"/>
    <x v="2"/>
    <x v="4"/>
    <x v="0"/>
    <x v="0"/>
    <x v="21"/>
    <x v="8"/>
    <x v="7"/>
    <x v="2"/>
  </r>
  <r>
    <s v="TX501179"/>
    <x v="2"/>
    <x v="9"/>
    <n v="94.1"/>
    <n v="470.5"/>
    <x v="46"/>
    <d v="2025-02-19T00:00:00"/>
    <x v="0"/>
    <x v="1"/>
    <x v="1"/>
    <x v="0"/>
    <x v="21"/>
    <x v="2"/>
    <x v="7"/>
    <x v="0"/>
  </r>
  <r>
    <s v="TX501180"/>
    <x v="9"/>
    <x v="11"/>
    <n v="21.1"/>
    <n v="189.9"/>
    <x v="46"/>
    <d v="2025-02-17T00:00:00"/>
    <x v="2"/>
    <x v="4"/>
    <x v="2"/>
    <x v="0"/>
    <x v="51"/>
    <x v="3"/>
    <x v="7"/>
    <x v="2"/>
  </r>
  <r>
    <s v="TX501181"/>
    <x v="8"/>
    <x v="3"/>
    <n v="15.3"/>
    <n v="107.10000000000001"/>
    <x v="46"/>
    <d v="2025-02-24T00:00:00"/>
    <x v="2"/>
    <x v="2"/>
    <x v="0"/>
    <x v="0"/>
    <x v="1"/>
    <x v="9"/>
    <x v="7"/>
    <x v="2"/>
  </r>
  <r>
    <s v="TX501182"/>
    <x v="15"/>
    <x v="12"/>
    <n v="21.3"/>
    <n v="85.2"/>
    <x v="46"/>
    <d v="2025-02-19T00:00:00"/>
    <x v="1"/>
    <x v="1"/>
    <x v="0"/>
    <x v="0"/>
    <x v="3"/>
    <x v="2"/>
    <x v="7"/>
    <x v="1"/>
  </r>
  <r>
    <s v="TX501183"/>
    <x v="0"/>
    <x v="1"/>
    <n v="23.2"/>
    <n v="46.4"/>
    <x v="46"/>
    <d v="2025-02-16T00:00:00"/>
    <x v="0"/>
    <x v="3"/>
    <x v="1"/>
    <x v="0"/>
    <x v="3"/>
    <x v="7"/>
    <x v="7"/>
    <x v="0"/>
  </r>
  <r>
    <s v="TX501184"/>
    <x v="4"/>
    <x v="2"/>
    <n v="25.7"/>
    <n v="77.099999999999994"/>
    <x v="46"/>
    <d v="2025-02-17T00:00:00"/>
    <x v="1"/>
    <x v="4"/>
    <x v="0"/>
    <x v="0"/>
    <x v="3"/>
    <x v="3"/>
    <x v="7"/>
    <x v="1"/>
  </r>
  <r>
    <s v="TX501185"/>
    <x v="0"/>
    <x v="11"/>
    <n v="31.6"/>
    <n v="284.40000000000003"/>
    <x v="46"/>
    <d v="2025-02-18T00:00:00"/>
    <x v="2"/>
    <x v="0"/>
    <x v="0"/>
    <x v="0"/>
    <x v="3"/>
    <x v="1"/>
    <x v="7"/>
    <x v="2"/>
  </r>
  <r>
    <s v="TX501186"/>
    <x v="6"/>
    <x v="0"/>
    <n v="64.2"/>
    <n v="64.2"/>
    <x v="46"/>
    <d v="2025-02-21T00:00:00"/>
    <x v="1"/>
    <x v="0"/>
    <x v="0"/>
    <x v="0"/>
    <x v="3"/>
    <x v="0"/>
    <x v="7"/>
    <x v="1"/>
  </r>
  <r>
    <s v="TX501187"/>
    <x v="8"/>
    <x v="1"/>
    <n v="55.8"/>
    <n v="111.6"/>
    <x v="46"/>
    <d v="2025-02-18T00:00:00"/>
    <x v="0"/>
    <x v="0"/>
    <x v="0"/>
    <x v="0"/>
    <x v="3"/>
    <x v="1"/>
    <x v="7"/>
    <x v="0"/>
  </r>
  <r>
    <s v="TX501188"/>
    <x v="8"/>
    <x v="1"/>
    <n v="28.1"/>
    <n v="56.2"/>
    <x v="46"/>
    <d v="2025-02-17T00:00:00"/>
    <x v="2"/>
    <x v="4"/>
    <x v="1"/>
    <x v="0"/>
    <x v="3"/>
    <x v="3"/>
    <x v="7"/>
    <x v="2"/>
  </r>
  <r>
    <s v="TX501189"/>
    <x v="0"/>
    <x v="1"/>
    <n v="11.6"/>
    <n v="23.2"/>
    <x v="46"/>
    <d v="2025-02-18T00:00:00"/>
    <x v="2"/>
    <x v="1"/>
    <x v="0"/>
    <x v="0"/>
    <x v="24"/>
    <x v="1"/>
    <x v="7"/>
    <x v="2"/>
  </r>
  <r>
    <s v="TX501190"/>
    <x v="5"/>
    <x v="2"/>
    <n v="50.4"/>
    <n v="151.19999999999999"/>
    <x v="46"/>
    <d v="2025-02-17T00:00:00"/>
    <x v="1"/>
    <x v="4"/>
    <x v="2"/>
    <x v="0"/>
    <x v="25"/>
    <x v="3"/>
    <x v="7"/>
    <x v="1"/>
  </r>
  <r>
    <s v="TX501191"/>
    <x v="6"/>
    <x v="13"/>
    <n v="48.3"/>
    <n v="289.79999999999995"/>
    <x v="46"/>
    <d v="2025-02-20T00:00:00"/>
    <x v="2"/>
    <x v="0"/>
    <x v="0"/>
    <x v="0"/>
    <x v="25"/>
    <x v="5"/>
    <x v="7"/>
    <x v="2"/>
  </r>
  <r>
    <s v="TX501192"/>
    <x v="17"/>
    <x v="3"/>
    <n v="32.200000000000003"/>
    <n v="225.40000000000003"/>
    <x v="46"/>
    <d v="2025-02-18T00:00:00"/>
    <x v="2"/>
    <x v="2"/>
    <x v="0"/>
    <x v="0"/>
    <x v="25"/>
    <x v="1"/>
    <x v="7"/>
    <x v="2"/>
  </r>
  <r>
    <s v="TX501193"/>
    <x v="7"/>
    <x v="31"/>
    <n v="48.5"/>
    <n v="1358"/>
    <x v="46"/>
    <d v="2025-02-17T00:00:00"/>
    <x v="1"/>
    <x v="0"/>
    <x v="0"/>
    <x v="0"/>
    <x v="5"/>
    <x v="3"/>
    <x v="7"/>
    <x v="1"/>
  </r>
  <r>
    <s v="TX501194"/>
    <x v="2"/>
    <x v="9"/>
    <n v="62"/>
    <n v="310"/>
    <x v="46"/>
    <d v="2025-02-19T00:00:00"/>
    <x v="2"/>
    <x v="1"/>
    <x v="0"/>
    <x v="0"/>
    <x v="6"/>
    <x v="2"/>
    <x v="7"/>
    <x v="2"/>
  </r>
  <r>
    <s v="TX501195"/>
    <x v="8"/>
    <x v="2"/>
    <n v="32.1"/>
    <n v="96.300000000000011"/>
    <x v="47"/>
    <d v="2025-02-19T00:00:00"/>
    <x v="1"/>
    <x v="0"/>
    <x v="0"/>
    <x v="0"/>
    <x v="6"/>
    <x v="1"/>
    <x v="7"/>
    <x v="1"/>
  </r>
  <r>
    <s v="TX501196"/>
    <x v="12"/>
    <x v="2"/>
    <n v="106.1"/>
    <n v="318.29999999999995"/>
    <x v="47"/>
    <d v="2025-02-19T00:00:00"/>
    <x v="1"/>
    <x v="0"/>
    <x v="1"/>
    <x v="0"/>
    <x v="7"/>
    <x v="1"/>
    <x v="7"/>
    <x v="1"/>
  </r>
  <r>
    <s v="TX501197"/>
    <x v="10"/>
    <x v="2"/>
    <n v="23.5"/>
    <n v="70.5"/>
    <x v="47"/>
    <d v="2025-02-20T00:00:00"/>
    <x v="1"/>
    <x v="0"/>
    <x v="4"/>
    <x v="0"/>
    <x v="7"/>
    <x v="2"/>
    <x v="7"/>
    <x v="1"/>
  </r>
  <r>
    <s v="TX501198"/>
    <x v="1"/>
    <x v="1"/>
    <n v="35.6"/>
    <n v="71.2"/>
    <x v="47"/>
    <d v="2025-02-22T00:00:00"/>
    <x v="1"/>
    <x v="4"/>
    <x v="0"/>
    <x v="0"/>
    <x v="8"/>
    <x v="0"/>
    <x v="7"/>
    <x v="1"/>
  </r>
  <r>
    <s v="TX501199"/>
    <x v="1"/>
    <x v="1"/>
    <n v="63.5"/>
    <n v="127"/>
    <x v="47"/>
    <d v="2025-02-17T00:00:00"/>
    <x v="2"/>
    <x v="1"/>
    <x v="2"/>
    <x v="0"/>
    <x v="8"/>
    <x v="7"/>
    <x v="7"/>
    <x v="2"/>
  </r>
  <r>
    <s v="TX501200"/>
    <x v="6"/>
    <x v="3"/>
    <n v="82.9"/>
    <n v="580.30000000000007"/>
    <x v="47"/>
    <d v="2025-02-22T00:00:00"/>
    <x v="2"/>
    <x v="4"/>
    <x v="0"/>
    <x v="0"/>
    <x v="9"/>
    <x v="0"/>
    <x v="7"/>
    <x v="2"/>
  </r>
  <r>
    <s v="TX501201"/>
    <x v="6"/>
    <x v="1"/>
    <n v="83.6"/>
    <n v="167.2"/>
    <x v="47"/>
    <d v="2025-02-22T00:00:00"/>
    <x v="2"/>
    <x v="0"/>
    <x v="0"/>
    <x v="0"/>
    <x v="11"/>
    <x v="0"/>
    <x v="7"/>
    <x v="2"/>
  </r>
  <r>
    <s v="TX501202"/>
    <x v="4"/>
    <x v="1"/>
    <n v="29.4"/>
    <n v="58.8"/>
    <x v="47"/>
    <d v="2025-02-17T00:00:00"/>
    <x v="2"/>
    <x v="0"/>
    <x v="1"/>
    <x v="0"/>
    <x v="30"/>
    <x v="7"/>
    <x v="7"/>
    <x v="2"/>
  </r>
  <r>
    <s v="TX501203"/>
    <x v="2"/>
    <x v="2"/>
    <n v="107.1"/>
    <n v="321.29999999999995"/>
    <x v="47"/>
    <d v="2025-02-21T00:00:00"/>
    <x v="2"/>
    <x v="2"/>
    <x v="0"/>
    <x v="0"/>
    <x v="20"/>
    <x v="5"/>
    <x v="7"/>
    <x v="2"/>
  </r>
  <r>
    <s v="TX501204"/>
    <x v="2"/>
    <x v="0"/>
    <n v="62.7"/>
    <n v="62.7"/>
    <x v="47"/>
    <d v="2025-02-21T00:00:00"/>
    <x v="1"/>
    <x v="1"/>
    <x v="0"/>
    <x v="0"/>
    <x v="21"/>
    <x v="5"/>
    <x v="7"/>
    <x v="1"/>
  </r>
  <r>
    <s v="TX501205"/>
    <x v="11"/>
    <x v="0"/>
    <n v="41.6"/>
    <n v="41.6"/>
    <x v="47"/>
    <d v="2025-02-18T00:00:00"/>
    <x v="1"/>
    <x v="0"/>
    <x v="1"/>
    <x v="0"/>
    <x v="1"/>
    <x v="3"/>
    <x v="7"/>
    <x v="1"/>
  </r>
  <r>
    <s v="TX501206"/>
    <x v="6"/>
    <x v="0"/>
    <n v="44.2"/>
    <n v="44.2"/>
    <x v="47"/>
    <d v="2025-02-18T00:00:00"/>
    <x v="3"/>
    <x v="0"/>
    <x v="1"/>
    <x v="0"/>
    <x v="1"/>
    <x v="3"/>
    <x v="7"/>
    <x v="3"/>
  </r>
  <r>
    <s v="TX501207"/>
    <x v="4"/>
    <x v="13"/>
    <n v="40.4"/>
    <n v="242.39999999999998"/>
    <x v="47"/>
    <d v="2025-03-02T00:00:00"/>
    <x v="2"/>
    <x v="2"/>
    <x v="0"/>
    <x v="0"/>
    <x v="22"/>
    <x v="10"/>
    <x v="7"/>
    <x v="2"/>
  </r>
  <r>
    <s v="TX501208"/>
    <x v="15"/>
    <x v="13"/>
    <n v="59.6"/>
    <n v="357.6"/>
    <x v="47"/>
    <d v="2025-02-18T00:00:00"/>
    <x v="2"/>
    <x v="4"/>
    <x v="0"/>
    <x v="0"/>
    <x v="34"/>
    <x v="3"/>
    <x v="7"/>
    <x v="2"/>
  </r>
  <r>
    <s v="TX501209"/>
    <x v="17"/>
    <x v="4"/>
    <n v="63.8"/>
    <n v="765.59999999999991"/>
    <x v="47"/>
    <d v="2025-02-18T00:00:00"/>
    <x v="1"/>
    <x v="1"/>
    <x v="0"/>
    <x v="0"/>
    <x v="3"/>
    <x v="3"/>
    <x v="7"/>
    <x v="1"/>
  </r>
  <r>
    <s v="TX501210"/>
    <x v="9"/>
    <x v="13"/>
    <n v="30.8"/>
    <n v="184.8"/>
    <x v="47"/>
    <d v="2025-02-19T00:00:00"/>
    <x v="1"/>
    <x v="4"/>
    <x v="0"/>
    <x v="0"/>
    <x v="3"/>
    <x v="1"/>
    <x v="7"/>
    <x v="1"/>
  </r>
  <r>
    <s v="TX501211"/>
    <x v="1"/>
    <x v="1"/>
    <n v="41.5"/>
    <n v="83"/>
    <x v="47"/>
    <d v="2025-02-20T00:00:00"/>
    <x v="3"/>
    <x v="0"/>
    <x v="0"/>
    <x v="0"/>
    <x v="3"/>
    <x v="2"/>
    <x v="7"/>
    <x v="3"/>
  </r>
  <r>
    <s v="TX501212"/>
    <x v="10"/>
    <x v="12"/>
    <n v="44.7"/>
    <n v="178.8"/>
    <x v="47"/>
    <d v="2025-02-19T00:00:00"/>
    <x v="2"/>
    <x v="2"/>
    <x v="1"/>
    <x v="0"/>
    <x v="3"/>
    <x v="1"/>
    <x v="7"/>
    <x v="2"/>
  </r>
  <r>
    <s v="TX501213"/>
    <x v="12"/>
    <x v="1"/>
    <n v="64.099999999999994"/>
    <n v="128.19999999999999"/>
    <x v="47"/>
    <d v="2025-02-21T00:00:00"/>
    <x v="2"/>
    <x v="1"/>
    <x v="4"/>
    <x v="0"/>
    <x v="3"/>
    <x v="5"/>
    <x v="7"/>
    <x v="2"/>
  </r>
  <r>
    <s v="TX501214"/>
    <x v="8"/>
    <x v="0"/>
    <n v="15.9"/>
    <n v="15.9"/>
    <x v="47"/>
    <d v="2025-02-20T00:00:00"/>
    <x v="0"/>
    <x v="1"/>
    <x v="0"/>
    <x v="0"/>
    <x v="3"/>
    <x v="2"/>
    <x v="7"/>
    <x v="0"/>
  </r>
  <r>
    <s v="TX501215"/>
    <x v="6"/>
    <x v="1"/>
    <n v="78.7"/>
    <n v="157.4"/>
    <x v="47"/>
    <d v="2025-02-17T00:00:00"/>
    <x v="2"/>
    <x v="2"/>
    <x v="1"/>
    <x v="0"/>
    <x v="3"/>
    <x v="7"/>
    <x v="7"/>
    <x v="2"/>
  </r>
  <r>
    <s v="TX501216"/>
    <x v="5"/>
    <x v="4"/>
    <n v="29.6"/>
    <n v="355.20000000000005"/>
    <x v="47"/>
    <d v="2025-02-21T00:00:00"/>
    <x v="1"/>
    <x v="2"/>
    <x v="4"/>
    <x v="0"/>
    <x v="3"/>
    <x v="5"/>
    <x v="7"/>
    <x v="1"/>
  </r>
  <r>
    <s v="TX501217"/>
    <x v="8"/>
    <x v="12"/>
    <n v="21.5"/>
    <n v="86"/>
    <x v="47"/>
    <d v="2025-02-20T00:00:00"/>
    <x v="1"/>
    <x v="1"/>
    <x v="0"/>
    <x v="0"/>
    <x v="3"/>
    <x v="2"/>
    <x v="7"/>
    <x v="1"/>
  </r>
  <r>
    <s v="TX501218"/>
    <x v="9"/>
    <x v="2"/>
    <n v="74.900000000000006"/>
    <n v="224.70000000000002"/>
    <x v="47"/>
    <d v="2025-02-26T00:00:00"/>
    <x v="1"/>
    <x v="3"/>
    <x v="1"/>
    <x v="0"/>
    <x v="3"/>
    <x v="8"/>
    <x v="7"/>
    <x v="1"/>
  </r>
  <r>
    <s v="TX501219"/>
    <x v="10"/>
    <x v="13"/>
    <n v="45"/>
    <n v="270"/>
    <x v="47"/>
    <d v="2025-02-22T00:00:00"/>
    <x v="2"/>
    <x v="2"/>
    <x v="0"/>
    <x v="0"/>
    <x v="3"/>
    <x v="0"/>
    <x v="7"/>
    <x v="2"/>
  </r>
  <r>
    <s v="TX501220"/>
    <x v="7"/>
    <x v="33"/>
    <n v="37.9"/>
    <n v="1288.5999999999999"/>
    <x v="47"/>
    <d v="2025-02-18T00:00:00"/>
    <x v="1"/>
    <x v="0"/>
    <x v="0"/>
    <x v="0"/>
    <x v="3"/>
    <x v="3"/>
    <x v="7"/>
    <x v="1"/>
  </r>
  <r>
    <s v="TX501221"/>
    <x v="6"/>
    <x v="2"/>
    <n v="56.6"/>
    <n v="169.8"/>
    <x v="47"/>
    <d v="2025-02-18T00:00:00"/>
    <x v="1"/>
    <x v="3"/>
    <x v="0"/>
    <x v="0"/>
    <x v="3"/>
    <x v="3"/>
    <x v="7"/>
    <x v="1"/>
  </r>
  <r>
    <s v="TX501222"/>
    <x v="3"/>
    <x v="15"/>
    <n v="84.5"/>
    <n v="1098.5"/>
    <x v="47"/>
    <d v="2025-02-20T00:00:00"/>
    <x v="2"/>
    <x v="1"/>
    <x v="4"/>
    <x v="0"/>
    <x v="3"/>
    <x v="2"/>
    <x v="7"/>
    <x v="2"/>
  </r>
  <r>
    <s v="TX501223"/>
    <x v="2"/>
    <x v="9"/>
    <n v="105.4"/>
    <n v="527"/>
    <x v="47"/>
    <d v="2025-02-19T00:00:00"/>
    <x v="2"/>
    <x v="1"/>
    <x v="1"/>
    <x v="0"/>
    <x v="3"/>
    <x v="1"/>
    <x v="7"/>
    <x v="2"/>
  </r>
  <r>
    <s v="TX501224"/>
    <x v="18"/>
    <x v="3"/>
    <n v="39.4"/>
    <n v="275.8"/>
    <x v="48"/>
    <d v="2025-02-18T00:00:00"/>
    <x v="1"/>
    <x v="1"/>
    <x v="0"/>
    <x v="0"/>
    <x v="37"/>
    <x v="7"/>
    <x v="7"/>
    <x v="1"/>
  </r>
  <r>
    <s v="TX501225"/>
    <x v="19"/>
    <x v="2"/>
    <n v="38"/>
    <n v="114"/>
    <x v="48"/>
    <d v="2025-02-21T00:00:00"/>
    <x v="1"/>
    <x v="4"/>
    <x v="1"/>
    <x v="0"/>
    <x v="6"/>
    <x v="2"/>
    <x v="7"/>
    <x v="1"/>
  </r>
  <r>
    <s v="TX501226"/>
    <x v="17"/>
    <x v="12"/>
    <n v="42.5"/>
    <n v="170"/>
    <x v="48"/>
    <d v="2025-02-20T00:00:00"/>
    <x v="0"/>
    <x v="0"/>
    <x v="0"/>
    <x v="0"/>
    <x v="6"/>
    <x v="1"/>
    <x v="7"/>
    <x v="0"/>
  </r>
  <r>
    <s v="TX501227"/>
    <x v="15"/>
    <x v="0"/>
    <n v="62.3"/>
    <n v="62.3"/>
    <x v="48"/>
    <d v="2025-02-27T00:00:00"/>
    <x v="1"/>
    <x v="0"/>
    <x v="2"/>
    <x v="0"/>
    <x v="6"/>
    <x v="8"/>
    <x v="7"/>
    <x v="1"/>
  </r>
  <r>
    <s v="TX501228"/>
    <x v="6"/>
    <x v="9"/>
    <n v="49.1"/>
    <n v="245.5"/>
    <x v="48"/>
    <d v="2025-02-20T00:00:00"/>
    <x v="2"/>
    <x v="1"/>
    <x v="2"/>
    <x v="0"/>
    <x v="7"/>
    <x v="1"/>
    <x v="7"/>
    <x v="2"/>
  </r>
  <r>
    <s v="TX501229"/>
    <x v="3"/>
    <x v="1"/>
    <n v="30.5"/>
    <n v="61"/>
    <x v="48"/>
    <d v="2025-02-21T00:00:00"/>
    <x v="1"/>
    <x v="0"/>
    <x v="2"/>
    <x v="0"/>
    <x v="8"/>
    <x v="2"/>
    <x v="7"/>
    <x v="1"/>
  </r>
  <r>
    <s v="TX501230"/>
    <x v="2"/>
    <x v="1"/>
    <n v="154.80000000000001"/>
    <n v="309.60000000000002"/>
    <x v="48"/>
    <d v="2025-02-21T00:00:00"/>
    <x v="2"/>
    <x v="1"/>
    <x v="4"/>
    <x v="0"/>
    <x v="8"/>
    <x v="2"/>
    <x v="7"/>
    <x v="2"/>
  </r>
  <r>
    <s v="TX501231"/>
    <x v="6"/>
    <x v="0"/>
    <n v="45"/>
    <n v="45"/>
    <x v="48"/>
    <d v="2025-02-22T00:00:00"/>
    <x v="1"/>
    <x v="3"/>
    <x v="1"/>
    <x v="0"/>
    <x v="8"/>
    <x v="5"/>
    <x v="7"/>
    <x v="1"/>
  </r>
  <r>
    <s v="TX501232"/>
    <x v="0"/>
    <x v="3"/>
    <n v="15.3"/>
    <n v="107.10000000000001"/>
    <x v="48"/>
    <d v="2025-02-19T00:00:00"/>
    <x v="1"/>
    <x v="0"/>
    <x v="2"/>
    <x v="0"/>
    <x v="8"/>
    <x v="3"/>
    <x v="7"/>
    <x v="1"/>
  </r>
  <r>
    <s v="TX501233"/>
    <x v="2"/>
    <x v="5"/>
    <n v="88.6"/>
    <n v="974.59999999999991"/>
    <x v="48"/>
    <d v="2025-02-21T00:00:00"/>
    <x v="2"/>
    <x v="0"/>
    <x v="4"/>
    <x v="0"/>
    <x v="17"/>
    <x v="2"/>
    <x v="7"/>
    <x v="2"/>
  </r>
  <r>
    <s v="TX501234"/>
    <x v="9"/>
    <x v="1"/>
    <n v="49.7"/>
    <n v="99.4"/>
    <x v="48"/>
    <d v="2025-02-20T00:00:00"/>
    <x v="3"/>
    <x v="4"/>
    <x v="0"/>
    <x v="0"/>
    <x v="10"/>
    <x v="1"/>
    <x v="7"/>
    <x v="3"/>
  </r>
  <r>
    <s v="TX501235"/>
    <x v="10"/>
    <x v="0"/>
    <n v="29"/>
    <n v="29"/>
    <x v="48"/>
    <d v="2025-02-19T00:00:00"/>
    <x v="1"/>
    <x v="0"/>
    <x v="0"/>
    <x v="0"/>
    <x v="11"/>
    <x v="3"/>
    <x v="7"/>
    <x v="1"/>
  </r>
  <r>
    <s v="TX501236"/>
    <x v="1"/>
    <x v="0"/>
    <n v="60.7"/>
    <n v="60.7"/>
    <x v="48"/>
    <d v="2025-02-19T00:00:00"/>
    <x v="3"/>
    <x v="0"/>
    <x v="1"/>
    <x v="0"/>
    <x v="11"/>
    <x v="3"/>
    <x v="7"/>
    <x v="3"/>
  </r>
  <r>
    <s v="TX501237"/>
    <x v="17"/>
    <x v="12"/>
    <n v="87.4"/>
    <n v="349.6"/>
    <x v="48"/>
    <d v="2025-02-20T00:00:00"/>
    <x v="0"/>
    <x v="0"/>
    <x v="0"/>
    <x v="0"/>
    <x v="11"/>
    <x v="1"/>
    <x v="7"/>
    <x v="0"/>
  </r>
  <r>
    <s v="TX501238"/>
    <x v="4"/>
    <x v="3"/>
    <n v="44.5"/>
    <n v="311.5"/>
    <x v="48"/>
    <d v="2025-02-22T00:00:00"/>
    <x v="2"/>
    <x v="2"/>
    <x v="2"/>
    <x v="0"/>
    <x v="19"/>
    <x v="5"/>
    <x v="7"/>
    <x v="2"/>
  </r>
  <r>
    <s v="TX501239"/>
    <x v="2"/>
    <x v="0"/>
    <n v="141"/>
    <n v="141"/>
    <x v="48"/>
    <d v="2025-02-19T00:00:00"/>
    <x v="1"/>
    <x v="4"/>
    <x v="2"/>
    <x v="0"/>
    <x v="19"/>
    <x v="3"/>
    <x v="7"/>
    <x v="1"/>
  </r>
  <r>
    <s v="TX501240"/>
    <x v="0"/>
    <x v="2"/>
    <n v="16.7"/>
    <n v="50.099999999999994"/>
    <x v="48"/>
    <d v="2025-02-26T00:00:00"/>
    <x v="2"/>
    <x v="0"/>
    <x v="0"/>
    <x v="0"/>
    <x v="20"/>
    <x v="9"/>
    <x v="7"/>
    <x v="2"/>
  </r>
  <r>
    <s v="TX501241"/>
    <x v="1"/>
    <x v="1"/>
    <n v="77.5"/>
    <n v="155"/>
    <x v="48"/>
    <d v="2025-02-19T00:00:00"/>
    <x v="0"/>
    <x v="2"/>
    <x v="2"/>
    <x v="0"/>
    <x v="13"/>
    <x v="3"/>
    <x v="7"/>
    <x v="0"/>
  </r>
  <r>
    <s v="TX501242"/>
    <x v="2"/>
    <x v="1"/>
    <n v="163"/>
    <n v="326"/>
    <x v="48"/>
    <d v="2025-02-24T00:00:00"/>
    <x v="2"/>
    <x v="4"/>
    <x v="0"/>
    <x v="0"/>
    <x v="21"/>
    <x v="4"/>
    <x v="7"/>
    <x v="2"/>
  </r>
  <r>
    <s v="TX501243"/>
    <x v="4"/>
    <x v="11"/>
    <n v="21.4"/>
    <n v="192.6"/>
    <x v="48"/>
    <d v="2025-02-21T00:00:00"/>
    <x v="2"/>
    <x v="0"/>
    <x v="0"/>
    <x v="0"/>
    <x v="51"/>
    <x v="2"/>
    <x v="7"/>
    <x v="2"/>
  </r>
  <r>
    <s v="TX501244"/>
    <x v="10"/>
    <x v="5"/>
    <n v="31"/>
    <n v="341"/>
    <x v="48"/>
    <d v="2025-02-20T00:00:00"/>
    <x v="2"/>
    <x v="3"/>
    <x v="2"/>
    <x v="0"/>
    <x v="1"/>
    <x v="1"/>
    <x v="7"/>
    <x v="2"/>
  </r>
  <r>
    <s v="TX501245"/>
    <x v="7"/>
    <x v="1"/>
    <n v="34.299999999999997"/>
    <n v="68.599999999999994"/>
    <x v="48"/>
    <d v="2025-02-20T00:00:00"/>
    <x v="2"/>
    <x v="0"/>
    <x v="3"/>
    <x v="0"/>
    <x v="1"/>
    <x v="1"/>
    <x v="7"/>
    <x v="2"/>
  </r>
  <r>
    <s v="TX501246"/>
    <x v="17"/>
    <x v="9"/>
    <n v="48.2"/>
    <n v="241"/>
    <x v="48"/>
    <d v="2025-02-19T00:00:00"/>
    <x v="1"/>
    <x v="1"/>
    <x v="1"/>
    <x v="0"/>
    <x v="2"/>
    <x v="3"/>
    <x v="7"/>
    <x v="1"/>
  </r>
  <r>
    <s v="TX501247"/>
    <x v="10"/>
    <x v="0"/>
    <n v="51.4"/>
    <n v="51.4"/>
    <x v="48"/>
    <d v="2025-02-19T00:00:00"/>
    <x v="1"/>
    <x v="0"/>
    <x v="0"/>
    <x v="0"/>
    <x v="3"/>
    <x v="3"/>
    <x v="7"/>
    <x v="1"/>
  </r>
  <r>
    <s v="TX501248"/>
    <x v="2"/>
    <x v="9"/>
    <n v="117.2"/>
    <n v="586"/>
    <x v="48"/>
    <d v="2025-02-21T00:00:00"/>
    <x v="2"/>
    <x v="4"/>
    <x v="4"/>
    <x v="0"/>
    <x v="3"/>
    <x v="2"/>
    <x v="7"/>
    <x v="2"/>
  </r>
  <r>
    <s v="TX501249"/>
    <x v="8"/>
    <x v="0"/>
    <n v="38.1"/>
    <n v="38.1"/>
    <x v="48"/>
    <d v="2025-02-18T00:00:00"/>
    <x v="1"/>
    <x v="4"/>
    <x v="1"/>
    <x v="0"/>
    <x v="3"/>
    <x v="7"/>
    <x v="7"/>
    <x v="1"/>
  </r>
  <r>
    <s v="TX501250"/>
    <x v="0"/>
    <x v="1"/>
    <n v="44.1"/>
    <n v="88.2"/>
    <x v="48"/>
    <d v="2025-02-20T00:00:00"/>
    <x v="2"/>
    <x v="2"/>
    <x v="0"/>
    <x v="0"/>
    <x v="3"/>
    <x v="1"/>
    <x v="7"/>
    <x v="2"/>
  </r>
  <r>
    <s v="TX501251"/>
    <x v="15"/>
    <x v="12"/>
    <n v="80.5"/>
    <n v="322"/>
    <x v="48"/>
    <d v="2025-02-23T00:00:00"/>
    <x v="1"/>
    <x v="0"/>
    <x v="0"/>
    <x v="0"/>
    <x v="3"/>
    <x v="0"/>
    <x v="7"/>
    <x v="1"/>
  </r>
  <r>
    <s v="TX501252"/>
    <x v="18"/>
    <x v="12"/>
    <n v="33.6"/>
    <n v="134.4"/>
    <x v="48"/>
    <d v="2025-02-23T00:00:00"/>
    <x v="0"/>
    <x v="0"/>
    <x v="2"/>
    <x v="0"/>
    <x v="3"/>
    <x v="0"/>
    <x v="7"/>
    <x v="0"/>
  </r>
  <r>
    <s v="TX501253"/>
    <x v="9"/>
    <x v="11"/>
    <n v="41.8"/>
    <n v="376.2"/>
    <x v="48"/>
    <d v="2025-02-19T00:00:00"/>
    <x v="2"/>
    <x v="0"/>
    <x v="1"/>
    <x v="0"/>
    <x v="3"/>
    <x v="3"/>
    <x v="7"/>
    <x v="2"/>
  </r>
  <r>
    <s v="TX501254"/>
    <x v="1"/>
    <x v="1"/>
    <n v="106.2"/>
    <n v="212.4"/>
    <x v="48"/>
    <d v="2025-02-18T00:00:00"/>
    <x v="2"/>
    <x v="4"/>
    <x v="2"/>
    <x v="0"/>
    <x v="3"/>
    <x v="7"/>
    <x v="7"/>
    <x v="2"/>
  </r>
  <r>
    <s v="TX501255"/>
    <x v="1"/>
    <x v="1"/>
    <n v="52.6"/>
    <n v="105.2"/>
    <x v="48"/>
    <d v="2025-02-19T00:00:00"/>
    <x v="2"/>
    <x v="0"/>
    <x v="2"/>
    <x v="0"/>
    <x v="5"/>
    <x v="3"/>
    <x v="7"/>
    <x v="2"/>
  </r>
  <r>
    <s v="TX501256"/>
    <x v="11"/>
    <x v="3"/>
    <n v="68.5"/>
    <n v="479.5"/>
    <x v="48"/>
    <d v="2025-02-19T00:00:00"/>
    <x v="2"/>
    <x v="1"/>
    <x v="0"/>
    <x v="0"/>
    <x v="5"/>
    <x v="3"/>
    <x v="7"/>
    <x v="2"/>
  </r>
  <r>
    <s v="TX501257"/>
    <x v="1"/>
    <x v="1"/>
    <n v="55.6"/>
    <n v="111.2"/>
    <x v="48"/>
    <d v="2025-02-20T00:00:00"/>
    <x v="1"/>
    <x v="1"/>
    <x v="2"/>
    <x v="0"/>
    <x v="6"/>
    <x v="1"/>
    <x v="7"/>
    <x v="1"/>
  </r>
  <r>
    <s v="TX501258"/>
    <x v="2"/>
    <x v="2"/>
    <n v="134.9"/>
    <n v="404.70000000000005"/>
    <x v="48"/>
    <d v="2025-02-19T00:00:00"/>
    <x v="1"/>
    <x v="1"/>
    <x v="1"/>
    <x v="0"/>
    <x v="6"/>
    <x v="3"/>
    <x v="7"/>
    <x v="1"/>
  </r>
  <r>
    <s v="TX501259"/>
    <x v="10"/>
    <x v="9"/>
    <n v="42.6"/>
    <n v="213"/>
    <x v="48"/>
    <d v="2025-02-19T00:00:00"/>
    <x v="1"/>
    <x v="0"/>
    <x v="0"/>
    <x v="0"/>
    <x v="6"/>
    <x v="3"/>
    <x v="7"/>
    <x v="1"/>
  </r>
  <r>
    <s v="TX501260"/>
    <x v="7"/>
    <x v="9"/>
    <n v="60.6"/>
    <n v="303"/>
    <x v="48"/>
    <d v="2025-02-20T00:00:00"/>
    <x v="1"/>
    <x v="4"/>
    <x v="0"/>
    <x v="0"/>
    <x v="6"/>
    <x v="1"/>
    <x v="7"/>
    <x v="1"/>
  </r>
  <r>
    <s v="TX501261"/>
    <x v="8"/>
    <x v="1"/>
    <n v="43.5"/>
    <n v="87"/>
    <x v="48"/>
    <d v="2025-02-19T00:00:00"/>
    <x v="1"/>
    <x v="4"/>
    <x v="0"/>
    <x v="0"/>
    <x v="7"/>
    <x v="3"/>
    <x v="7"/>
    <x v="1"/>
  </r>
  <r>
    <s v="TX501262"/>
    <x v="2"/>
    <x v="1"/>
    <n v="187.1"/>
    <n v="374.2"/>
    <x v="48"/>
    <d v="2025-02-19T00:00:00"/>
    <x v="1"/>
    <x v="1"/>
    <x v="2"/>
    <x v="0"/>
    <x v="8"/>
    <x v="3"/>
    <x v="7"/>
    <x v="1"/>
  </r>
  <r>
    <s v="TX501263"/>
    <x v="9"/>
    <x v="2"/>
    <n v="32"/>
    <n v="96"/>
    <x v="48"/>
    <d v="2025-02-20T00:00:00"/>
    <x v="1"/>
    <x v="0"/>
    <x v="0"/>
    <x v="0"/>
    <x v="8"/>
    <x v="1"/>
    <x v="7"/>
    <x v="1"/>
  </r>
  <r>
    <s v="TX501264"/>
    <x v="9"/>
    <x v="1"/>
    <n v="110.8"/>
    <n v="221.6"/>
    <x v="48"/>
    <d v="2025-02-18T00:00:00"/>
    <x v="1"/>
    <x v="0"/>
    <x v="2"/>
    <x v="0"/>
    <x v="8"/>
    <x v="7"/>
    <x v="7"/>
    <x v="1"/>
  </r>
  <r>
    <s v="TX501265"/>
    <x v="10"/>
    <x v="15"/>
    <n v="36.1"/>
    <n v="469.3"/>
    <x v="48"/>
    <d v="2025-02-21T00:00:00"/>
    <x v="2"/>
    <x v="0"/>
    <x v="1"/>
    <x v="0"/>
    <x v="8"/>
    <x v="2"/>
    <x v="7"/>
    <x v="2"/>
  </r>
  <r>
    <s v="TX501266"/>
    <x v="0"/>
    <x v="0"/>
    <n v="24.1"/>
    <n v="24.1"/>
    <x v="48"/>
    <d v="2025-02-20T00:00:00"/>
    <x v="2"/>
    <x v="4"/>
    <x v="2"/>
    <x v="0"/>
    <x v="8"/>
    <x v="1"/>
    <x v="7"/>
    <x v="2"/>
  </r>
  <r>
    <s v="TX501267"/>
    <x v="19"/>
    <x v="2"/>
    <n v="30.5"/>
    <n v="91.5"/>
    <x v="48"/>
    <d v="2025-02-20T00:00:00"/>
    <x v="1"/>
    <x v="1"/>
    <x v="0"/>
    <x v="0"/>
    <x v="8"/>
    <x v="1"/>
    <x v="7"/>
    <x v="1"/>
  </r>
  <r>
    <s v="TX501268"/>
    <x v="18"/>
    <x v="13"/>
    <n v="68.3"/>
    <n v="409.79999999999995"/>
    <x v="48"/>
    <d v="2025-02-21T00:00:00"/>
    <x v="1"/>
    <x v="0"/>
    <x v="0"/>
    <x v="0"/>
    <x v="8"/>
    <x v="2"/>
    <x v="7"/>
    <x v="1"/>
  </r>
  <r>
    <s v="TX501269"/>
    <x v="7"/>
    <x v="2"/>
    <n v="43.3"/>
    <n v="129.89999999999998"/>
    <x v="48"/>
    <d v="2025-02-22T00:00:00"/>
    <x v="2"/>
    <x v="0"/>
    <x v="0"/>
    <x v="0"/>
    <x v="17"/>
    <x v="5"/>
    <x v="7"/>
    <x v="2"/>
  </r>
  <r>
    <s v="TX501270"/>
    <x v="3"/>
    <x v="0"/>
    <n v="101.7"/>
    <n v="101.7"/>
    <x v="48"/>
    <d v="2025-02-21T00:00:00"/>
    <x v="2"/>
    <x v="0"/>
    <x v="1"/>
    <x v="0"/>
    <x v="17"/>
    <x v="2"/>
    <x v="7"/>
    <x v="2"/>
  </r>
  <r>
    <s v="TX501271"/>
    <x v="11"/>
    <x v="1"/>
    <n v="54.2"/>
    <n v="108.4"/>
    <x v="48"/>
    <d v="2025-02-19T00:00:00"/>
    <x v="2"/>
    <x v="0"/>
    <x v="1"/>
    <x v="0"/>
    <x v="17"/>
    <x v="3"/>
    <x v="7"/>
    <x v="2"/>
  </r>
  <r>
    <s v="TX501272"/>
    <x v="16"/>
    <x v="1"/>
    <n v="51"/>
    <n v="102"/>
    <x v="48"/>
    <d v="2025-02-18T00:00:00"/>
    <x v="1"/>
    <x v="1"/>
    <x v="0"/>
    <x v="0"/>
    <x v="26"/>
    <x v="7"/>
    <x v="7"/>
    <x v="1"/>
  </r>
  <r>
    <s v="TX501273"/>
    <x v="4"/>
    <x v="1"/>
    <n v="23.1"/>
    <n v="46.2"/>
    <x v="48"/>
    <d v="2025-02-21T00:00:00"/>
    <x v="1"/>
    <x v="1"/>
    <x v="0"/>
    <x v="0"/>
    <x v="10"/>
    <x v="2"/>
    <x v="7"/>
    <x v="1"/>
  </r>
  <r>
    <s v="TX501274"/>
    <x v="12"/>
    <x v="13"/>
    <n v="60.1"/>
    <n v="360.6"/>
    <x v="48"/>
    <d v="2025-02-18T00:00:00"/>
    <x v="2"/>
    <x v="3"/>
    <x v="0"/>
    <x v="0"/>
    <x v="11"/>
    <x v="7"/>
    <x v="7"/>
    <x v="2"/>
  </r>
  <r>
    <s v="TX501275"/>
    <x v="2"/>
    <x v="3"/>
    <n v="87.5"/>
    <n v="612.5"/>
    <x v="48"/>
    <d v="2025-02-20T00:00:00"/>
    <x v="2"/>
    <x v="0"/>
    <x v="1"/>
    <x v="0"/>
    <x v="11"/>
    <x v="1"/>
    <x v="7"/>
    <x v="2"/>
  </r>
  <r>
    <s v="TX501276"/>
    <x v="1"/>
    <x v="2"/>
    <n v="51"/>
    <n v="153"/>
    <x v="48"/>
    <d v="2025-02-19T00:00:00"/>
    <x v="2"/>
    <x v="1"/>
    <x v="0"/>
    <x v="0"/>
    <x v="11"/>
    <x v="3"/>
    <x v="7"/>
    <x v="2"/>
  </r>
  <r>
    <s v="TX501277"/>
    <x v="8"/>
    <x v="12"/>
    <n v="19.2"/>
    <n v="76.8"/>
    <x v="48"/>
    <d v="2025-02-20T00:00:00"/>
    <x v="2"/>
    <x v="0"/>
    <x v="0"/>
    <x v="0"/>
    <x v="11"/>
    <x v="1"/>
    <x v="7"/>
    <x v="2"/>
  </r>
  <r>
    <s v="TX501278"/>
    <x v="5"/>
    <x v="8"/>
    <n v="26.5"/>
    <n v="212"/>
    <x v="48"/>
    <d v="2025-02-19T00:00:00"/>
    <x v="0"/>
    <x v="3"/>
    <x v="2"/>
    <x v="0"/>
    <x v="11"/>
    <x v="3"/>
    <x v="7"/>
    <x v="0"/>
  </r>
  <r>
    <s v="TX501279"/>
    <x v="2"/>
    <x v="1"/>
    <n v="220.3"/>
    <n v="440.6"/>
    <x v="48"/>
    <d v="2025-02-19T00:00:00"/>
    <x v="2"/>
    <x v="1"/>
    <x v="4"/>
    <x v="0"/>
    <x v="53"/>
    <x v="3"/>
    <x v="7"/>
    <x v="2"/>
  </r>
  <r>
    <s v="TX501280"/>
    <x v="8"/>
    <x v="2"/>
    <n v="45.7"/>
    <n v="137.10000000000002"/>
    <x v="48"/>
    <d v="2025-02-19T00:00:00"/>
    <x v="2"/>
    <x v="4"/>
    <x v="0"/>
    <x v="0"/>
    <x v="30"/>
    <x v="3"/>
    <x v="7"/>
    <x v="2"/>
  </r>
  <r>
    <s v="TX501281"/>
    <x v="5"/>
    <x v="9"/>
    <n v="47.1"/>
    <n v="235.5"/>
    <x v="48"/>
    <d v="2025-02-22T00:00:00"/>
    <x v="2"/>
    <x v="3"/>
    <x v="0"/>
    <x v="0"/>
    <x v="13"/>
    <x v="5"/>
    <x v="7"/>
    <x v="2"/>
  </r>
  <r>
    <s v="TX501282"/>
    <x v="1"/>
    <x v="9"/>
    <n v="81.7"/>
    <n v="408.5"/>
    <x v="48"/>
    <d v="2025-02-19T00:00:00"/>
    <x v="2"/>
    <x v="0"/>
    <x v="2"/>
    <x v="0"/>
    <x v="21"/>
    <x v="3"/>
    <x v="7"/>
    <x v="2"/>
  </r>
  <r>
    <s v="TX501283"/>
    <x v="6"/>
    <x v="7"/>
    <n v="97.8"/>
    <n v="978"/>
    <x v="48"/>
    <d v="2025-02-18T00:00:00"/>
    <x v="1"/>
    <x v="1"/>
    <x v="1"/>
    <x v="0"/>
    <x v="21"/>
    <x v="7"/>
    <x v="7"/>
    <x v="1"/>
  </r>
  <r>
    <s v="TX501284"/>
    <x v="6"/>
    <x v="2"/>
    <n v="42.4"/>
    <n v="127.19999999999999"/>
    <x v="48"/>
    <d v="2025-02-19T00:00:00"/>
    <x v="2"/>
    <x v="0"/>
    <x v="2"/>
    <x v="0"/>
    <x v="54"/>
    <x v="3"/>
    <x v="7"/>
    <x v="2"/>
  </r>
  <r>
    <s v="TX501285"/>
    <x v="2"/>
    <x v="7"/>
    <n v="74.5"/>
    <n v="745"/>
    <x v="48"/>
    <d v="2025-02-19T00:00:00"/>
    <x v="1"/>
    <x v="2"/>
    <x v="1"/>
    <x v="0"/>
    <x v="1"/>
    <x v="3"/>
    <x v="7"/>
    <x v="1"/>
  </r>
  <r>
    <s v="TX501286"/>
    <x v="17"/>
    <x v="13"/>
    <n v="47.4"/>
    <n v="284.39999999999998"/>
    <x v="48"/>
    <d v="2025-02-19T00:00:00"/>
    <x v="1"/>
    <x v="1"/>
    <x v="0"/>
    <x v="0"/>
    <x v="1"/>
    <x v="3"/>
    <x v="7"/>
    <x v="1"/>
  </r>
  <r>
    <s v="TX501287"/>
    <x v="14"/>
    <x v="2"/>
    <n v="17.3"/>
    <n v="51.900000000000006"/>
    <x v="49"/>
    <d v="2025-02-22T00:00:00"/>
    <x v="1"/>
    <x v="2"/>
    <x v="2"/>
    <x v="0"/>
    <x v="1"/>
    <x v="2"/>
    <x v="7"/>
    <x v="1"/>
  </r>
  <r>
    <s v="TX501288"/>
    <x v="12"/>
    <x v="12"/>
    <n v="77.900000000000006"/>
    <n v="311.60000000000002"/>
    <x v="49"/>
    <d v="2025-02-20T00:00:00"/>
    <x v="1"/>
    <x v="1"/>
    <x v="0"/>
    <x v="0"/>
    <x v="2"/>
    <x v="3"/>
    <x v="7"/>
    <x v="1"/>
  </r>
  <r>
    <s v="TX501289"/>
    <x v="8"/>
    <x v="0"/>
    <n v="29.1"/>
    <n v="29.1"/>
    <x v="49"/>
    <d v="2025-02-22T00:00:00"/>
    <x v="1"/>
    <x v="0"/>
    <x v="2"/>
    <x v="0"/>
    <x v="50"/>
    <x v="2"/>
    <x v="7"/>
    <x v="1"/>
  </r>
  <r>
    <s v="TX501290"/>
    <x v="8"/>
    <x v="0"/>
    <n v="49"/>
    <n v="49"/>
    <x v="49"/>
    <d v="2025-02-20T00:00:00"/>
    <x v="1"/>
    <x v="1"/>
    <x v="0"/>
    <x v="0"/>
    <x v="3"/>
    <x v="3"/>
    <x v="7"/>
    <x v="1"/>
  </r>
  <r>
    <s v="TX501291"/>
    <x v="8"/>
    <x v="13"/>
    <n v="21.1"/>
    <n v="126.60000000000001"/>
    <x v="49"/>
    <d v="2025-02-26T00:00:00"/>
    <x v="1"/>
    <x v="0"/>
    <x v="2"/>
    <x v="0"/>
    <x v="3"/>
    <x v="6"/>
    <x v="7"/>
    <x v="1"/>
  </r>
  <r>
    <s v="TX501292"/>
    <x v="4"/>
    <x v="10"/>
    <n v="36.9"/>
    <n v="701.1"/>
    <x v="49"/>
    <d v="2025-02-19T00:00:00"/>
    <x v="2"/>
    <x v="0"/>
    <x v="0"/>
    <x v="0"/>
    <x v="3"/>
    <x v="7"/>
    <x v="7"/>
    <x v="2"/>
  </r>
  <r>
    <s v="TX501293"/>
    <x v="1"/>
    <x v="7"/>
    <n v="92.6"/>
    <n v="926"/>
    <x v="49"/>
    <d v="2025-02-24T00:00:00"/>
    <x v="1"/>
    <x v="4"/>
    <x v="2"/>
    <x v="0"/>
    <x v="3"/>
    <x v="0"/>
    <x v="7"/>
    <x v="1"/>
  </r>
  <r>
    <s v="TX501294"/>
    <x v="10"/>
    <x v="1"/>
    <n v="38"/>
    <n v="76"/>
    <x v="49"/>
    <d v="2025-02-20T00:00:00"/>
    <x v="1"/>
    <x v="1"/>
    <x v="1"/>
    <x v="0"/>
    <x v="3"/>
    <x v="3"/>
    <x v="7"/>
    <x v="1"/>
  </r>
  <r>
    <s v="TX501295"/>
    <x v="5"/>
    <x v="2"/>
    <n v="54.8"/>
    <n v="164.39999999999998"/>
    <x v="49"/>
    <d v="2025-02-23T00:00:00"/>
    <x v="0"/>
    <x v="0"/>
    <x v="1"/>
    <x v="0"/>
    <x v="3"/>
    <x v="5"/>
    <x v="7"/>
    <x v="0"/>
  </r>
  <r>
    <s v="TX501296"/>
    <x v="10"/>
    <x v="4"/>
    <n v="56.8"/>
    <n v="681.59999999999991"/>
    <x v="49"/>
    <d v="2025-02-21T00:00:00"/>
    <x v="1"/>
    <x v="1"/>
    <x v="0"/>
    <x v="0"/>
    <x v="3"/>
    <x v="1"/>
    <x v="7"/>
    <x v="1"/>
  </r>
  <r>
    <s v="TX501297"/>
    <x v="11"/>
    <x v="40"/>
    <n v="47.2"/>
    <n v="1557.6000000000001"/>
    <x v="49"/>
    <d v="2025-02-22T00:00:00"/>
    <x v="2"/>
    <x v="1"/>
    <x v="0"/>
    <x v="0"/>
    <x v="3"/>
    <x v="2"/>
    <x v="7"/>
    <x v="2"/>
  </r>
  <r>
    <s v="TX501298"/>
    <x v="7"/>
    <x v="13"/>
    <n v="45.1"/>
    <n v="270.60000000000002"/>
    <x v="49"/>
    <d v="2025-02-20T00:00:00"/>
    <x v="2"/>
    <x v="2"/>
    <x v="0"/>
    <x v="0"/>
    <x v="43"/>
    <x v="3"/>
    <x v="7"/>
    <x v="2"/>
  </r>
  <r>
    <s v="TX501299"/>
    <x v="4"/>
    <x v="4"/>
    <n v="25.2"/>
    <n v="302.39999999999998"/>
    <x v="49"/>
    <d v="2025-02-24T00:00:00"/>
    <x v="2"/>
    <x v="2"/>
    <x v="0"/>
    <x v="0"/>
    <x v="16"/>
    <x v="0"/>
    <x v="7"/>
    <x v="2"/>
  </r>
  <r>
    <s v="TX501300"/>
    <x v="8"/>
    <x v="0"/>
    <n v="22"/>
    <n v="22"/>
    <x v="49"/>
    <d v="2025-02-20T00:00:00"/>
    <x v="2"/>
    <x v="0"/>
    <x v="0"/>
    <x v="0"/>
    <x v="5"/>
    <x v="3"/>
    <x v="7"/>
    <x v="2"/>
  </r>
  <r>
    <s v="TX501301"/>
    <x v="6"/>
    <x v="1"/>
    <n v="42.2"/>
    <n v="84.4"/>
    <x v="49"/>
    <d v="2025-02-20T00:00:00"/>
    <x v="2"/>
    <x v="1"/>
    <x v="1"/>
    <x v="0"/>
    <x v="23"/>
    <x v="3"/>
    <x v="7"/>
    <x v="2"/>
  </r>
  <r>
    <s v="TX501302"/>
    <x v="13"/>
    <x v="2"/>
    <n v="20.5"/>
    <n v="61.5"/>
    <x v="49"/>
    <d v="2025-02-20T00:00:00"/>
    <x v="1"/>
    <x v="0"/>
    <x v="1"/>
    <x v="0"/>
    <x v="6"/>
    <x v="3"/>
    <x v="7"/>
    <x v="1"/>
  </r>
  <r>
    <s v="TX501303"/>
    <x v="2"/>
    <x v="0"/>
    <n v="190.4"/>
    <n v="190.4"/>
    <x v="49"/>
    <d v="2025-02-24T00:00:00"/>
    <x v="1"/>
    <x v="1"/>
    <x v="4"/>
    <x v="0"/>
    <x v="6"/>
    <x v="0"/>
    <x v="7"/>
    <x v="1"/>
  </r>
  <r>
    <s v="TX501304"/>
    <x v="2"/>
    <x v="0"/>
    <n v="121.9"/>
    <n v="121.9"/>
    <x v="49"/>
    <d v="2025-02-21T00:00:00"/>
    <x v="2"/>
    <x v="1"/>
    <x v="2"/>
    <x v="0"/>
    <x v="6"/>
    <x v="1"/>
    <x v="7"/>
    <x v="2"/>
  </r>
  <r>
    <s v="TX501305"/>
    <x v="2"/>
    <x v="13"/>
    <n v="149.19999999999999"/>
    <n v="895.19999999999993"/>
    <x v="49"/>
    <d v="2025-02-20T00:00:00"/>
    <x v="2"/>
    <x v="2"/>
    <x v="2"/>
    <x v="0"/>
    <x v="7"/>
    <x v="3"/>
    <x v="7"/>
    <x v="2"/>
  </r>
  <r>
    <s v="TX501306"/>
    <x v="2"/>
    <x v="0"/>
    <n v="54.1"/>
    <n v="54.1"/>
    <x v="49"/>
    <d v="2025-02-28T00:00:00"/>
    <x v="2"/>
    <x v="2"/>
    <x v="2"/>
    <x v="0"/>
    <x v="7"/>
    <x v="8"/>
    <x v="7"/>
    <x v="2"/>
  </r>
  <r>
    <s v="TX501307"/>
    <x v="5"/>
    <x v="1"/>
    <n v="27.4"/>
    <n v="54.8"/>
    <x v="49"/>
    <d v="2025-02-21T00:00:00"/>
    <x v="1"/>
    <x v="1"/>
    <x v="0"/>
    <x v="0"/>
    <x v="8"/>
    <x v="1"/>
    <x v="7"/>
    <x v="1"/>
  </r>
  <r>
    <s v="TX501308"/>
    <x v="0"/>
    <x v="15"/>
    <n v="30.4"/>
    <n v="395.2"/>
    <x v="49"/>
    <d v="2025-02-20T00:00:00"/>
    <x v="2"/>
    <x v="0"/>
    <x v="2"/>
    <x v="0"/>
    <x v="8"/>
    <x v="3"/>
    <x v="7"/>
    <x v="2"/>
  </r>
  <r>
    <s v="TX501309"/>
    <x v="12"/>
    <x v="2"/>
    <n v="46.2"/>
    <n v="138.60000000000002"/>
    <x v="49"/>
    <d v="2025-02-21T00:00:00"/>
    <x v="1"/>
    <x v="2"/>
    <x v="1"/>
    <x v="0"/>
    <x v="17"/>
    <x v="1"/>
    <x v="7"/>
    <x v="1"/>
  </r>
  <r>
    <s v="TX501310"/>
    <x v="7"/>
    <x v="8"/>
    <n v="78.599999999999994"/>
    <n v="628.79999999999995"/>
    <x v="49"/>
    <d v="2025-02-23T00:00:00"/>
    <x v="1"/>
    <x v="3"/>
    <x v="0"/>
    <x v="0"/>
    <x v="17"/>
    <x v="5"/>
    <x v="7"/>
    <x v="1"/>
  </r>
  <r>
    <s v="TX501311"/>
    <x v="17"/>
    <x v="7"/>
    <n v="25.9"/>
    <n v="259"/>
    <x v="49"/>
    <d v="2025-02-25T00:00:00"/>
    <x v="1"/>
    <x v="4"/>
    <x v="0"/>
    <x v="0"/>
    <x v="9"/>
    <x v="4"/>
    <x v="7"/>
    <x v="1"/>
  </r>
  <r>
    <s v="TX501312"/>
    <x v="6"/>
    <x v="0"/>
    <n v="134.80000000000001"/>
    <n v="134.80000000000001"/>
    <x v="49"/>
    <d v="2025-02-21T00:00:00"/>
    <x v="1"/>
    <x v="2"/>
    <x v="2"/>
    <x v="0"/>
    <x v="9"/>
    <x v="1"/>
    <x v="7"/>
    <x v="1"/>
  </r>
  <r>
    <s v="TX501313"/>
    <x v="15"/>
    <x v="9"/>
    <n v="43.1"/>
    <n v="215.5"/>
    <x v="49"/>
    <d v="2025-02-21T00:00:00"/>
    <x v="2"/>
    <x v="0"/>
    <x v="0"/>
    <x v="0"/>
    <x v="11"/>
    <x v="1"/>
    <x v="7"/>
    <x v="2"/>
  </r>
  <r>
    <s v="TX501314"/>
    <x v="2"/>
    <x v="1"/>
    <n v="215.6"/>
    <n v="431.2"/>
    <x v="49"/>
    <d v="2025-02-20T00:00:00"/>
    <x v="2"/>
    <x v="2"/>
    <x v="0"/>
    <x v="0"/>
    <x v="18"/>
    <x v="3"/>
    <x v="7"/>
    <x v="2"/>
  </r>
  <r>
    <s v="TX501315"/>
    <x v="6"/>
    <x v="1"/>
    <n v="80.7"/>
    <n v="161.4"/>
    <x v="49"/>
    <d v="2025-02-22T00:00:00"/>
    <x v="2"/>
    <x v="3"/>
    <x v="0"/>
    <x v="0"/>
    <x v="18"/>
    <x v="2"/>
    <x v="7"/>
    <x v="2"/>
  </r>
  <r>
    <s v="TX501316"/>
    <x v="10"/>
    <x v="3"/>
    <n v="20.6"/>
    <n v="144.20000000000002"/>
    <x v="49"/>
    <d v="2025-02-24T00:00:00"/>
    <x v="0"/>
    <x v="2"/>
    <x v="1"/>
    <x v="0"/>
    <x v="19"/>
    <x v="0"/>
    <x v="7"/>
    <x v="0"/>
  </r>
  <r>
    <s v="TX501317"/>
    <x v="12"/>
    <x v="2"/>
    <n v="37.1"/>
    <n v="111.30000000000001"/>
    <x v="49"/>
    <d v="2025-02-20T00:00:00"/>
    <x v="2"/>
    <x v="0"/>
    <x v="0"/>
    <x v="0"/>
    <x v="52"/>
    <x v="3"/>
    <x v="7"/>
    <x v="2"/>
  </r>
  <r>
    <s v="TX501318"/>
    <x v="12"/>
    <x v="0"/>
    <n v="104.8"/>
    <n v="104.8"/>
    <x v="50"/>
    <d v="2025-02-22T00:00:00"/>
    <x v="2"/>
    <x v="0"/>
    <x v="0"/>
    <x v="0"/>
    <x v="13"/>
    <x v="1"/>
    <x v="7"/>
    <x v="2"/>
  </r>
  <r>
    <s v="TX501319"/>
    <x v="8"/>
    <x v="1"/>
    <n v="59"/>
    <n v="118"/>
    <x v="50"/>
    <d v="2025-02-21T00:00:00"/>
    <x v="1"/>
    <x v="1"/>
    <x v="0"/>
    <x v="0"/>
    <x v="21"/>
    <x v="3"/>
    <x v="7"/>
    <x v="1"/>
  </r>
  <r>
    <s v="TX501320"/>
    <x v="8"/>
    <x v="1"/>
    <n v="32.299999999999997"/>
    <n v="64.599999999999994"/>
    <x v="50"/>
    <d v="2025-02-21T00:00:00"/>
    <x v="1"/>
    <x v="0"/>
    <x v="2"/>
    <x v="0"/>
    <x v="21"/>
    <x v="3"/>
    <x v="7"/>
    <x v="1"/>
  </r>
  <r>
    <s v="TX501321"/>
    <x v="8"/>
    <x v="12"/>
    <n v="28.9"/>
    <n v="115.6"/>
    <x v="50"/>
    <d v="2025-02-27T00:00:00"/>
    <x v="1"/>
    <x v="0"/>
    <x v="0"/>
    <x v="0"/>
    <x v="1"/>
    <x v="6"/>
    <x v="7"/>
    <x v="1"/>
  </r>
  <r>
    <s v="TX501322"/>
    <x v="0"/>
    <x v="1"/>
    <n v="29.6"/>
    <n v="59.2"/>
    <x v="50"/>
    <d v="2025-02-22T00:00:00"/>
    <x v="1"/>
    <x v="0"/>
    <x v="0"/>
    <x v="0"/>
    <x v="1"/>
    <x v="1"/>
    <x v="7"/>
    <x v="1"/>
  </r>
  <r>
    <s v="TX501323"/>
    <x v="0"/>
    <x v="9"/>
    <n v="29.4"/>
    <n v="147"/>
    <x v="50"/>
    <d v="2025-02-23T00:00:00"/>
    <x v="2"/>
    <x v="0"/>
    <x v="0"/>
    <x v="0"/>
    <x v="1"/>
    <x v="2"/>
    <x v="7"/>
    <x v="2"/>
  </r>
  <r>
    <s v="TX501324"/>
    <x v="1"/>
    <x v="1"/>
    <n v="40.6"/>
    <n v="81.2"/>
    <x v="50"/>
    <d v="2025-02-21T00:00:00"/>
    <x v="1"/>
    <x v="0"/>
    <x v="4"/>
    <x v="0"/>
    <x v="2"/>
    <x v="3"/>
    <x v="7"/>
    <x v="1"/>
  </r>
  <r>
    <s v="TX501325"/>
    <x v="0"/>
    <x v="2"/>
    <n v="32.5"/>
    <n v="97.5"/>
    <x v="50"/>
    <d v="2025-02-21T00:00:00"/>
    <x v="1"/>
    <x v="3"/>
    <x v="2"/>
    <x v="0"/>
    <x v="22"/>
    <x v="3"/>
    <x v="7"/>
    <x v="1"/>
  </r>
  <r>
    <s v="TX501326"/>
    <x v="15"/>
    <x v="0"/>
    <n v="26.2"/>
    <n v="26.2"/>
    <x v="50"/>
    <d v="2025-02-22T00:00:00"/>
    <x v="1"/>
    <x v="2"/>
    <x v="0"/>
    <x v="0"/>
    <x v="55"/>
    <x v="1"/>
    <x v="7"/>
    <x v="1"/>
  </r>
  <r>
    <s v="TX501327"/>
    <x v="10"/>
    <x v="17"/>
    <n v="44"/>
    <n v="1320"/>
    <x v="50"/>
    <d v="2025-02-26T00:00:00"/>
    <x v="1"/>
    <x v="4"/>
    <x v="0"/>
    <x v="0"/>
    <x v="3"/>
    <x v="4"/>
    <x v="7"/>
    <x v="1"/>
  </r>
  <r>
    <s v="TX501328"/>
    <x v="7"/>
    <x v="12"/>
    <n v="65.599999999999994"/>
    <n v="262.39999999999998"/>
    <x v="50"/>
    <d v="2025-02-21T00:00:00"/>
    <x v="2"/>
    <x v="1"/>
    <x v="1"/>
    <x v="0"/>
    <x v="3"/>
    <x v="3"/>
    <x v="7"/>
    <x v="2"/>
  </r>
  <r>
    <s v="TX501329"/>
    <x v="5"/>
    <x v="4"/>
    <n v="32.6"/>
    <n v="391.20000000000005"/>
    <x v="50"/>
    <d v="2025-02-21T00:00:00"/>
    <x v="1"/>
    <x v="4"/>
    <x v="0"/>
    <x v="0"/>
    <x v="3"/>
    <x v="3"/>
    <x v="7"/>
    <x v="1"/>
  </r>
  <r>
    <s v="TX501330"/>
    <x v="16"/>
    <x v="1"/>
    <n v="88.7"/>
    <n v="177.4"/>
    <x v="50"/>
    <d v="2025-02-21T00:00:00"/>
    <x v="0"/>
    <x v="3"/>
    <x v="2"/>
    <x v="0"/>
    <x v="3"/>
    <x v="3"/>
    <x v="7"/>
    <x v="0"/>
  </r>
  <r>
    <s v="TX501331"/>
    <x v="4"/>
    <x v="1"/>
    <n v="21.3"/>
    <n v="42.6"/>
    <x v="50"/>
    <d v="2025-02-21T00:00:00"/>
    <x v="1"/>
    <x v="0"/>
    <x v="0"/>
    <x v="0"/>
    <x v="3"/>
    <x v="3"/>
    <x v="7"/>
    <x v="1"/>
  </r>
  <r>
    <s v="TX501332"/>
    <x v="4"/>
    <x v="13"/>
    <n v="50.6"/>
    <n v="303.60000000000002"/>
    <x v="50"/>
    <d v="2025-02-24T00:00:00"/>
    <x v="2"/>
    <x v="2"/>
    <x v="0"/>
    <x v="0"/>
    <x v="3"/>
    <x v="5"/>
    <x v="7"/>
    <x v="2"/>
  </r>
  <r>
    <s v="TX501333"/>
    <x v="9"/>
    <x v="38"/>
    <n v="86.9"/>
    <n v="1824.9"/>
    <x v="50"/>
    <d v="2025-02-23T00:00:00"/>
    <x v="2"/>
    <x v="0"/>
    <x v="1"/>
    <x v="0"/>
    <x v="3"/>
    <x v="2"/>
    <x v="7"/>
    <x v="2"/>
  </r>
  <r>
    <s v="TX501334"/>
    <x v="11"/>
    <x v="2"/>
    <n v="31.8"/>
    <n v="95.4"/>
    <x v="50"/>
    <d v="2025-02-22T00:00:00"/>
    <x v="1"/>
    <x v="0"/>
    <x v="2"/>
    <x v="0"/>
    <x v="3"/>
    <x v="1"/>
    <x v="7"/>
    <x v="1"/>
  </r>
  <r>
    <s v="TX501335"/>
    <x v="8"/>
    <x v="0"/>
    <n v="19"/>
    <n v="19"/>
    <x v="50"/>
    <d v="2025-02-21T00:00:00"/>
    <x v="2"/>
    <x v="0"/>
    <x v="2"/>
    <x v="0"/>
    <x v="3"/>
    <x v="3"/>
    <x v="7"/>
    <x v="2"/>
  </r>
  <r>
    <s v="TX501336"/>
    <x v="5"/>
    <x v="0"/>
    <n v="54.5"/>
    <n v="54.5"/>
    <x v="50"/>
    <d v="2025-02-22T00:00:00"/>
    <x v="1"/>
    <x v="0"/>
    <x v="0"/>
    <x v="0"/>
    <x v="3"/>
    <x v="1"/>
    <x v="7"/>
    <x v="1"/>
  </r>
  <r>
    <s v="TX501337"/>
    <x v="9"/>
    <x v="9"/>
    <n v="68.900000000000006"/>
    <n v="344.5"/>
    <x v="50"/>
    <d v="2025-02-22T00:00:00"/>
    <x v="1"/>
    <x v="4"/>
    <x v="1"/>
    <x v="0"/>
    <x v="3"/>
    <x v="1"/>
    <x v="7"/>
    <x v="1"/>
  </r>
  <r>
    <s v="TX501338"/>
    <x v="6"/>
    <x v="2"/>
    <n v="84"/>
    <n v="252"/>
    <x v="50"/>
    <d v="2025-02-21T00:00:00"/>
    <x v="1"/>
    <x v="1"/>
    <x v="4"/>
    <x v="0"/>
    <x v="16"/>
    <x v="3"/>
    <x v="7"/>
    <x v="1"/>
  </r>
  <r>
    <s v="TX501339"/>
    <x v="15"/>
    <x v="8"/>
    <n v="23.1"/>
    <n v="184.8"/>
    <x v="50"/>
    <d v="2025-02-25T00:00:00"/>
    <x v="1"/>
    <x v="0"/>
    <x v="2"/>
    <x v="0"/>
    <x v="23"/>
    <x v="0"/>
    <x v="7"/>
    <x v="1"/>
  </r>
  <r>
    <s v="TX501340"/>
    <x v="7"/>
    <x v="1"/>
    <n v="62.4"/>
    <n v="124.8"/>
    <x v="50"/>
    <d v="2025-02-21T00:00:00"/>
    <x v="2"/>
    <x v="0"/>
    <x v="1"/>
    <x v="0"/>
    <x v="6"/>
    <x v="3"/>
    <x v="7"/>
    <x v="2"/>
  </r>
  <r>
    <s v="TX501341"/>
    <x v="6"/>
    <x v="4"/>
    <n v="40.700000000000003"/>
    <n v="488.40000000000003"/>
    <x v="50"/>
    <d v="2025-02-22T00:00:00"/>
    <x v="1"/>
    <x v="1"/>
    <x v="2"/>
    <x v="0"/>
    <x v="6"/>
    <x v="1"/>
    <x v="7"/>
    <x v="1"/>
  </r>
  <r>
    <s v="TX501342"/>
    <x v="6"/>
    <x v="0"/>
    <n v="49.6"/>
    <n v="49.6"/>
    <x v="50"/>
    <d v="2025-02-23T00:00:00"/>
    <x v="1"/>
    <x v="2"/>
    <x v="0"/>
    <x v="0"/>
    <x v="7"/>
    <x v="2"/>
    <x v="7"/>
    <x v="1"/>
  </r>
  <r>
    <s v="TX501343"/>
    <x v="7"/>
    <x v="41"/>
    <n v="66.599999999999994"/>
    <n v="2996.9999999999995"/>
    <x v="50"/>
    <d v="2025-02-23T00:00:00"/>
    <x v="1"/>
    <x v="2"/>
    <x v="0"/>
    <x v="0"/>
    <x v="8"/>
    <x v="2"/>
    <x v="7"/>
    <x v="1"/>
  </r>
  <r>
    <s v="TX501344"/>
    <x v="8"/>
    <x v="2"/>
    <n v="26.4"/>
    <n v="79.199999999999989"/>
    <x v="50"/>
    <d v="2025-02-21T00:00:00"/>
    <x v="2"/>
    <x v="1"/>
    <x v="1"/>
    <x v="0"/>
    <x v="8"/>
    <x v="3"/>
    <x v="7"/>
    <x v="2"/>
  </r>
  <r>
    <s v="TX501345"/>
    <x v="0"/>
    <x v="1"/>
    <n v="17.2"/>
    <n v="34.4"/>
    <x v="50"/>
    <d v="2025-02-23T00:00:00"/>
    <x v="1"/>
    <x v="2"/>
    <x v="1"/>
    <x v="0"/>
    <x v="8"/>
    <x v="2"/>
    <x v="7"/>
    <x v="1"/>
  </r>
  <r>
    <s v="TX501346"/>
    <x v="5"/>
    <x v="8"/>
    <n v="58.1"/>
    <n v="464.8"/>
    <x v="50"/>
    <d v="2025-02-23T00:00:00"/>
    <x v="2"/>
    <x v="4"/>
    <x v="0"/>
    <x v="0"/>
    <x v="8"/>
    <x v="2"/>
    <x v="7"/>
    <x v="2"/>
  </r>
  <r>
    <s v="TX501347"/>
    <x v="15"/>
    <x v="12"/>
    <n v="31.5"/>
    <n v="126"/>
    <x v="50"/>
    <d v="2025-02-23T00:00:00"/>
    <x v="2"/>
    <x v="4"/>
    <x v="4"/>
    <x v="0"/>
    <x v="8"/>
    <x v="2"/>
    <x v="7"/>
    <x v="2"/>
  </r>
  <r>
    <s v="TX501348"/>
    <x v="0"/>
    <x v="0"/>
    <n v="27.1"/>
    <n v="27.1"/>
    <x v="50"/>
    <d v="2025-02-22T00:00:00"/>
    <x v="2"/>
    <x v="0"/>
    <x v="1"/>
    <x v="0"/>
    <x v="17"/>
    <x v="1"/>
    <x v="7"/>
    <x v="2"/>
  </r>
  <r>
    <s v="TX501349"/>
    <x v="18"/>
    <x v="12"/>
    <n v="28.5"/>
    <n v="114"/>
    <x v="50"/>
    <d v="2025-02-22T00:00:00"/>
    <x v="1"/>
    <x v="1"/>
    <x v="2"/>
    <x v="0"/>
    <x v="9"/>
    <x v="1"/>
    <x v="7"/>
    <x v="1"/>
  </r>
  <r>
    <s v="TX501350"/>
    <x v="10"/>
    <x v="0"/>
    <n v="40.5"/>
    <n v="40.5"/>
    <x v="51"/>
    <d v="2025-02-23T00:00:00"/>
    <x v="3"/>
    <x v="2"/>
    <x v="0"/>
    <x v="0"/>
    <x v="9"/>
    <x v="1"/>
    <x v="7"/>
    <x v="3"/>
  </r>
  <r>
    <s v="TX501351"/>
    <x v="2"/>
    <x v="2"/>
    <n v="77.900000000000006"/>
    <n v="233.70000000000002"/>
    <x v="51"/>
    <d v="2025-02-25T00:00:00"/>
    <x v="2"/>
    <x v="1"/>
    <x v="2"/>
    <x v="0"/>
    <x v="19"/>
    <x v="5"/>
    <x v="7"/>
    <x v="2"/>
  </r>
  <r>
    <s v="TX501352"/>
    <x v="18"/>
    <x v="12"/>
    <n v="37.1"/>
    <n v="148.4"/>
    <x v="51"/>
    <d v="2025-02-23T00:00:00"/>
    <x v="1"/>
    <x v="4"/>
    <x v="2"/>
    <x v="0"/>
    <x v="19"/>
    <x v="1"/>
    <x v="7"/>
    <x v="1"/>
  </r>
  <r>
    <s v="TX501353"/>
    <x v="16"/>
    <x v="2"/>
    <n v="51.6"/>
    <n v="154.80000000000001"/>
    <x v="51"/>
    <d v="2025-03-01T00:00:00"/>
    <x v="2"/>
    <x v="0"/>
    <x v="4"/>
    <x v="0"/>
    <x v="19"/>
    <x v="9"/>
    <x v="7"/>
    <x v="2"/>
  </r>
  <r>
    <s v="TX501354"/>
    <x v="7"/>
    <x v="2"/>
    <n v="98"/>
    <n v="294"/>
    <x v="51"/>
    <d v="2025-02-22T00:00:00"/>
    <x v="1"/>
    <x v="1"/>
    <x v="1"/>
    <x v="0"/>
    <x v="19"/>
    <x v="3"/>
    <x v="7"/>
    <x v="1"/>
  </r>
  <r>
    <s v="TX501355"/>
    <x v="6"/>
    <x v="3"/>
    <n v="41.4"/>
    <n v="289.8"/>
    <x v="51"/>
    <d v="2025-02-22T00:00:00"/>
    <x v="1"/>
    <x v="1"/>
    <x v="0"/>
    <x v="0"/>
    <x v="20"/>
    <x v="3"/>
    <x v="7"/>
    <x v="1"/>
  </r>
  <r>
    <s v="TX501356"/>
    <x v="11"/>
    <x v="8"/>
    <n v="34"/>
    <n v="272"/>
    <x v="51"/>
    <d v="2025-02-26T00:00:00"/>
    <x v="2"/>
    <x v="0"/>
    <x v="2"/>
    <x v="0"/>
    <x v="52"/>
    <x v="0"/>
    <x v="7"/>
    <x v="2"/>
  </r>
  <r>
    <s v="TX501357"/>
    <x v="6"/>
    <x v="0"/>
    <n v="66.3"/>
    <n v="66.3"/>
    <x v="51"/>
    <d v="2025-02-22T00:00:00"/>
    <x v="2"/>
    <x v="1"/>
    <x v="0"/>
    <x v="0"/>
    <x v="13"/>
    <x v="3"/>
    <x v="7"/>
    <x v="2"/>
  </r>
  <r>
    <s v="TX501358"/>
    <x v="7"/>
    <x v="0"/>
    <n v="33.5"/>
    <n v="33.5"/>
    <x v="51"/>
    <d v="2025-02-25T00:00:00"/>
    <x v="1"/>
    <x v="2"/>
    <x v="0"/>
    <x v="0"/>
    <x v="13"/>
    <x v="5"/>
    <x v="7"/>
    <x v="1"/>
  </r>
  <r>
    <s v="TX501359"/>
    <x v="12"/>
    <x v="1"/>
    <n v="70.8"/>
    <n v="141.6"/>
    <x v="51"/>
    <d v="2025-02-22T00:00:00"/>
    <x v="0"/>
    <x v="0"/>
    <x v="0"/>
    <x v="0"/>
    <x v="28"/>
    <x v="3"/>
    <x v="7"/>
    <x v="0"/>
  </r>
  <r>
    <s v="TX501360"/>
    <x v="6"/>
    <x v="1"/>
    <n v="127.6"/>
    <n v="255.2"/>
    <x v="51"/>
    <d v="2025-02-22T00:00:00"/>
    <x v="1"/>
    <x v="0"/>
    <x v="0"/>
    <x v="0"/>
    <x v="21"/>
    <x v="3"/>
    <x v="7"/>
    <x v="1"/>
  </r>
  <r>
    <s v="TX501361"/>
    <x v="6"/>
    <x v="2"/>
    <n v="95.9"/>
    <n v="287.70000000000005"/>
    <x v="51"/>
    <d v="2025-02-22T00:00:00"/>
    <x v="2"/>
    <x v="1"/>
    <x v="1"/>
    <x v="0"/>
    <x v="21"/>
    <x v="3"/>
    <x v="7"/>
    <x v="2"/>
  </r>
  <r>
    <s v="TX501362"/>
    <x v="2"/>
    <x v="1"/>
    <n v="78.099999999999994"/>
    <n v="156.19999999999999"/>
    <x v="51"/>
    <d v="2025-02-22T00:00:00"/>
    <x v="1"/>
    <x v="0"/>
    <x v="0"/>
    <x v="0"/>
    <x v="1"/>
    <x v="3"/>
    <x v="7"/>
    <x v="1"/>
  </r>
  <r>
    <s v="TX501363"/>
    <x v="13"/>
    <x v="1"/>
    <n v="43.2"/>
    <n v="86.4"/>
    <x v="51"/>
    <d v="2025-02-22T00:00:00"/>
    <x v="0"/>
    <x v="1"/>
    <x v="1"/>
    <x v="0"/>
    <x v="1"/>
    <x v="3"/>
    <x v="7"/>
    <x v="0"/>
  </r>
  <r>
    <s v="TX501364"/>
    <x v="8"/>
    <x v="12"/>
    <n v="28.4"/>
    <n v="113.6"/>
    <x v="51"/>
    <d v="2025-02-27T00:00:00"/>
    <x v="1"/>
    <x v="2"/>
    <x v="0"/>
    <x v="0"/>
    <x v="3"/>
    <x v="4"/>
    <x v="7"/>
    <x v="1"/>
  </r>
  <r>
    <s v="TX501365"/>
    <x v="2"/>
    <x v="1"/>
    <n v="81.7"/>
    <n v="163.4"/>
    <x v="51"/>
    <d v="2025-02-21T00:00:00"/>
    <x v="1"/>
    <x v="0"/>
    <x v="0"/>
    <x v="0"/>
    <x v="3"/>
    <x v="7"/>
    <x v="7"/>
    <x v="1"/>
  </r>
  <r>
    <s v="TX501366"/>
    <x v="18"/>
    <x v="1"/>
    <n v="56.7"/>
    <n v="113.4"/>
    <x v="51"/>
    <d v="2025-02-23T00:00:00"/>
    <x v="0"/>
    <x v="0"/>
    <x v="2"/>
    <x v="0"/>
    <x v="3"/>
    <x v="1"/>
    <x v="7"/>
    <x v="0"/>
  </r>
  <r>
    <s v="TX501367"/>
    <x v="3"/>
    <x v="12"/>
    <n v="66.5"/>
    <n v="266"/>
    <x v="51"/>
    <d v="2025-02-21T00:00:00"/>
    <x v="2"/>
    <x v="0"/>
    <x v="2"/>
    <x v="0"/>
    <x v="3"/>
    <x v="7"/>
    <x v="7"/>
    <x v="2"/>
  </r>
  <r>
    <s v="TX501368"/>
    <x v="1"/>
    <x v="1"/>
    <n v="105.3"/>
    <n v="210.6"/>
    <x v="51"/>
    <d v="2025-02-25T00:00:00"/>
    <x v="1"/>
    <x v="0"/>
    <x v="1"/>
    <x v="0"/>
    <x v="3"/>
    <x v="5"/>
    <x v="7"/>
    <x v="1"/>
  </r>
  <r>
    <s v="TX501369"/>
    <x v="10"/>
    <x v="9"/>
    <n v="33.799999999999997"/>
    <n v="169"/>
    <x v="51"/>
    <d v="2025-02-26T00:00:00"/>
    <x v="1"/>
    <x v="0"/>
    <x v="0"/>
    <x v="0"/>
    <x v="3"/>
    <x v="0"/>
    <x v="7"/>
    <x v="1"/>
  </r>
  <r>
    <s v="TX501370"/>
    <x v="6"/>
    <x v="2"/>
    <n v="63.4"/>
    <n v="190.2"/>
    <x v="51"/>
    <d v="2025-02-26T00:00:00"/>
    <x v="1"/>
    <x v="3"/>
    <x v="1"/>
    <x v="0"/>
    <x v="24"/>
    <x v="0"/>
    <x v="7"/>
    <x v="1"/>
  </r>
  <r>
    <s v="TX501371"/>
    <x v="6"/>
    <x v="2"/>
    <n v="49"/>
    <n v="147"/>
    <x v="51"/>
    <d v="2025-02-25T00:00:00"/>
    <x v="1"/>
    <x v="3"/>
    <x v="0"/>
    <x v="0"/>
    <x v="49"/>
    <x v="5"/>
    <x v="7"/>
    <x v="1"/>
  </r>
  <r>
    <s v="TX501372"/>
    <x v="1"/>
    <x v="1"/>
    <n v="40"/>
    <n v="80"/>
    <x v="51"/>
    <d v="2025-02-22T00:00:00"/>
    <x v="2"/>
    <x v="4"/>
    <x v="1"/>
    <x v="0"/>
    <x v="23"/>
    <x v="3"/>
    <x v="7"/>
    <x v="2"/>
  </r>
  <r>
    <s v="TX501373"/>
    <x v="6"/>
    <x v="12"/>
    <n v="86.3"/>
    <n v="345.2"/>
    <x v="51"/>
    <d v="2025-02-22T00:00:00"/>
    <x v="3"/>
    <x v="0"/>
    <x v="0"/>
    <x v="0"/>
    <x v="6"/>
    <x v="3"/>
    <x v="7"/>
    <x v="3"/>
  </r>
  <r>
    <s v="TX501374"/>
    <x v="6"/>
    <x v="0"/>
    <n v="51.6"/>
    <n v="51.6"/>
    <x v="51"/>
    <d v="2025-02-23T00:00:00"/>
    <x v="2"/>
    <x v="2"/>
    <x v="2"/>
    <x v="0"/>
    <x v="6"/>
    <x v="1"/>
    <x v="7"/>
    <x v="2"/>
  </r>
  <r>
    <s v="TX501375"/>
    <x v="10"/>
    <x v="2"/>
    <n v="26.7"/>
    <n v="80.099999999999994"/>
    <x v="51"/>
    <d v="2025-02-26T00:00:00"/>
    <x v="2"/>
    <x v="2"/>
    <x v="1"/>
    <x v="0"/>
    <x v="6"/>
    <x v="0"/>
    <x v="7"/>
    <x v="2"/>
  </r>
  <r>
    <s v="TX501376"/>
    <x v="18"/>
    <x v="1"/>
    <n v="68.099999999999994"/>
    <n v="136.19999999999999"/>
    <x v="51"/>
    <d v="2025-02-22T00:00:00"/>
    <x v="1"/>
    <x v="0"/>
    <x v="1"/>
    <x v="0"/>
    <x v="6"/>
    <x v="3"/>
    <x v="7"/>
    <x v="1"/>
  </r>
  <r>
    <s v="TX501377"/>
    <x v="1"/>
    <x v="0"/>
    <n v="81.7"/>
    <n v="81.7"/>
    <x v="51"/>
    <d v="2025-02-22T00:00:00"/>
    <x v="1"/>
    <x v="0"/>
    <x v="0"/>
    <x v="0"/>
    <x v="7"/>
    <x v="3"/>
    <x v="7"/>
    <x v="1"/>
  </r>
  <r>
    <s v="TX501378"/>
    <x v="18"/>
    <x v="7"/>
    <n v="25.1"/>
    <n v="251"/>
    <x v="51"/>
    <d v="2025-02-24T00:00:00"/>
    <x v="1"/>
    <x v="3"/>
    <x v="1"/>
    <x v="0"/>
    <x v="8"/>
    <x v="2"/>
    <x v="7"/>
    <x v="1"/>
  </r>
  <r>
    <s v="TX501379"/>
    <x v="8"/>
    <x v="0"/>
    <n v="20.2"/>
    <n v="20.2"/>
    <x v="51"/>
    <d v="2025-02-25T00:00:00"/>
    <x v="2"/>
    <x v="0"/>
    <x v="0"/>
    <x v="0"/>
    <x v="8"/>
    <x v="5"/>
    <x v="7"/>
    <x v="2"/>
  </r>
  <r>
    <s v="TX501380"/>
    <x v="8"/>
    <x v="2"/>
    <n v="15.4"/>
    <n v="46.2"/>
    <x v="51"/>
    <d v="2025-02-22T00:00:00"/>
    <x v="1"/>
    <x v="1"/>
    <x v="2"/>
    <x v="0"/>
    <x v="8"/>
    <x v="3"/>
    <x v="7"/>
    <x v="1"/>
  </r>
  <r>
    <s v="TX501381"/>
    <x v="10"/>
    <x v="0"/>
    <n v="59.2"/>
    <n v="59.2"/>
    <x v="51"/>
    <d v="2025-02-22T00:00:00"/>
    <x v="1"/>
    <x v="2"/>
    <x v="2"/>
    <x v="0"/>
    <x v="17"/>
    <x v="3"/>
    <x v="7"/>
    <x v="1"/>
  </r>
  <r>
    <s v="TX501382"/>
    <x v="0"/>
    <x v="0"/>
    <n v="46.7"/>
    <n v="46.7"/>
    <x v="51"/>
    <d v="2025-02-26T00:00:00"/>
    <x v="1"/>
    <x v="0"/>
    <x v="0"/>
    <x v="0"/>
    <x v="17"/>
    <x v="0"/>
    <x v="7"/>
    <x v="1"/>
  </r>
  <r>
    <s v="TX501383"/>
    <x v="6"/>
    <x v="20"/>
    <n v="41.6"/>
    <n v="624"/>
    <x v="51"/>
    <d v="2025-02-23T00:00:00"/>
    <x v="1"/>
    <x v="1"/>
    <x v="0"/>
    <x v="0"/>
    <x v="26"/>
    <x v="1"/>
    <x v="7"/>
    <x v="1"/>
  </r>
  <r>
    <s v="TX501384"/>
    <x v="8"/>
    <x v="1"/>
    <n v="19.2"/>
    <n v="38.4"/>
    <x v="51"/>
    <d v="2025-02-24T00:00:00"/>
    <x v="1"/>
    <x v="4"/>
    <x v="2"/>
    <x v="0"/>
    <x v="9"/>
    <x v="2"/>
    <x v="7"/>
    <x v="1"/>
  </r>
  <r>
    <s v="TX501385"/>
    <x v="17"/>
    <x v="3"/>
    <n v="41.8"/>
    <n v="292.59999999999997"/>
    <x v="51"/>
    <d v="2025-02-23T00:00:00"/>
    <x v="2"/>
    <x v="2"/>
    <x v="0"/>
    <x v="0"/>
    <x v="11"/>
    <x v="1"/>
    <x v="7"/>
    <x v="2"/>
  </r>
  <r>
    <s v="TX501386"/>
    <x v="8"/>
    <x v="13"/>
    <n v="37.4"/>
    <n v="224.39999999999998"/>
    <x v="51"/>
    <d v="2025-02-23T00:00:00"/>
    <x v="1"/>
    <x v="0"/>
    <x v="2"/>
    <x v="0"/>
    <x v="11"/>
    <x v="1"/>
    <x v="7"/>
    <x v="1"/>
  </r>
  <r>
    <s v="TX501387"/>
    <x v="10"/>
    <x v="2"/>
    <n v="60.2"/>
    <n v="180.60000000000002"/>
    <x v="51"/>
    <d v="2025-02-24T00:00:00"/>
    <x v="1"/>
    <x v="4"/>
    <x v="1"/>
    <x v="0"/>
    <x v="38"/>
    <x v="2"/>
    <x v="7"/>
    <x v="1"/>
  </r>
  <r>
    <s v="TX501388"/>
    <x v="9"/>
    <x v="1"/>
    <n v="91.5"/>
    <n v="183"/>
    <x v="52"/>
    <d v="2025-02-23T00:00:00"/>
    <x v="1"/>
    <x v="0"/>
    <x v="0"/>
    <x v="0"/>
    <x v="13"/>
    <x v="3"/>
    <x v="7"/>
    <x v="1"/>
  </r>
  <r>
    <s v="TX501389"/>
    <x v="3"/>
    <x v="9"/>
    <n v="55.7"/>
    <n v="278.5"/>
    <x v="52"/>
    <d v="2025-02-24T00:00:00"/>
    <x v="0"/>
    <x v="1"/>
    <x v="2"/>
    <x v="0"/>
    <x v="21"/>
    <x v="1"/>
    <x v="7"/>
    <x v="0"/>
  </r>
  <r>
    <s v="TX501390"/>
    <x v="7"/>
    <x v="1"/>
    <n v="76.7"/>
    <n v="153.4"/>
    <x v="52"/>
    <d v="2025-02-24T00:00:00"/>
    <x v="1"/>
    <x v="0"/>
    <x v="1"/>
    <x v="0"/>
    <x v="21"/>
    <x v="1"/>
    <x v="7"/>
    <x v="1"/>
  </r>
  <r>
    <s v="TX501391"/>
    <x v="8"/>
    <x v="38"/>
    <n v="28.2"/>
    <n v="592.19999999999993"/>
    <x v="52"/>
    <d v="2025-02-27T00:00:00"/>
    <x v="1"/>
    <x v="2"/>
    <x v="0"/>
    <x v="0"/>
    <x v="1"/>
    <x v="0"/>
    <x v="7"/>
    <x v="1"/>
  </r>
  <r>
    <s v="TX501392"/>
    <x v="7"/>
    <x v="9"/>
    <n v="93.2"/>
    <n v="466"/>
    <x v="52"/>
    <d v="2025-02-24T00:00:00"/>
    <x v="2"/>
    <x v="4"/>
    <x v="2"/>
    <x v="0"/>
    <x v="1"/>
    <x v="1"/>
    <x v="7"/>
    <x v="2"/>
  </r>
  <r>
    <s v="TX501393"/>
    <x v="17"/>
    <x v="0"/>
    <n v="33.299999999999997"/>
    <n v="33.299999999999997"/>
    <x v="52"/>
    <d v="2025-02-23T00:00:00"/>
    <x v="1"/>
    <x v="4"/>
    <x v="0"/>
    <x v="0"/>
    <x v="2"/>
    <x v="3"/>
    <x v="7"/>
    <x v="1"/>
  </r>
  <r>
    <s v="TX501394"/>
    <x v="10"/>
    <x v="1"/>
    <n v="39.1"/>
    <n v="78.2"/>
    <x v="52"/>
    <d v="2025-02-25T00:00:00"/>
    <x v="1"/>
    <x v="0"/>
    <x v="0"/>
    <x v="0"/>
    <x v="44"/>
    <x v="2"/>
    <x v="7"/>
    <x v="1"/>
  </r>
  <r>
    <s v="TX501395"/>
    <x v="7"/>
    <x v="4"/>
    <n v="45.3"/>
    <n v="543.59999999999991"/>
    <x v="52"/>
    <d v="2025-02-23T00:00:00"/>
    <x v="1"/>
    <x v="2"/>
    <x v="0"/>
    <x v="0"/>
    <x v="33"/>
    <x v="3"/>
    <x v="7"/>
    <x v="1"/>
  </r>
  <r>
    <s v="TX501396"/>
    <x v="9"/>
    <x v="3"/>
    <n v="33.9"/>
    <n v="237.29999999999998"/>
    <x v="52"/>
    <d v="2025-02-23T00:00:00"/>
    <x v="1"/>
    <x v="4"/>
    <x v="0"/>
    <x v="0"/>
    <x v="33"/>
    <x v="3"/>
    <x v="7"/>
    <x v="1"/>
  </r>
  <r>
    <s v="TX501397"/>
    <x v="8"/>
    <x v="2"/>
    <n v="19"/>
    <n v="57"/>
    <x v="52"/>
    <d v="2025-02-23T00:00:00"/>
    <x v="1"/>
    <x v="0"/>
    <x v="2"/>
    <x v="0"/>
    <x v="15"/>
    <x v="3"/>
    <x v="7"/>
    <x v="1"/>
  </r>
  <r>
    <s v="TX501398"/>
    <x v="4"/>
    <x v="0"/>
    <n v="41.9"/>
    <n v="41.9"/>
    <x v="52"/>
    <d v="2025-02-25T00:00:00"/>
    <x v="2"/>
    <x v="2"/>
    <x v="0"/>
    <x v="0"/>
    <x v="22"/>
    <x v="2"/>
    <x v="7"/>
    <x v="2"/>
  </r>
  <r>
    <s v="TX501399"/>
    <x v="1"/>
    <x v="12"/>
    <n v="37.5"/>
    <n v="150"/>
    <x v="52"/>
    <d v="2025-02-22T00:00:00"/>
    <x v="2"/>
    <x v="0"/>
    <x v="0"/>
    <x v="0"/>
    <x v="3"/>
    <x v="7"/>
    <x v="7"/>
    <x v="2"/>
  </r>
  <r>
    <s v="TX501400"/>
    <x v="0"/>
    <x v="1"/>
    <n v="40.799999999999997"/>
    <n v="81.599999999999994"/>
    <x v="52"/>
    <d v="2025-02-25T00:00:00"/>
    <x v="1"/>
    <x v="0"/>
    <x v="0"/>
    <x v="0"/>
    <x v="3"/>
    <x v="2"/>
    <x v="7"/>
    <x v="1"/>
  </r>
  <r>
    <s v="TX501401"/>
    <x v="0"/>
    <x v="12"/>
    <n v="23.1"/>
    <n v="92.4"/>
    <x v="52"/>
    <d v="2025-02-23T00:00:00"/>
    <x v="2"/>
    <x v="4"/>
    <x v="0"/>
    <x v="0"/>
    <x v="3"/>
    <x v="3"/>
    <x v="7"/>
    <x v="2"/>
  </r>
  <r>
    <s v="TX501402"/>
    <x v="8"/>
    <x v="9"/>
    <n v="39.299999999999997"/>
    <n v="196.5"/>
    <x v="52"/>
    <d v="2025-02-23T00:00:00"/>
    <x v="2"/>
    <x v="0"/>
    <x v="0"/>
    <x v="0"/>
    <x v="3"/>
    <x v="3"/>
    <x v="7"/>
    <x v="2"/>
  </r>
  <r>
    <s v="TX501403"/>
    <x v="2"/>
    <x v="12"/>
    <n v="85.2"/>
    <n v="340.8"/>
    <x v="52"/>
    <d v="2025-02-27T00:00:00"/>
    <x v="1"/>
    <x v="2"/>
    <x v="0"/>
    <x v="0"/>
    <x v="3"/>
    <x v="0"/>
    <x v="7"/>
    <x v="1"/>
  </r>
  <r>
    <s v="TX501404"/>
    <x v="8"/>
    <x v="13"/>
    <n v="16"/>
    <n v="96"/>
    <x v="52"/>
    <d v="2025-02-25T00:00:00"/>
    <x v="1"/>
    <x v="1"/>
    <x v="0"/>
    <x v="0"/>
    <x v="3"/>
    <x v="2"/>
    <x v="7"/>
    <x v="1"/>
  </r>
  <r>
    <s v="TX501405"/>
    <x v="1"/>
    <x v="1"/>
    <n v="33.799999999999997"/>
    <n v="67.599999999999994"/>
    <x v="52"/>
    <d v="2025-02-26T00:00:00"/>
    <x v="2"/>
    <x v="1"/>
    <x v="0"/>
    <x v="0"/>
    <x v="3"/>
    <x v="5"/>
    <x v="7"/>
    <x v="2"/>
  </r>
  <r>
    <s v="TX501406"/>
    <x v="3"/>
    <x v="0"/>
    <n v="70"/>
    <n v="70"/>
    <x v="52"/>
    <d v="2025-02-23T00:00:00"/>
    <x v="2"/>
    <x v="0"/>
    <x v="0"/>
    <x v="0"/>
    <x v="3"/>
    <x v="3"/>
    <x v="7"/>
    <x v="2"/>
  </r>
  <r>
    <s v="TX501407"/>
    <x v="9"/>
    <x v="0"/>
    <n v="88"/>
    <n v="88"/>
    <x v="52"/>
    <d v="2025-02-27T00:00:00"/>
    <x v="2"/>
    <x v="3"/>
    <x v="0"/>
    <x v="0"/>
    <x v="3"/>
    <x v="0"/>
    <x v="7"/>
    <x v="2"/>
  </r>
  <r>
    <s v="TX501408"/>
    <x v="2"/>
    <x v="2"/>
    <n v="74.099999999999994"/>
    <n v="222.29999999999998"/>
    <x v="52"/>
    <d v="2025-02-22T00:00:00"/>
    <x v="1"/>
    <x v="4"/>
    <x v="1"/>
    <x v="0"/>
    <x v="3"/>
    <x v="7"/>
    <x v="7"/>
    <x v="1"/>
  </r>
  <r>
    <s v="TX501409"/>
    <x v="2"/>
    <x v="0"/>
    <n v="161.9"/>
    <n v="161.9"/>
    <x v="52"/>
    <d v="2025-02-24T00:00:00"/>
    <x v="1"/>
    <x v="2"/>
    <x v="0"/>
    <x v="0"/>
    <x v="3"/>
    <x v="1"/>
    <x v="7"/>
    <x v="1"/>
  </r>
  <r>
    <s v="TX501410"/>
    <x v="4"/>
    <x v="1"/>
    <n v="44"/>
    <n v="88"/>
    <x v="52"/>
    <d v="2025-02-23T00:00:00"/>
    <x v="3"/>
    <x v="4"/>
    <x v="1"/>
    <x v="0"/>
    <x v="3"/>
    <x v="3"/>
    <x v="7"/>
    <x v="3"/>
  </r>
  <r>
    <s v="TX501411"/>
    <x v="11"/>
    <x v="0"/>
    <n v="32.1"/>
    <n v="32.1"/>
    <x v="52"/>
    <d v="2025-02-22T00:00:00"/>
    <x v="2"/>
    <x v="3"/>
    <x v="3"/>
    <x v="0"/>
    <x v="3"/>
    <x v="7"/>
    <x v="7"/>
    <x v="2"/>
  </r>
  <r>
    <s v="TX501412"/>
    <x v="2"/>
    <x v="12"/>
    <n v="104.8"/>
    <n v="419.2"/>
    <x v="53"/>
    <d v="2025-02-25T00:00:00"/>
    <x v="3"/>
    <x v="0"/>
    <x v="0"/>
    <x v="0"/>
    <x v="3"/>
    <x v="1"/>
    <x v="8"/>
    <x v="3"/>
  </r>
  <r>
    <s v="TX501413"/>
    <x v="9"/>
    <x v="13"/>
    <n v="67.400000000000006"/>
    <n v="404.40000000000003"/>
    <x v="53"/>
    <d v="2025-02-24T00:00:00"/>
    <x v="2"/>
    <x v="3"/>
    <x v="0"/>
    <x v="0"/>
    <x v="3"/>
    <x v="3"/>
    <x v="8"/>
    <x v="2"/>
  </r>
  <r>
    <s v="TX501414"/>
    <x v="6"/>
    <x v="1"/>
    <n v="115.2"/>
    <n v="230.4"/>
    <x v="53"/>
    <d v="2025-02-24T00:00:00"/>
    <x v="2"/>
    <x v="1"/>
    <x v="0"/>
    <x v="0"/>
    <x v="4"/>
    <x v="3"/>
    <x v="8"/>
    <x v="2"/>
  </r>
  <r>
    <s v="TX501415"/>
    <x v="8"/>
    <x v="19"/>
    <n v="15.5"/>
    <n v="449.5"/>
    <x v="53"/>
    <d v="2025-02-25T00:00:00"/>
    <x v="2"/>
    <x v="0"/>
    <x v="1"/>
    <x v="0"/>
    <x v="23"/>
    <x v="1"/>
    <x v="8"/>
    <x v="2"/>
  </r>
  <r>
    <s v="TX501416"/>
    <x v="6"/>
    <x v="5"/>
    <n v="66.400000000000006"/>
    <n v="730.40000000000009"/>
    <x v="53"/>
    <d v="2025-02-25T00:00:00"/>
    <x v="2"/>
    <x v="0"/>
    <x v="0"/>
    <x v="0"/>
    <x v="6"/>
    <x v="1"/>
    <x v="8"/>
    <x v="2"/>
  </r>
  <r>
    <s v="TX501417"/>
    <x v="9"/>
    <x v="4"/>
    <n v="68.099999999999994"/>
    <n v="817.19999999999993"/>
    <x v="53"/>
    <d v="2025-02-24T00:00:00"/>
    <x v="2"/>
    <x v="2"/>
    <x v="0"/>
    <x v="0"/>
    <x v="8"/>
    <x v="3"/>
    <x v="8"/>
    <x v="2"/>
  </r>
  <r>
    <s v="TX501418"/>
    <x v="8"/>
    <x v="9"/>
    <n v="32.5"/>
    <n v="162.5"/>
    <x v="53"/>
    <d v="2025-02-27T00:00:00"/>
    <x v="1"/>
    <x v="2"/>
    <x v="1"/>
    <x v="0"/>
    <x v="8"/>
    <x v="5"/>
    <x v="8"/>
    <x v="1"/>
  </r>
  <r>
    <s v="TX501419"/>
    <x v="15"/>
    <x v="2"/>
    <n v="61.2"/>
    <n v="183.60000000000002"/>
    <x v="53"/>
    <d v="2025-02-25T00:00:00"/>
    <x v="2"/>
    <x v="1"/>
    <x v="1"/>
    <x v="0"/>
    <x v="8"/>
    <x v="1"/>
    <x v="8"/>
    <x v="2"/>
  </r>
  <r>
    <s v="TX501420"/>
    <x v="9"/>
    <x v="1"/>
    <n v="54.2"/>
    <n v="108.4"/>
    <x v="53"/>
    <d v="2025-02-24T00:00:00"/>
    <x v="2"/>
    <x v="1"/>
    <x v="0"/>
    <x v="0"/>
    <x v="8"/>
    <x v="3"/>
    <x v="8"/>
    <x v="2"/>
  </r>
  <r>
    <s v="TX501421"/>
    <x v="11"/>
    <x v="8"/>
    <n v="28.7"/>
    <n v="229.6"/>
    <x v="53"/>
    <d v="2025-02-25T00:00:00"/>
    <x v="1"/>
    <x v="1"/>
    <x v="0"/>
    <x v="0"/>
    <x v="9"/>
    <x v="1"/>
    <x v="8"/>
    <x v="1"/>
  </r>
  <r>
    <s v="TX501422"/>
    <x v="12"/>
    <x v="13"/>
    <n v="38.200000000000003"/>
    <n v="229.20000000000002"/>
    <x v="53"/>
    <d v="2025-02-27T00:00:00"/>
    <x v="2"/>
    <x v="0"/>
    <x v="1"/>
    <x v="0"/>
    <x v="9"/>
    <x v="5"/>
    <x v="8"/>
    <x v="2"/>
  </r>
  <r>
    <s v="TX501423"/>
    <x v="8"/>
    <x v="4"/>
    <n v="17.600000000000001"/>
    <n v="211.20000000000002"/>
    <x v="53"/>
    <d v="2025-02-24T00:00:00"/>
    <x v="2"/>
    <x v="2"/>
    <x v="1"/>
    <x v="0"/>
    <x v="9"/>
    <x v="3"/>
    <x v="8"/>
    <x v="2"/>
  </r>
  <r>
    <s v="TX501424"/>
    <x v="10"/>
    <x v="2"/>
    <n v="74.599999999999994"/>
    <n v="223.79999999999998"/>
    <x v="53"/>
    <d v="2025-02-23T00:00:00"/>
    <x v="2"/>
    <x v="2"/>
    <x v="0"/>
    <x v="0"/>
    <x v="11"/>
    <x v="7"/>
    <x v="8"/>
    <x v="2"/>
  </r>
  <r>
    <s v="TX501425"/>
    <x v="16"/>
    <x v="20"/>
    <n v="72.599999999999994"/>
    <n v="1089"/>
    <x v="53"/>
    <d v="2025-02-23T00:00:00"/>
    <x v="0"/>
    <x v="1"/>
    <x v="1"/>
    <x v="0"/>
    <x v="11"/>
    <x v="7"/>
    <x v="8"/>
    <x v="0"/>
  </r>
  <r>
    <s v="TX501426"/>
    <x v="7"/>
    <x v="0"/>
    <n v="62.3"/>
    <n v="62.3"/>
    <x v="53"/>
    <d v="2025-02-24T00:00:00"/>
    <x v="2"/>
    <x v="1"/>
    <x v="0"/>
    <x v="0"/>
    <x v="11"/>
    <x v="3"/>
    <x v="8"/>
    <x v="2"/>
  </r>
  <r>
    <s v="TX501427"/>
    <x v="3"/>
    <x v="2"/>
    <n v="33.799999999999997"/>
    <n v="101.39999999999999"/>
    <x v="53"/>
    <d v="2025-02-25T00:00:00"/>
    <x v="1"/>
    <x v="0"/>
    <x v="2"/>
    <x v="0"/>
    <x v="20"/>
    <x v="1"/>
    <x v="8"/>
    <x v="1"/>
  </r>
  <r>
    <s v="TX501428"/>
    <x v="9"/>
    <x v="0"/>
    <n v="85.7"/>
    <n v="85.7"/>
    <x v="53"/>
    <d v="2025-02-26T00:00:00"/>
    <x v="1"/>
    <x v="3"/>
    <x v="1"/>
    <x v="0"/>
    <x v="21"/>
    <x v="2"/>
    <x v="8"/>
    <x v="1"/>
  </r>
  <r>
    <s v="TX501429"/>
    <x v="6"/>
    <x v="1"/>
    <n v="92.1"/>
    <n v="184.2"/>
    <x v="53"/>
    <d v="2025-02-25T00:00:00"/>
    <x v="1"/>
    <x v="1"/>
    <x v="0"/>
    <x v="0"/>
    <x v="21"/>
    <x v="1"/>
    <x v="8"/>
    <x v="1"/>
  </r>
  <r>
    <s v="TX501430"/>
    <x v="16"/>
    <x v="2"/>
    <n v="65.099999999999994"/>
    <n v="195.29999999999998"/>
    <x v="53"/>
    <d v="2025-02-26T00:00:00"/>
    <x v="1"/>
    <x v="0"/>
    <x v="0"/>
    <x v="0"/>
    <x v="1"/>
    <x v="2"/>
    <x v="8"/>
    <x v="1"/>
  </r>
  <r>
    <s v="TX501431"/>
    <x v="9"/>
    <x v="3"/>
    <n v="20.3"/>
    <n v="142.1"/>
    <x v="53"/>
    <d v="2025-02-24T00:00:00"/>
    <x v="2"/>
    <x v="2"/>
    <x v="2"/>
    <x v="0"/>
    <x v="2"/>
    <x v="3"/>
    <x v="8"/>
    <x v="2"/>
  </r>
  <r>
    <s v="TX501432"/>
    <x v="19"/>
    <x v="1"/>
    <n v="29.8"/>
    <n v="59.6"/>
    <x v="53"/>
    <d v="2025-02-25T00:00:00"/>
    <x v="2"/>
    <x v="1"/>
    <x v="2"/>
    <x v="0"/>
    <x v="34"/>
    <x v="1"/>
    <x v="8"/>
    <x v="2"/>
  </r>
  <r>
    <s v="TX501433"/>
    <x v="0"/>
    <x v="1"/>
    <n v="24.2"/>
    <n v="48.4"/>
    <x v="53"/>
    <d v="2025-02-25T00:00:00"/>
    <x v="2"/>
    <x v="3"/>
    <x v="2"/>
    <x v="0"/>
    <x v="3"/>
    <x v="1"/>
    <x v="8"/>
    <x v="2"/>
  </r>
  <r>
    <s v="TX501434"/>
    <x v="3"/>
    <x v="0"/>
    <n v="57.3"/>
    <n v="57.3"/>
    <x v="53"/>
    <d v="2025-02-25T00:00:00"/>
    <x v="1"/>
    <x v="0"/>
    <x v="0"/>
    <x v="0"/>
    <x v="3"/>
    <x v="1"/>
    <x v="8"/>
    <x v="1"/>
  </r>
  <r>
    <s v="TX501435"/>
    <x v="2"/>
    <x v="0"/>
    <n v="108.9"/>
    <n v="108.9"/>
    <x v="53"/>
    <d v="2025-02-25T00:00:00"/>
    <x v="2"/>
    <x v="1"/>
    <x v="0"/>
    <x v="0"/>
    <x v="3"/>
    <x v="1"/>
    <x v="8"/>
    <x v="2"/>
  </r>
  <r>
    <s v="TX501436"/>
    <x v="7"/>
    <x v="9"/>
    <n v="50.7"/>
    <n v="253.5"/>
    <x v="53"/>
    <d v="2025-02-24T00:00:00"/>
    <x v="2"/>
    <x v="0"/>
    <x v="0"/>
    <x v="0"/>
    <x v="3"/>
    <x v="3"/>
    <x v="8"/>
    <x v="2"/>
  </r>
  <r>
    <s v="TX501437"/>
    <x v="7"/>
    <x v="11"/>
    <n v="66.099999999999994"/>
    <n v="594.9"/>
    <x v="53"/>
    <d v="2025-03-09T00:00:00"/>
    <x v="2"/>
    <x v="1"/>
    <x v="0"/>
    <x v="0"/>
    <x v="3"/>
    <x v="12"/>
    <x v="8"/>
    <x v="2"/>
  </r>
  <r>
    <s v="TX501438"/>
    <x v="12"/>
    <x v="9"/>
    <n v="36.700000000000003"/>
    <n v="183.5"/>
    <x v="53"/>
    <d v="2025-02-27T00:00:00"/>
    <x v="2"/>
    <x v="4"/>
    <x v="0"/>
    <x v="0"/>
    <x v="3"/>
    <x v="5"/>
    <x v="8"/>
    <x v="2"/>
  </r>
  <r>
    <s v="TX501439"/>
    <x v="8"/>
    <x v="14"/>
    <n v="19.3"/>
    <n v="328.1"/>
    <x v="53"/>
    <d v="2025-02-25T00:00:00"/>
    <x v="1"/>
    <x v="0"/>
    <x v="0"/>
    <x v="0"/>
    <x v="43"/>
    <x v="1"/>
    <x v="8"/>
    <x v="1"/>
  </r>
  <r>
    <s v="TX501440"/>
    <x v="8"/>
    <x v="12"/>
    <n v="20.7"/>
    <n v="82.8"/>
    <x v="53"/>
    <d v="2025-02-24T00:00:00"/>
    <x v="1"/>
    <x v="1"/>
    <x v="2"/>
    <x v="0"/>
    <x v="6"/>
    <x v="3"/>
    <x v="8"/>
    <x v="1"/>
  </r>
  <r>
    <s v="TX501441"/>
    <x v="5"/>
    <x v="2"/>
    <n v="54.7"/>
    <n v="164.10000000000002"/>
    <x v="53"/>
    <d v="2025-02-23T00:00:00"/>
    <x v="3"/>
    <x v="1"/>
    <x v="4"/>
    <x v="0"/>
    <x v="6"/>
    <x v="7"/>
    <x v="8"/>
    <x v="3"/>
  </r>
  <r>
    <s v="TX501442"/>
    <x v="4"/>
    <x v="1"/>
    <n v="19.8"/>
    <n v="39.6"/>
    <x v="53"/>
    <d v="2025-02-27T00:00:00"/>
    <x v="2"/>
    <x v="4"/>
    <x v="1"/>
    <x v="0"/>
    <x v="8"/>
    <x v="5"/>
    <x v="8"/>
    <x v="2"/>
  </r>
  <r>
    <s v="TX501443"/>
    <x v="7"/>
    <x v="0"/>
    <n v="41.1"/>
    <n v="41.1"/>
    <x v="53"/>
    <d v="2025-02-25T00:00:00"/>
    <x v="2"/>
    <x v="0"/>
    <x v="2"/>
    <x v="0"/>
    <x v="8"/>
    <x v="1"/>
    <x v="8"/>
    <x v="2"/>
  </r>
  <r>
    <s v="TX501444"/>
    <x v="11"/>
    <x v="8"/>
    <n v="43.5"/>
    <n v="348"/>
    <x v="53"/>
    <d v="2025-02-27T00:00:00"/>
    <x v="2"/>
    <x v="3"/>
    <x v="0"/>
    <x v="0"/>
    <x v="8"/>
    <x v="5"/>
    <x v="8"/>
    <x v="2"/>
  </r>
  <r>
    <s v="TX501445"/>
    <x v="8"/>
    <x v="21"/>
    <n v="19"/>
    <n v="266"/>
    <x v="53"/>
    <d v="2025-02-24T00:00:00"/>
    <x v="1"/>
    <x v="0"/>
    <x v="0"/>
    <x v="0"/>
    <x v="26"/>
    <x v="3"/>
    <x v="8"/>
    <x v="1"/>
  </r>
  <r>
    <s v="TX501446"/>
    <x v="2"/>
    <x v="12"/>
    <n v="51.4"/>
    <n v="205.6"/>
    <x v="53"/>
    <d v="2025-02-23T00:00:00"/>
    <x v="2"/>
    <x v="0"/>
    <x v="0"/>
    <x v="0"/>
    <x v="26"/>
    <x v="7"/>
    <x v="8"/>
    <x v="2"/>
  </r>
  <r>
    <s v="TX501447"/>
    <x v="10"/>
    <x v="1"/>
    <n v="39.799999999999997"/>
    <n v="79.599999999999994"/>
    <x v="53"/>
    <d v="2025-02-26T00:00:00"/>
    <x v="1"/>
    <x v="3"/>
    <x v="1"/>
    <x v="0"/>
    <x v="13"/>
    <x v="2"/>
    <x v="8"/>
    <x v="1"/>
  </r>
  <r>
    <s v="TX501448"/>
    <x v="6"/>
    <x v="9"/>
    <n v="61"/>
    <n v="305"/>
    <x v="53"/>
    <d v="2025-02-24T00:00:00"/>
    <x v="0"/>
    <x v="0"/>
    <x v="2"/>
    <x v="0"/>
    <x v="21"/>
    <x v="3"/>
    <x v="8"/>
    <x v="0"/>
  </r>
  <r>
    <s v="TX501449"/>
    <x v="8"/>
    <x v="5"/>
    <n v="15.1"/>
    <n v="166.1"/>
    <x v="54"/>
    <d v="2025-03-01T00:00:00"/>
    <x v="1"/>
    <x v="3"/>
    <x v="2"/>
    <x v="0"/>
    <x v="2"/>
    <x v="0"/>
    <x v="8"/>
    <x v="1"/>
  </r>
  <r>
    <s v="TX501450"/>
    <x v="1"/>
    <x v="3"/>
    <n v="71.3"/>
    <n v="499.09999999999997"/>
    <x v="54"/>
    <d v="2025-02-25T00:00:00"/>
    <x v="1"/>
    <x v="4"/>
    <x v="0"/>
    <x v="0"/>
    <x v="3"/>
    <x v="3"/>
    <x v="8"/>
    <x v="1"/>
  </r>
  <r>
    <s v="TX501451"/>
    <x v="10"/>
    <x v="0"/>
    <n v="25.8"/>
    <n v="25.8"/>
    <x v="54"/>
    <d v="2025-02-26T00:00:00"/>
    <x v="2"/>
    <x v="0"/>
    <x v="2"/>
    <x v="0"/>
    <x v="3"/>
    <x v="1"/>
    <x v="8"/>
    <x v="2"/>
  </r>
  <r>
    <s v="TX501452"/>
    <x v="8"/>
    <x v="9"/>
    <n v="39.6"/>
    <n v="198"/>
    <x v="54"/>
    <d v="2025-02-26T00:00:00"/>
    <x v="1"/>
    <x v="1"/>
    <x v="2"/>
    <x v="0"/>
    <x v="3"/>
    <x v="1"/>
    <x v="8"/>
    <x v="1"/>
  </r>
  <r>
    <s v="TX501453"/>
    <x v="5"/>
    <x v="1"/>
    <n v="64"/>
    <n v="128"/>
    <x v="54"/>
    <d v="2025-02-24T00:00:00"/>
    <x v="1"/>
    <x v="1"/>
    <x v="1"/>
    <x v="0"/>
    <x v="3"/>
    <x v="7"/>
    <x v="8"/>
    <x v="1"/>
  </r>
  <r>
    <s v="TX501454"/>
    <x v="8"/>
    <x v="1"/>
    <n v="30.6"/>
    <n v="61.2"/>
    <x v="54"/>
    <d v="2025-02-27T00:00:00"/>
    <x v="1"/>
    <x v="0"/>
    <x v="2"/>
    <x v="0"/>
    <x v="3"/>
    <x v="2"/>
    <x v="8"/>
    <x v="1"/>
  </r>
  <r>
    <s v="TX501455"/>
    <x v="8"/>
    <x v="1"/>
    <n v="21.3"/>
    <n v="42.6"/>
    <x v="54"/>
    <d v="2025-02-25T00:00:00"/>
    <x v="1"/>
    <x v="0"/>
    <x v="1"/>
    <x v="0"/>
    <x v="3"/>
    <x v="3"/>
    <x v="8"/>
    <x v="1"/>
  </r>
  <r>
    <s v="TX501456"/>
    <x v="7"/>
    <x v="0"/>
    <n v="40.799999999999997"/>
    <n v="40.799999999999997"/>
    <x v="54"/>
    <d v="2025-02-26T00:00:00"/>
    <x v="2"/>
    <x v="4"/>
    <x v="0"/>
    <x v="0"/>
    <x v="3"/>
    <x v="1"/>
    <x v="8"/>
    <x v="2"/>
  </r>
  <r>
    <s v="TX501457"/>
    <x v="9"/>
    <x v="12"/>
    <n v="27.7"/>
    <n v="110.8"/>
    <x v="54"/>
    <d v="2025-02-25T00:00:00"/>
    <x v="2"/>
    <x v="0"/>
    <x v="1"/>
    <x v="0"/>
    <x v="3"/>
    <x v="3"/>
    <x v="8"/>
    <x v="2"/>
  </r>
  <r>
    <s v="TX501458"/>
    <x v="6"/>
    <x v="1"/>
    <n v="64.599999999999994"/>
    <n v="129.19999999999999"/>
    <x v="54"/>
    <d v="2025-02-25T00:00:00"/>
    <x v="1"/>
    <x v="0"/>
    <x v="1"/>
    <x v="0"/>
    <x v="3"/>
    <x v="3"/>
    <x v="8"/>
    <x v="1"/>
  </r>
  <r>
    <s v="TX501459"/>
    <x v="6"/>
    <x v="27"/>
    <n v="91.1"/>
    <n v="1457.6"/>
    <x v="54"/>
    <d v="2025-02-25T00:00:00"/>
    <x v="2"/>
    <x v="1"/>
    <x v="2"/>
    <x v="0"/>
    <x v="3"/>
    <x v="3"/>
    <x v="8"/>
    <x v="2"/>
  </r>
  <r>
    <s v="TX501460"/>
    <x v="1"/>
    <x v="0"/>
    <n v="39.5"/>
    <n v="39.5"/>
    <x v="54"/>
    <d v="2025-03-04T00:00:00"/>
    <x v="2"/>
    <x v="0"/>
    <x v="0"/>
    <x v="0"/>
    <x v="3"/>
    <x v="9"/>
    <x v="8"/>
    <x v="2"/>
  </r>
  <r>
    <s v="TX501461"/>
    <x v="9"/>
    <x v="1"/>
    <n v="21.8"/>
    <n v="43.6"/>
    <x v="54"/>
    <d v="2025-02-28T00:00:00"/>
    <x v="1"/>
    <x v="4"/>
    <x v="2"/>
    <x v="0"/>
    <x v="3"/>
    <x v="5"/>
    <x v="8"/>
    <x v="1"/>
  </r>
  <r>
    <s v="TX501462"/>
    <x v="8"/>
    <x v="1"/>
    <n v="51"/>
    <n v="102"/>
    <x v="54"/>
    <d v="2025-02-27T00:00:00"/>
    <x v="1"/>
    <x v="3"/>
    <x v="2"/>
    <x v="0"/>
    <x v="3"/>
    <x v="2"/>
    <x v="8"/>
    <x v="1"/>
  </r>
  <r>
    <s v="TX501463"/>
    <x v="2"/>
    <x v="0"/>
    <n v="92.6"/>
    <n v="92.6"/>
    <x v="54"/>
    <d v="2025-02-27T00:00:00"/>
    <x v="2"/>
    <x v="0"/>
    <x v="2"/>
    <x v="0"/>
    <x v="35"/>
    <x v="2"/>
    <x v="8"/>
    <x v="2"/>
  </r>
  <r>
    <s v="TX501464"/>
    <x v="9"/>
    <x v="1"/>
    <n v="31.1"/>
    <n v="62.2"/>
    <x v="54"/>
    <d v="2025-03-01T00:00:00"/>
    <x v="0"/>
    <x v="1"/>
    <x v="3"/>
    <x v="0"/>
    <x v="23"/>
    <x v="0"/>
    <x v="8"/>
    <x v="0"/>
  </r>
  <r>
    <s v="TX501465"/>
    <x v="5"/>
    <x v="2"/>
    <n v="56.4"/>
    <n v="169.2"/>
    <x v="54"/>
    <d v="2025-02-25T00:00:00"/>
    <x v="0"/>
    <x v="1"/>
    <x v="0"/>
    <x v="0"/>
    <x v="6"/>
    <x v="3"/>
    <x v="8"/>
    <x v="0"/>
  </r>
  <r>
    <s v="TX501466"/>
    <x v="9"/>
    <x v="0"/>
    <n v="41.9"/>
    <n v="41.9"/>
    <x v="54"/>
    <d v="2025-02-24T00:00:00"/>
    <x v="1"/>
    <x v="1"/>
    <x v="0"/>
    <x v="0"/>
    <x v="6"/>
    <x v="7"/>
    <x v="8"/>
    <x v="1"/>
  </r>
  <r>
    <s v="TX501467"/>
    <x v="10"/>
    <x v="3"/>
    <n v="45.9"/>
    <n v="321.3"/>
    <x v="54"/>
    <d v="2025-02-25T00:00:00"/>
    <x v="1"/>
    <x v="3"/>
    <x v="2"/>
    <x v="0"/>
    <x v="8"/>
    <x v="3"/>
    <x v="8"/>
    <x v="1"/>
  </r>
  <r>
    <s v="TX501468"/>
    <x v="14"/>
    <x v="11"/>
    <n v="24.4"/>
    <n v="219.6"/>
    <x v="54"/>
    <d v="2025-02-28T00:00:00"/>
    <x v="1"/>
    <x v="3"/>
    <x v="2"/>
    <x v="0"/>
    <x v="8"/>
    <x v="5"/>
    <x v="8"/>
    <x v="1"/>
  </r>
  <r>
    <s v="TX501469"/>
    <x v="8"/>
    <x v="0"/>
    <n v="18.2"/>
    <n v="18.2"/>
    <x v="54"/>
    <d v="2025-02-25T00:00:00"/>
    <x v="2"/>
    <x v="2"/>
    <x v="2"/>
    <x v="0"/>
    <x v="8"/>
    <x v="3"/>
    <x v="8"/>
    <x v="2"/>
  </r>
  <r>
    <s v="TX501470"/>
    <x v="8"/>
    <x v="12"/>
    <n v="51.2"/>
    <n v="204.8"/>
    <x v="54"/>
    <d v="2025-02-25T00:00:00"/>
    <x v="2"/>
    <x v="0"/>
    <x v="0"/>
    <x v="0"/>
    <x v="8"/>
    <x v="3"/>
    <x v="8"/>
    <x v="2"/>
  </r>
  <r>
    <s v="TX501471"/>
    <x v="6"/>
    <x v="0"/>
    <n v="59.7"/>
    <n v="59.7"/>
    <x v="54"/>
    <d v="2025-02-27T00:00:00"/>
    <x v="1"/>
    <x v="0"/>
    <x v="2"/>
    <x v="0"/>
    <x v="8"/>
    <x v="2"/>
    <x v="8"/>
    <x v="1"/>
  </r>
  <r>
    <s v="TX501472"/>
    <x v="4"/>
    <x v="1"/>
    <n v="33.6"/>
    <n v="67.2"/>
    <x v="54"/>
    <d v="2025-02-26T00:00:00"/>
    <x v="2"/>
    <x v="0"/>
    <x v="0"/>
    <x v="0"/>
    <x v="17"/>
    <x v="1"/>
    <x v="8"/>
    <x v="2"/>
  </r>
  <r>
    <s v="TX501473"/>
    <x v="12"/>
    <x v="0"/>
    <n v="90.4"/>
    <n v="90.4"/>
    <x v="54"/>
    <d v="2025-02-28T00:00:00"/>
    <x v="1"/>
    <x v="1"/>
    <x v="2"/>
    <x v="0"/>
    <x v="10"/>
    <x v="5"/>
    <x v="8"/>
    <x v="1"/>
  </r>
  <r>
    <s v="TX501474"/>
    <x v="11"/>
    <x v="2"/>
    <n v="70.3"/>
    <n v="210.89999999999998"/>
    <x v="54"/>
    <d v="2025-02-24T00:00:00"/>
    <x v="1"/>
    <x v="1"/>
    <x v="2"/>
    <x v="0"/>
    <x v="11"/>
    <x v="7"/>
    <x v="8"/>
    <x v="1"/>
  </r>
  <r>
    <s v="TX501475"/>
    <x v="4"/>
    <x v="1"/>
    <n v="20.5"/>
    <n v="41"/>
    <x v="54"/>
    <d v="2025-02-27T00:00:00"/>
    <x v="2"/>
    <x v="0"/>
    <x v="1"/>
    <x v="0"/>
    <x v="11"/>
    <x v="2"/>
    <x v="8"/>
    <x v="2"/>
  </r>
  <r>
    <s v="TX501476"/>
    <x v="5"/>
    <x v="5"/>
    <n v="37.6"/>
    <n v="413.6"/>
    <x v="54"/>
    <d v="2025-02-25T00:00:00"/>
    <x v="1"/>
    <x v="0"/>
    <x v="0"/>
    <x v="0"/>
    <x v="38"/>
    <x v="3"/>
    <x v="8"/>
    <x v="1"/>
  </r>
  <r>
    <s v="TX501477"/>
    <x v="5"/>
    <x v="12"/>
    <n v="61.5"/>
    <n v="246"/>
    <x v="54"/>
    <d v="2025-03-03T00:00:00"/>
    <x v="2"/>
    <x v="1"/>
    <x v="4"/>
    <x v="0"/>
    <x v="13"/>
    <x v="6"/>
    <x v="8"/>
    <x v="2"/>
  </r>
  <r>
    <s v="TX501478"/>
    <x v="9"/>
    <x v="0"/>
    <n v="33.5"/>
    <n v="33.5"/>
    <x v="55"/>
    <d v="2025-03-01T00:00:00"/>
    <x v="1"/>
    <x v="4"/>
    <x v="1"/>
    <x v="0"/>
    <x v="21"/>
    <x v="5"/>
    <x v="8"/>
    <x v="1"/>
  </r>
  <r>
    <s v="TX501479"/>
    <x v="4"/>
    <x v="2"/>
    <n v="29.3"/>
    <n v="87.9"/>
    <x v="55"/>
    <d v="2025-02-27T00:00:00"/>
    <x v="2"/>
    <x v="1"/>
    <x v="2"/>
    <x v="0"/>
    <x v="1"/>
    <x v="1"/>
    <x v="8"/>
    <x v="2"/>
  </r>
  <r>
    <s v="TX501480"/>
    <x v="2"/>
    <x v="1"/>
    <n v="125.9"/>
    <n v="251.8"/>
    <x v="55"/>
    <d v="2025-03-02T00:00:00"/>
    <x v="2"/>
    <x v="4"/>
    <x v="1"/>
    <x v="0"/>
    <x v="1"/>
    <x v="0"/>
    <x v="8"/>
    <x v="2"/>
  </r>
  <r>
    <s v="TX501481"/>
    <x v="5"/>
    <x v="9"/>
    <n v="29.3"/>
    <n v="146.5"/>
    <x v="55"/>
    <d v="2025-02-25T00:00:00"/>
    <x v="1"/>
    <x v="2"/>
    <x v="0"/>
    <x v="0"/>
    <x v="44"/>
    <x v="7"/>
    <x v="8"/>
    <x v="1"/>
  </r>
  <r>
    <s v="TX501482"/>
    <x v="9"/>
    <x v="0"/>
    <n v="37.799999999999997"/>
    <n v="37.799999999999997"/>
    <x v="55"/>
    <d v="2025-02-28T00:00:00"/>
    <x v="2"/>
    <x v="0"/>
    <x v="2"/>
    <x v="0"/>
    <x v="3"/>
    <x v="2"/>
    <x v="8"/>
    <x v="2"/>
  </r>
  <r>
    <s v="TX501483"/>
    <x v="0"/>
    <x v="12"/>
    <n v="31.7"/>
    <n v="126.8"/>
    <x v="55"/>
    <d v="2025-02-26T00:00:00"/>
    <x v="1"/>
    <x v="2"/>
    <x v="2"/>
    <x v="0"/>
    <x v="3"/>
    <x v="3"/>
    <x v="8"/>
    <x v="1"/>
  </r>
  <r>
    <s v="TX501484"/>
    <x v="8"/>
    <x v="9"/>
    <n v="26.3"/>
    <n v="131.5"/>
    <x v="55"/>
    <d v="2025-02-26T00:00:00"/>
    <x v="2"/>
    <x v="3"/>
    <x v="2"/>
    <x v="0"/>
    <x v="3"/>
    <x v="3"/>
    <x v="8"/>
    <x v="2"/>
  </r>
  <r>
    <s v="TX501485"/>
    <x v="8"/>
    <x v="2"/>
    <n v="23.1"/>
    <n v="69.300000000000011"/>
    <x v="55"/>
    <d v="2025-02-26T00:00:00"/>
    <x v="3"/>
    <x v="2"/>
    <x v="1"/>
    <x v="0"/>
    <x v="3"/>
    <x v="3"/>
    <x v="8"/>
    <x v="3"/>
  </r>
  <r>
    <s v="TX501486"/>
    <x v="4"/>
    <x v="0"/>
    <n v="22.3"/>
    <n v="22.3"/>
    <x v="55"/>
    <d v="2025-02-27T00:00:00"/>
    <x v="2"/>
    <x v="2"/>
    <x v="0"/>
    <x v="0"/>
    <x v="3"/>
    <x v="1"/>
    <x v="8"/>
    <x v="2"/>
  </r>
  <r>
    <s v="TX501487"/>
    <x v="12"/>
    <x v="1"/>
    <n v="99.5"/>
    <n v="199"/>
    <x v="55"/>
    <d v="2025-02-27T00:00:00"/>
    <x v="2"/>
    <x v="2"/>
    <x v="0"/>
    <x v="0"/>
    <x v="3"/>
    <x v="1"/>
    <x v="8"/>
    <x v="2"/>
  </r>
  <r>
    <s v="TX501488"/>
    <x v="12"/>
    <x v="12"/>
    <n v="47.4"/>
    <n v="189.6"/>
    <x v="55"/>
    <d v="2025-02-28T00:00:00"/>
    <x v="2"/>
    <x v="1"/>
    <x v="0"/>
    <x v="0"/>
    <x v="3"/>
    <x v="2"/>
    <x v="8"/>
    <x v="2"/>
  </r>
  <r>
    <s v="TX501489"/>
    <x v="0"/>
    <x v="5"/>
    <n v="37.5"/>
    <n v="412.5"/>
    <x v="55"/>
    <d v="2025-02-27T00:00:00"/>
    <x v="2"/>
    <x v="0"/>
    <x v="3"/>
    <x v="0"/>
    <x v="3"/>
    <x v="1"/>
    <x v="8"/>
    <x v="2"/>
  </r>
  <r>
    <s v="TX501490"/>
    <x v="10"/>
    <x v="0"/>
    <n v="45.1"/>
    <n v="45.1"/>
    <x v="55"/>
    <d v="2025-03-02T00:00:00"/>
    <x v="1"/>
    <x v="3"/>
    <x v="2"/>
    <x v="0"/>
    <x v="24"/>
    <x v="0"/>
    <x v="8"/>
    <x v="1"/>
  </r>
  <r>
    <s v="TX501491"/>
    <x v="5"/>
    <x v="7"/>
    <n v="34.4"/>
    <n v="344"/>
    <x v="55"/>
    <d v="2025-02-28T00:00:00"/>
    <x v="1"/>
    <x v="2"/>
    <x v="0"/>
    <x v="0"/>
    <x v="16"/>
    <x v="2"/>
    <x v="8"/>
    <x v="1"/>
  </r>
  <r>
    <s v="TX501492"/>
    <x v="4"/>
    <x v="1"/>
    <n v="38"/>
    <n v="76"/>
    <x v="55"/>
    <d v="2025-02-27T00:00:00"/>
    <x v="2"/>
    <x v="1"/>
    <x v="0"/>
    <x v="0"/>
    <x v="5"/>
    <x v="1"/>
    <x v="8"/>
    <x v="2"/>
  </r>
  <r>
    <s v="TX501493"/>
    <x v="3"/>
    <x v="21"/>
    <n v="32.4"/>
    <n v="453.59999999999997"/>
    <x v="55"/>
    <d v="2025-02-28T00:00:00"/>
    <x v="1"/>
    <x v="4"/>
    <x v="0"/>
    <x v="0"/>
    <x v="6"/>
    <x v="2"/>
    <x v="8"/>
    <x v="1"/>
  </r>
  <r>
    <s v="TX501494"/>
    <x v="6"/>
    <x v="2"/>
    <n v="40.9"/>
    <n v="122.69999999999999"/>
    <x v="55"/>
    <d v="2025-02-25T00:00:00"/>
    <x v="0"/>
    <x v="1"/>
    <x v="0"/>
    <x v="0"/>
    <x v="8"/>
    <x v="7"/>
    <x v="8"/>
    <x v="0"/>
  </r>
  <r>
    <s v="TX501495"/>
    <x v="7"/>
    <x v="3"/>
    <n v="76.2"/>
    <n v="533.4"/>
    <x v="55"/>
    <d v="2025-02-27T00:00:00"/>
    <x v="2"/>
    <x v="2"/>
    <x v="1"/>
    <x v="0"/>
    <x v="8"/>
    <x v="1"/>
    <x v="8"/>
    <x v="2"/>
  </r>
  <r>
    <s v="TX501496"/>
    <x v="2"/>
    <x v="0"/>
    <n v="85.6"/>
    <n v="85.6"/>
    <x v="55"/>
    <d v="2025-02-27T00:00:00"/>
    <x v="1"/>
    <x v="2"/>
    <x v="0"/>
    <x v="0"/>
    <x v="8"/>
    <x v="1"/>
    <x v="8"/>
    <x v="1"/>
  </r>
  <r>
    <s v="TX501497"/>
    <x v="4"/>
    <x v="12"/>
    <n v="25"/>
    <n v="100"/>
    <x v="55"/>
    <d v="2025-02-27T00:00:00"/>
    <x v="2"/>
    <x v="2"/>
    <x v="2"/>
    <x v="0"/>
    <x v="8"/>
    <x v="1"/>
    <x v="8"/>
    <x v="2"/>
  </r>
  <r>
    <s v="TX501498"/>
    <x v="2"/>
    <x v="9"/>
    <n v="150.69999999999999"/>
    <n v="753.5"/>
    <x v="55"/>
    <d v="2025-02-26T00:00:00"/>
    <x v="0"/>
    <x v="0"/>
    <x v="2"/>
    <x v="0"/>
    <x v="8"/>
    <x v="3"/>
    <x v="8"/>
    <x v="0"/>
  </r>
  <r>
    <s v="TX501499"/>
    <x v="8"/>
    <x v="0"/>
    <n v="19.600000000000001"/>
    <n v="19.600000000000001"/>
    <x v="55"/>
    <d v="2025-02-26T00:00:00"/>
    <x v="1"/>
    <x v="1"/>
    <x v="4"/>
    <x v="0"/>
    <x v="8"/>
    <x v="3"/>
    <x v="8"/>
    <x v="1"/>
  </r>
  <r>
    <s v="TX501500"/>
    <x v="13"/>
    <x v="1"/>
    <n v="37.5"/>
    <n v="75"/>
    <x v="55"/>
    <d v="2025-02-28T00:00:00"/>
    <x v="2"/>
    <x v="1"/>
    <x v="2"/>
    <x v="0"/>
    <x v="17"/>
    <x v="2"/>
    <x v="8"/>
    <x v="2"/>
  </r>
  <r>
    <s v="TX501501"/>
    <x v="9"/>
    <x v="2"/>
    <n v="51.9"/>
    <n v="155.69999999999999"/>
    <x v="55"/>
    <d v="2025-03-03T00:00:00"/>
    <x v="2"/>
    <x v="0"/>
    <x v="4"/>
    <x v="0"/>
    <x v="11"/>
    <x v="4"/>
    <x v="8"/>
    <x v="2"/>
  </r>
  <r>
    <s v="TX501502"/>
    <x v="1"/>
    <x v="1"/>
    <n v="30.9"/>
    <n v="61.8"/>
    <x v="55"/>
    <d v="2025-02-27T00:00:00"/>
    <x v="2"/>
    <x v="1"/>
    <x v="0"/>
    <x v="0"/>
    <x v="18"/>
    <x v="1"/>
    <x v="8"/>
    <x v="2"/>
  </r>
  <r>
    <s v="TX501503"/>
    <x v="4"/>
    <x v="2"/>
    <n v="21.2"/>
    <n v="63.599999999999994"/>
    <x v="55"/>
    <d v="2025-02-28T00:00:00"/>
    <x v="2"/>
    <x v="1"/>
    <x v="0"/>
    <x v="0"/>
    <x v="19"/>
    <x v="2"/>
    <x v="8"/>
    <x v="2"/>
  </r>
  <r>
    <s v="TX501504"/>
    <x v="13"/>
    <x v="14"/>
    <n v="17.5"/>
    <n v="297.5"/>
    <x v="55"/>
    <d v="2025-02-26T00:00:00"/>
    <x v="1"/>
    <x v="1"/>
    <x v="1"/>
    <x v="0"/>
    <x v="13"/>
    <x v="3"/>
    <x v="8"/>
    <x v="1"/>
  </r>
  <r>
    <s v="TX501505"/>
    <x v="12"/>
    <x v="1"/>
    <n v="53.8"/>
    <n v="107.6"/>
    <x v="55"/>
    <d v="2025-03-02T00:00:00"/>
    <x v="2"/>
    <x v="0"/>
    <x v="2"/>
    <x v="0"/>
    <x v="21"/>
    <x v="0"/>
    <x v="8"/>
    <x v="2"/>
  </r>
  <r>
    <s v="TX501506"/>
    <x v="19"/>
    <x v="1"/>
    <n v="17"/>
    <n v="34"/>
    <x v="55"/>
    <d v="2025-02-26T00:00:00"/>
    <x v="1"/>
    <x v="3"/>
    <x v="0"/>
    <x v="0"/>
    <x v="21"/>
    <x v="3"/>
    <x v="8"/>
    <x v="1"/>
  </r>
  <r>
    <s v="TX501507"/>
    <x v="6"/>
    <x v="0"/>
    <n v="103.2"/>
    <n v="103.2"/>
    <x v="55"/>
    <d v="2025-03-05T00:00:00"/>
    <x v="1"/>
    <x v="2"/>
    <x v="1"/>
    <x v="0"/>
    <x v="1"/>
    <x v="9"/>
    <x v="8"/>
    <x v="1"/>
  </r>
  <r>
    <s v="TX501508"/>
    <x v="6"/>
    <x v="12"/>
    <n v="70.3"/>
    <n v="281.2"/>
    <x v="55"/>
    <d v="2025-02-26T00:00:00"/>
    <x v="1"/>
    <x v="0"/>
    <x v="0"/>
    <x v="0"/>
    <x v="3"/>
    <x v="3"/>
    <x v="8"/>
    <x v="1"/>
  </r>
  <r>
    <s v="TX501509"/>
    <x v="2"/>
    <x v="1"/>
    <n v="73.8"/>
    <n v="147.6"/>
    <x v="55"/>
    <d v="2025-02-25T00:00:00"/>
    <x v="1"/>
    <x v="3"/>
    <x v="2"/>
    <x v="0"/>
    <x v="3"/>
    <x v="7"/>
    <x v="8"/>
    <x v="1"/>
  </r>
  <r>
    <s v="TX501510"/>
    <x v="1"/>
    <x v="4"/>
    <n v="67.7"/>
    <n v="812.40000000000009"/>
    <x v="55"/>
    <d v="2025-03-01T00:00:00"/>
    <x v="1"/>
    <x v="1"/>
    <x v="1"/>
    <x v="0"/>
    <x v="3"/>
    <x v="5"/>
    <x v="8"/>
    <x v="1"/>
  </r>
  <r>
    <s v="TX501511"/>
    <x v="13"/>
    <x v="3"/>
    <n v="43.8"/>
    <n v="306.59999999999997"/>
    <x v="55"/>
    <d v="2025-02-27T00:00:00"/>
    <x v="1"/>
    <x v="1"/>
    <x v="0"/>
    <x v="0"/>
    <x v="3"/>
    <x v="1"/>
    <x v="8"/>
    <x v="1"/>
  </r>
  <r>
    <s v="TX501512"/>
    <x v="17"/>
    <x v="13"/>
    <n v="71.900000000000006"/>
    <n v="431.40000000000003"/>
    <x v="55"/>
    <d v="2025-02-26T00:00:00"/>
    <x v="2"/>
    <x v="2"/>
    <x v="0"/>
    <x v="0"/>
    <x v="3"/>
    <x v="3"/>
    <x v="8"/>
    <x v="2"/>
  </r>
  <r>
    <s v="TX501513"/>
    <x v="8"/>
    <x v="1"/>
    <n v="26.3"/>
    <n v="52.6"/>
    <x v="56"/>
    <d v="2025-02-28T00:00:00"/>
    <x v="2"/>
    <x v="0"/>
    <x v="1"/>
    <x v="0"/>
    <x v="3"/>
    <x v="1"/>
    <x v="8"/>
    <x v="2"/>
  </r>
  <r>
    <s v="TX501514"/>
    <x v="6"/>
    <x v="12"/>
    <n v="52.6"/>
    <n v="210.4"/>
    <x v="56"/>
    <d v="2025-02-28T00:00:00"/>
    <x v="2"/>
    <x v="2"/>
    <x v="1"/>
    <x v="0"/>
    <x v="3"/>
    <x v="1"/>
    <x v="8"/>
    <x v="2"/>
  </r>
  <r>
    <s v="TX501515"/>
    <x v="10"/>
    <x v="0"/>
    <n v="32.700000000000003"/>
    <n v="32.700000000000003"/>
    <x v="56"/>
    <d v="2025-03-05T00:00:00"/>
    <x v="2"/>
    <x v="0"/>
    <x v="2"/>
    <x v="0"/>
    <x v="3"/>
    <x v="6"/>
    <x v="8"/>
    <x v="2"/>
  </r>
  <r>
    <s v="TX501516"/>
    <x v="5"/>
    <x v="12"/>
    <n v="38.9"/>
    <n v="155.6"/>
    <x v="56"/>
    <d v="2025-02-27T00:00:00"/>
    <x v="2"/>
    <x v="0"/>
    <x v="0"/>
    <x v="0"/>
    <x v="3"/>
    <x v="3"/>
    <x v="8"/>
    <x v="2"/>
  </r>
  <r>
    <s v="TX501517"/>
    <x v="9"/>
    <x v="9"/>
    <n v="35"/>
    <n v="175"/>
    <x v="56"/>
    <d v="2025-02-28T00:00:00"/>
    <x v="1"/>
    <x v="0"/>
    <x v="0"/>
    <x v="0"/>
    <x v="3"/>
    <x v="1"/>
    <x v="8"/>
    <x v="1"/>
  </r>
  <r>
    <s v="TX501518"/>
    <x v="2"/>
    <x v="1"/>
    <n v="121"/>
    <n v="242"/>
    <x v="56"/>
    <d v="2025-02-27T00:00:00"/>
    <x v="2"/>
    <x v="1"/>
    <x v="1"/>
    <x v="0"/>
    <x v="3"/>
    <x v="3"/>
    <x v="8"/>
    <x v="2"/>
  </r>
  <r>
    <s v="TX501519"/>
    <x v="6"/>
    <x v="2"/>
    <n v="65.099999999999994"/>
    <n v="195.29999999999998"/>
    <x v="56"/>
    <d v="2025-03-02T00:00:00"/>
    <x v="1"/>
    <x v="2"/>
    <x v="0"/>
    <x v="0"/>
    <x v="36"/>
    <x v="5"/>
    <x v="8"/>
    <x v="1"/>
  </r>
  <r>
    <s v="TX501520"/>
    <x v="1"/>
    <x v="38"/>
    <n v="63.8"/>
    <n v="1339.8"/>
    <x v="56"/>
    <d v="2025-02-28T00:00:00"/>
    <x v="2"/>
    <x v="0"/>
    <x v="0"/>
    <x v="0"/>
    <x v="8"/>
    <x v="1"/>
    <x v="8"/>
    <x v="2"/>
  </r>
  <r>
    <s v="TX501521"/>
    <x v="7"/>
    <x v="0"/>
    <n v="77.7"/>
    <n v="77.7"/>
    <x v="56"/>
    <d v="2025-02-28T00:00:00"/>
    <x v="1"/>
    <x v="0"/>
    <x v="0"/>
    <x v="0"/>
    <x v="8"/>
    <x v="1"/>
    <x v="8"/>
    <x v="1"/>
  </r>
  <r>
    <s v="TX501522"/>
    <x v="5"/>
    <x v="12"/>
    <n v="60.3"/>
    <n v="241.2"/>
    <x v="56"/>
    <d v="2025-02-26T00:00:00"/>
    <x v="1"/>
    <x v="0"/>
    <x v="2"/>
    <x v="0"/>
    <x v="8"/>
    <x v="7"/>
    <x v="8"/>
    <x v="1"/>
  </r>
  <r>
    <s v="TX501523"/>
    <x v="5"/>
    <x v="1"/>
    <n v="124.1"/>
    <n v="248.2"/>
    <x v="56"/>
    <d v="2025-03-01T00:00:00"/>
    <x v="2"/>
    <x v="0"/>
    <x v="2"/>
    <x v="0"/>
    <x v="8"/>
    <x v="2"/>
    <x v="8"/>
    <x v="2"/>
  </r>
  <r>
    <s v="TX501524"/>
    <x v="16"/>
    <x v="3"/>
    <n v="66"/>
    <n v="462"/>
    <x v="56"/>
    <d v="2025-02-26T00:00:00"/>
    <x v="0"/>
    <x v="3"/>
    <x v="0"/>
    <x v="0"/>
    <x v="17"/>
    <x v="7"/>
    <x v="8"/>
    <x v="0"/>
  </r>
  <r>
    <s v="TX501525"/>
    <x v="2"/>
    <x v="42"/>
    <n v="118.2"/>
    <n v="7446.6"/>
    <x v="56"/>
    <d v="2025-03-03T00:00:00"/>
    <x v="0"/>
    <x v="0"/>
    <x v="0"/>
    <x v="0"/>
    <x v="17"/>
    <x v="0"/>
    <x v="8"/>
    <x v="0"/>
  </r>
  <r>
    <s v="TX501526"/>
    <x v="5"/>
    <x v="9"/>
    <n v="64.3"/>
    <n v="321.5"/>
    <x v="56"/>
    <d v="2025-02-27T00:00:00"/>
    <x v="1"/>
    <x v="4"/>
    <x v="4"/>
    <x v="0"/>
    <x v="26"/>
    <x v="3"/>
    <x v="8"/>
    <x v="1"/>
  </r>
  <r>
    <s v="TX501527"/>
    <x v="1"/>
    <x v="1"/>
    <n v="54.8"/>
    <n v="109.6"/>
    <x v="56"/>
    <d v="2025-02-26T00:00:00"/>
    <x v="1"/>
    <x v="0"/>
    <x v="1"/>
    <x v="0"/>
    <x v="26"/>
    <x v="7"/>
    <x v="8"/>
    <x v="1"/>
  </r>
  <r>
    <s v="TX501528"/>
    <x v="7"/>
    <x v="1"/>
    <n v="78.599999999999994"/>
    <n v="157.19999999999999"/>
    <x v="56"/>
    <d v="2025-02-27T00:00:00"/>
    <x v="1"/>
    <x v="0"/>
    <x v="2"/>
    <x v="0"/>
    <x v="9"/>
    <x v="3"/>
    <x v="8"/>
    <x v="1"/>
  </r>
  <r>
    <s v="TX501529"/>
    <x v="2"/>
    <x v="9"/>
    <n v="158.5"/>
    <n v="792.5"/>
    <x v="56"/>
    <d v="2025-02-28T00:00:00"/>
    <x v="0"/>
    <x v="2"/>
    <x v="2"/>
    <x v="0"/>
    <x v="9"/>
    <x v="1"/>
    <x v="8"/>
    <x v="0"/>
  </r>
  <r>
    <s v="TX501530"/>
    <x v="4"/>
    <x v="7"/>
    <n v="23.5"/>
    <n v="235"/>
    <x v="56"/>
    <d v="2025-03-01T00:00:00"/>
    <x v="1"/>
    <x v="0"/>
    <x v="4"/>
    <x v="0"/>
    <x v="10"/>
    <x v="2"/>
    <x v="8"/>
    <x v="1"/>
  </r>
  <r>
    <s v="TX501531"/>
    <x v="5"/>
    <x v="1"/>
    <n v="32.1"/>
    <n v="64.2"/>
    <x v="56"/>
    <d v="2025-02-28T00:00:00"/>
    <x v="0"/>
    <x v="3"/>
    <x v="0"/>
    <x v="0"/>
    <x v="10"/>
    <x v="1"/>
    <x v="8"/>
    <x v="0"/>
  </r>
  <r>
    <s v="TX501532"/>
    <x v="17"/>
    <x v="12"/>
    <n v="71.900000000000006"/>
    <n v="287.60000000000002"/>
    <x v="56"/>
    <d v="2025-02-26T00:00:00"/>
    <x v="1"/>
    <x v="2"/>
    <x v="0"/>
    <x v="0"/>
    <x v="19"/>
    <x v="7"/>
    <x v="8"/>
    <x v="1"/>
  </r>
  <r>
    <s v="TX501533"/>
    <x v="4"/>
    <x v="13"/>
    <n v="22.3"/>
    <n v="133.80000000000001"/>
    <x v="56"/>
    <d v="2025-02-27T00:00:00"/>
    <x v="0"/>
    <x v="3"/>
    <x v="2"/>
    <x v="0"/>
    <x v="13"/>
    <x v="3"/>
    <x v="8"/>
    <x v="0"/>
  </r>
  <r>
    <s v="TX501534"/>
    <x v="11"/>
    <x v="1"/>
    <n v="29.5"/>
    <n v="59"/>
    <x v="56"/>
    <d v="2025-02-27T00:00:00"/>
    <x v="2"/>
    <x v="0"/>
    <x v="2"/>
    <x v="0"/>
    <x v="13"/>
    <x v="3"/>
    <x v="8"/>
    <x v="2"/>
  </r>
  <r>
    <s v="TX501535"/>
    <x v="6"/>
    <x v="12"/>
    <n v="41.9"/>
    <n v="167.6"/>
    <x v="56"/>
    <d v="2025-03-02T00:00:00"/>
    <x v="2"/>
    <x v="0"/>
    <x v="1"/>
    <x v="0"/>
    <x v="21"/>
    <x v="5"/>
    <x v="8"/>
    <x v="2"/>
  </r>
  <r>
    <s v="TX501536"/>
    <x v="6"/>
    <x v="2"/>
    <n v="107.8"/>
    <n v="323.39999999999998"/>
    <x v="56"/>
    <d v="2025-02-27T00:00:00"/>
    <x v="1"/>
    <x v="1"/>
    <x v="2"/>
    <x v="0"/>
    <x v="46"/>
    <x v="3"/>
    <x v="8"/>
    <x v="1"/>
  </r>
  <r>
    <s v="TX501537"/>
    <x v="4"/>
    <x v="9"/>
    <n v="18.100000000000001"/>
    <n v="90.5"/>
    <x v="56"/>
    <d v="2025-03-01T00:00:00"/>
    <x v="1"/>
    <x v="0"/>
    <x v="2"/>
    <x v="0"/>
    <x v="2"/>
    <x v="2"/>
    <x v="8"/>
    <x v="1"/>
  </r>
  <r>
    <s v="TX501538"/>
    <x v="12"/>
    <x v="11"/>
    <n v="79.8"/>
    <n v="718.19999999999993"/>
    <x v="56"/>
    <d v="2025-02-27T00:00:00"/>
    <x v="2"/>
    <x v="1"/>
    <x v="1"/>
    <x v="0"/>
    <x v="22"/>
    <x v="3"/>
    <x v="8"/>
    <x v="2"/>
  </r>
  <r>
    <s v="TX501539"/>
    <x v="0"/>
    <x v="2"/>
    <n v="22.3"/>
    <n v="66.900000000000006"/>
    <x v="56"/>
    <d v="2025-03-01T00:00:00"/>
    <x v="2"/>
    <x v="0"/>
    <x v="2"/>
    <x v="0"/>
    <x v="22"/>
    <x v="2"/>
    <x v="8"/>
    <x v="2"/>
  </r>
  <r>
    <s v="TX501540"/>
    <x v="8"/>
    <x v="0"/>
    <n v="22.9"/>
    <n v="22.9"/>
    <x v="56"/>
    <d v="2025-02-26T00:00:00"/>
    <x v="2"/>
    <x v="1"/>
    <x v="0"/>
    <x v="0"/>
    <x v="22"/>
    <x v="7"/>
    <x v="8"/>
    <x v="2"/>
  </r>
  <r>
    <s v="TX501541"/>
    <x v="0"/>
    <x v="2"/>
    <n v="16.2"/>
    <n v="48.599999999999994"/>
    <x v="57"/>
    <d v="2025-02-27T00:00:00"/>
    <x v="1"/>
    <x v="4"/>
    <x v="2"/>
    <x v="0"/>
    <x v="3"/>
    <x v="7"/>
    <x v="8"/>
    <x v="1"/>
  </r>
  <r>
    <s v="TX501542"/>
    <x v="10"/>
    <x v="12"/>
    <n v="59.5"/>
    <n v="238"/>
    <x v="57"/>
    <d v="2025-02-28T00:00:00"/>
    <x v="1"/>
    <x v="1"/>
    <x v="2"/>
    <x v="0"/>
    <x v="3"/>
    <x v="3"/>
    <x v="8"/>
    <x v="1"/>
  </r>
  <r>
    <s v="TX501543"/>
    <x v="18"/>
    <x v="9"/>
    <n v="26.2"/>
    <n v="131"/>
    <x v="57"/>
    <d v="2025-03-02T00:00:00"/>
    <x v="1"/>
    <x v="3"/>
    <x v="4"/>
    <x v="0"/>
    <x v="3"/>
    <x v="2"/>
    <x v="8"/>
    <x v="1"/>
  </r>
  <r>
    <s v="TX501544"/>
    <x v="3"/>
    <x v="0"/>
    <n v="44.2"/>
    <n v="44.2"/>
    <x v="57"/>
    <d v="2025-03-02T00:00:00"/>
    <x v="2"/>
    <x v="1"/>
    <x v="0"/>
    <x v="0"/>
    <x v="3"/>
    <x v="2"/>
    <x v="8"/>
    <x v="2"/>
  </r>
  <r>
    <s v="TX501545"/>
    <x v="9"/>
    <x v="1"/>
    <n v="59.2"/>
    <n v="118.4"/>
    <x v="57"/>
    <d v="2025-02-27T00:00:00"/>
    <x v="2"/>
    <x v="1"/>
    <x v="4"/>
    <x v="0"/>
    <x v="3"/>
    <x v="7"/>
    <x v="8"/>
    <x v="2"/>
  </r>
  <r>
    <s v="TX501546"/>
    <x v="15"/>
    <x v="12"/>
    <n v="41.5"/>
    <n v="166"/>
    <x v="57"/>
    <d v="2025-03-01T00:00:00"/>
    <x v="2"/>
    <x v="0"/>
    <x v="0"/>
    <x v="0"/>
    <x v="16"/>
    <x v="1"/>
    <x v="8"/>
    <x v="2"/>
  </r>
  <r>
    <s v="TX501547"/>
    <x v="6"/>
    <x v="4"/>
    <n v="67.099999999999994"/>
    <n v="805.19999999999993"/>
    <x v="57"/>
    <d v="2025-03-13T00:00:00"/>
    <x v="2"/>
    <x v="0"/>
    <x v="2"/>
    <x v="0"/>
    <x v="23"/>
    <x v="12"/>
    <x v="8"/>
    <x v="2"/>
  </r>
  <r>
    <s v="TX501548"/>
    <x v="8"/>
    <x v="1"/>
    <n v="28.7"/>
    <n v="57.4"/>
    <x v="57"/>
    <d v="2025-03-03T00:00:00"/>
    <x v="2"/>
    <x v="1"/>
    <x v="0"/>
    <x v="0"/>
    <x v="6"/>
    <x v="5"/>
    <x v="8"/>
    <x v="2"/>
  </r>
  <r>
    <s v="TX501549"/>
    <x v="2"/>
    <x v="12"/>
    <n v="132.1"/>
    <n v="528.4"/>
    <x v="57"/>
    <d v="2025-02-28T00:00:00"/>
    <x v="2"/>
    <x v="0"/>
    <x v="1"/>
    <x v="0"/>
    <x v="6"/>
    <x v="3"/>
    <x v="8"/>
    <x v="2"/>
  </r>
  <r>
    <s v="TX501550"/>
    <x v="18"/>
    <x v="1"/>
    <n v="47"/>
    <n v="94"/>
    <x v="57"/>
    <d v="2025-03-01T00:00:00"/>
    <x v="1"/>
    <x v="4"/>
    <x v="0"/>
    <x v="0"/>
    <x v="8"/>
    <x v="1"/>
    <x v="8"/>
    <x v="1"/>
  </r>
  <r>
    <s v="TX501551"/>
    <x v="8"/>
    <x v="1"/>
    <n v="41.6"/>
    <n v="83.2"/>
    <x v="57"/>
    <d v="2025-03-03T00:00:00"/>
    <x v="1"/>
    <x v="1"/>
    <x v="2"/>
    <x v="0"/>
    <x v="8"/>
    <x v="5"/>
    <x v="8"/>
    <x v="1"/>
  </r>
  <r>
    <s v="TX501552"/>
    <x v="8"/>
    <x v="43"/>
    <n v="17.3"/>
    <n v="657.4"/>
    <x v="57"/>
    <d v="2025-03-01T00:00:00"/>
    <x v="1"/>
    <x v="2"/>
    <x v="2"/>
    <x v="0"/>
    <x v="8"/>
    <x v="1"/>
    <x v="8"/>
    <x v="1"/>
  </r>
  <r>
    <s v="TX501553"/>
    <x v="13"/>
    <x v="2"/>
    <n v="41.8"/>
    <n v="125.39999999999999"/>
    <x v="57"/>
    <d v="2025-03-02T00:00:00"/>
    <x v="1"/>
    <x v="0"/>
    <x v="2"/>
    <x v="0"/>
    <x v="8"/>
    <x v="2"/>
    <x v="8"/>
    <x v="1"/>
  </r>
  <r>
    <s v="TX501554"/>
    <x v="10"/>
    <x v="0"/>
    <n v="24"/>
    <n v="24"/>
    <x v="57"/>
    <d v="2025-02-28T00:00:00"/>
    <x v="2"/>
    <x v="0"/>
    <x v="0"/>
    <x v="0"/>
    <x v="17"/>
    <x v="3"/>
    <x v="8"/>
    <x v="2"/>
  </r>
  <r>
    <s v="TX501555"/>
    <x v="14"/>
    <x v="11"/>
    <n v="18.5"/>
    <n v="166.5"/>
    <x v="57"/>
    <d v="2025-03-01T00:00:00"/>
    <x v="2"/>
    <x v="0"/>
    <x v="0"/>
    <x v="0"/>
    <x v="9"/>
    <x v="1"/>
    <x v="8"/>
    <x v="2"/>
  </r>
  <r>
    <s v="TX501556"/>
    <x v="3"/>
    <x v="4"/>
    <n v="66.7"/>
    <n v="800.40000000000009"/>
    <x v="57"/>
    <d v="2025-03-02T00:00:00"/>
    <x v="0"/>
    <x v="0"/>
    <x v="2"/>
    <x v="0"/>
    <x v="11"/>
    <x v="2"/>
    <x v="8"/>
    <x v="0"/>
  </r>
  <r>
    <s v="TX501557"/>
    <x v="1"/>
    <x v="12"/>
    <n v="33.1"/>
    <n v="132.4"/>
    <x v="57"/>
    <d v="2025-03-04T00:00:00"/>
    <x v="1"/>
    <x v="3"/>
    <x v="0"/>
    <x v="0"/>
    <x v="11"/>
    <x v="0"/>
    <x v="8"/>
    <x v="1"/>
  </r>
  <r>
    <s v="TX501558"/>
    <x v="19"/>
    <x v="11"/>
    <n v="42.1"/>
    <n v="378.90000000000003"/>
    <x v="57"/>
    <d v="2025-03-10T00:00:00"/>
    <x v="1"/>
    <x v="1"/>
    <x v="0"/>
    <x v="0"/>
    <x v="18"/>
    <x v="11"/>
    <x v="8"/>
    <x v="1"/>
  </r>
  <r>
    <s v="TX501559"/>
    <x v="18"/>
    <x v="3"/>
    <n v="58.7"/>
    <n v="410.90000000000003"/>
    <x v="57"/>
    <d v="2025-02-27T00:00:00"/>
    <x v="3"/>
    <x v="3"/>
    <x v="0"/>
    <x v="0"/>
    <x v="31"/>
    <x v="7"/>
    <x v="8"/>
    <x v="3"/>
  </r>
  <r>
    <s v="TX501560"/>
    <x v="6"/>
    <x v="12"/>
    <n v="54"/>
    <n v="216"/>
    <x v="57"/>
    <d v="2025-03-01T00:00:00"/>
    <x v="2"/>
    <x v="1"/>
    <x v="0"/>
    <x v="0"/>
    <x v="1"/>
    <x v="1"/>
    <x v="8"/>
    <x v="2"/>
  </r>
  <r>
    <s v="TX501561"/>
    <x v="8"/>
    <x v="0"/>
    <n v="52.1"/>
    <n v="52.1"/>
    <x v="57"/>
    <d v="2025-02-28T00:00:00"/>
    <x v="2"/>
    <x v="2"/>
    <x v="2"/>
    <x v="0"/>
    <x v="2"/>
    <x v="3"/>
    <x v="8"/>
    <x v="2"/>
  </r>
  <r>
    <s v="TX501562"/>
    <x v="19"/>
    <x v="1"/>
    <n v="27"/>
    <n v="54"/>
    <x v="57"/>
    <d v="2025-03-02T00:00:00"/>
    <x v="3"/>
    <x v="2"/>
    <x v="0"/>
    <x v="0"/>
    <x v="22"/>
    <x v="2"/>
    <x v="8"/>
    <x v="3"/>
  </r>
  <r>
    <s v="TX501563"/>
    <x v="12"/>
    <x v="7"/>
    <n v="31"/>
    <n v="310"/>
    <x v="58"/>
    <d v="2025-03-01T00:00:00"/>
    <x v="2"/>
    <x v="3"/>
    <x v="2"/>
    <x v="0"/>
    <x v="22"/>
    <x v="3"/>
    <x v="8"/>
    <x v="2"/>
  </r>
  <r>
    <s v="TX501564"/>
    <x v="10"/>
    <x v="1"/>
    <n v="46.7"/>
    <n v="93.4"/>
    <x v="58"/>
    <d v="2025-02-28T00:00:00"/>
    <x v="2"/>
    <x v="0"/>
    <x v="0"/>
    <x v="0"/>
    <x v="34"/>
    <x v="7"/>
    <x v="8"/>
    <x v="2"/>
  </r>
  <r>
    <s v="TX501565"/>
    <x v="6"/>
    <x v="0"/>
    <n v="144.69999999999999"/>
    <n v="144.69999999999999"/>
    <x v="58"/>
    <d v="2025-03-03T00:00:00"/>
    <x v="1"/>
    <x v="0"/>
    <x v="2"/>
    <x v="0"/>
    <x v="3"/>
    <x v="2"/>
    <x v="8"/>
    <x v="1"/>
  </r>
  <r>
    <s v="TX501566"/>
    <x v="2"/>
    <x v="11"/>
    <n v="90.9"/>
    <n v="818.1"/>
    <x v="58"/>
    <d v="2025-03-01T00:00:00"/>
    <x v="1"/>
    <x v="0"/>
    <x v="2"/>
    <x v="0"/>
    <x v="3"/>
    <x v="3"/>
    <x v="8"/>
    <x v="1"/>
  </r>
  <r>
    <s v="TX501567"/>
    <x v="1"/>
    <x v="1"/>
    <n v="75.8"/>
    <n v="151.6"/>
    <x v="58"/>
    <d v="2025-03-01T00:00:00"/>
    <x v="2"/>
    <x v="2"/>
    <x v="1"/>
    <x v="0"/>
    <x v="3"/>
    <x v="3"/>
    <x v="8"/>
    <x v="2"/>
  </r>
  <r>
    <s v="TX501568"/>
    <x v="7"/>
    <x v="9"/>
    <n v="57.9"/>
    <n v="289.5"/>
    <x v="58"/>
    <d v="2025-03-02T00:00:00"/>
    <x v="1"/>
    <x v="2"/>
    <x v="2"/>
    <x v="0"/>
    <x v="3"/>
    <x v="1"/>
    <x v="8"/>
    <x v="1"/>
  </r>
  <r>
    <s v="TX501569"/>
    <x v="8"/>
    <x v="9"/>
    <n v="44.8"/>
    <n v="224"/>
    <x v="58"/>
    <d v="2025-03-01T00:00:00"/>
    <x v="2"/>
    <x v="3"/>
    <x v="2"/>
    <x v="0"/>
    <x v="3"/>
    <x v="3"/>
    <x v="8"/>
    <x v="2"/>
  </r>
  <r>
    <s v="TX501570"/>
    <x v="9"/>
    <x v="2"/>
    <n v="44.2"/>
    <n v="132.60000000000002"/>
    <x v="58"/>
    <d v="2025-03-04T00:00:00"/>
    <x v="1"/>
    <x v="2"/>
    <x v="2"/>
    <x v="0"/>
    <x v="3"/>
    <x v="5"/>
    <x v="8"/>
    <x v="1"/>
  </r>
  <r>
    <s v="TX501571"/>
    <x v="5"/>
    <x v="9"/>
    <n v="53.5"/>
    <n v="267.5"/>
    <x v="58"/>
    <d v="2025-03-02T00:00:00"/>
    <x v="1"/>
    <x v="0"/>
    <x v="0"/>
    <x v="0"/>
    <x v="37"/>
    <x v="1"/>
    <x v="8"/>
    <x v="1"/>
  </r>
  <r>
    <s v="TX501572"/>
    <x v="6"/>
    <x v="1"/>
    <n v="72.2"/>
    <n v="144.4"/>
    <x v="58"/>
    <d v="2025-03-01T00:00:00"/>
    <x v="1"/>
    <x v="0"/>
    <x v="2"/>
    <x v="0"/>
    <x v="25"/>
    <x v="3"/>
    <x v="8"/>
    <x v="1"/>
  </r>
  <r>
    <s v="TX501573"/>
    <x v="6"/>
    <x v="12"/>
    <n v="62.4"/>
    <n v="249.6"/>
    <x v="58"/>
    <d v="2025-03-03T00:00:00"/>
    <x v="2"/>
    <x v="0"/>
    <x v="1"/>
    <x v="0"/>
    <x v="23"/>
    <x v="2"/>
    <x v="8"/>
    <x v="2"/>
  </r>
  <r>
    <s v="TX501574"/>
    <x v="10"/>
    <x v="9"/>
    <n v="24.7"/>
    <n v="123.5"/>
    <x v="58"/>
    <d v="2025-03-01T00:00:00"/>
    <x v="2"/>
    <x v="0"/>
    <x v="0"/>
    <x v="0"/>
    <x v="6"/>
    <x v="3"/>
    <x v="8"/>
    <x v="2"/>
  </r>
  <r>
    <s v="TX501575"/>
    <x v="1"/>
    <x v="9"/>
    <n v="61.7"/>
    <n v="308.5"/>
    <x v="58"/>
    <d v="2025-03-02T00:00:00"/>
    <x v="2"/>
    <x v="2"/>
    <x v="0"/>
    <x v="0"/>
    <x v="8"/>
    <x v="1"/>
    <x v="8"/>
    <x v="2"/>
  </r>
  <r>
    <s v="TX501576"/>
    <x v="8"/>
    <x v="9"/>
    <n v="18.2"/>
    <n v="91"/>
    <x v="58"/>
    <d v="2025-03-02T00:00:00"/>
    <x v="2"/>
    <x v="3"/>
    <x v="0"/>
    <x v="0"/>
    <x v="8"/>
    <x v="1"/>
    <x v="8"/>
    <x v="2"/>
  </r>
  <r>
    <s v="TX501577"/>
    <x v="10"/>
    <x v="12"/>
    <n v="37.200000000000003"/>
    <n v="148.80000000000001"/>
    <x v="58"/>
    <d v="2025-03-06T00:00:00"/>
    <x v="2"/>
    <x v="0"/>
    <x v="0"/>
    <x v="0"/>
    <x v="8"/>
    <x v="4"/>
    <x v="8"/>
    <x v="2"/>
  </r>
  <r>
    <s v="TX501578"/>
    <x v="9"/>
    <x v="2"/>
    <n v="53.5"/>
    <n v="160.5"/>
    <x v="58"/>
    <d v="2025-03-02T00:00:00"/>
    <x v="2"/>
    <x v="1"/>
    <x v="2"/>
    <x v="0"/>
    <x v="9"/>
    <x v="1"/>
    <x v="8"/>
    <x v="2"/>
  </r>
  <r>
    <s v="TX501579"/>
    <x v="8"/>
    <x v="2"/>
    <n v="43.6"/>
    <n v="130.80000000000001"/>
    <x v="58"/>
    <d v="2025-02-28T00:00:00"/>
    <x v="2"/>
    <x v="0"/>
    <x v="0"/>
    <x v="0"/>
    <x v="9"/>
    <x v="7"/>
    <x v="8"/>
    <x v="2"/>
  </r>
  <r>
    <s v="TX501580"/>
    <x v="1"/>
    <x v="7"/>
    <n v="135"/>
    <n v="1350"/>
    <x v="58"/>
    <d v="2025-03-02T00:00:00"/>
    <x v="2"/>
    <x v="0"/>
    <x v="2"/>
    <x v="0"/>
    <x v="9"/>
    <x v="1"/>
    <x v="8"/>
    <x v="2"/>
  </r>
  <r>
    <s v="TX501581"/>
    <x v="8"/>
    <x v="9"/>
    <n v="38.5"/>
    <n v="192.5"/>
    <x v="58"/>
    <d v="2025-02-28T00:00:00"/>
    <x v="1"/>
    <x v="4"/>
    <x v="2"/>
    <x v="0"/>
    <x v="10"/>
    <x v="7"/>
    <x v="8"/>
    <x v="1"/>
  </r>
  <r>
    <s v="TX501582"/>
    <x v="9"/>
    <x v="1"/>
    <n v="24"/>
    <n v="48"/>
    <x v="58"/>
    <d v="2025-03-05T00:00:00"/>
    <x v="2"/>
    <x v="0"/>
    <x v="0"/>
    <x v="0"/>
    <x v="11"/>
    <x v="0"/>
    <x v="8"/>
    <x v="2"/>
  </r>
  <r>
    <s v="TX501583"/>
    <x v="4"/>
    <x v="2"/>
    <n v="28.2"/>
    <n v="84.6"/>
    <x v="58"/>
    <d v="2025-03-02T00:00:00"/>
    <x v="1"/>
    <x v="0"/>
    <x v="3"/>
    <x v="0"/>
    <x v="18"/>
    <x v="1"/>
    <x v="8"/>
    <x v="1"/>
  </r>
  <r>
    <s v="TX501584"/>
    <x v="7"/>
    <x v="2"/>
    <n v="37.4"/>
    <n v="112.19999999999999"/>
    <x v="58"/>
    <d v="2025-03-01T00:00:00"/>
    <x v="2"/>
    <x v="3"/>
    <x v="0"/>
    <x v="0"/>
    <x v="1"/>
    <x v="3"/>
    <x v="8"/>
    <x v="2"/>
  </r>
  <r>
    <s v="TX501585"/>
    <x v="6"/>
    <x v="2"/>
    <n v="53.5"/>
    <n v="160.5"/>
    <x v="58"/>
    <d v="2025-03-03T00:00:00"/>
    <x v="0"/>
    <x v="4"/>
    <x v="4"/>
    <x v="0"/>
    <x v="1"/>
    <x v="2"/>
    <x v="8"/>
    <x v="0"/>
  </r>
  <r>
    <s v="TX501586"/>
    <x v="11"/>
    <x v="9"/>
    <n v="36.200000000000003"/>
    <n v="181"/>
    <x v="58"/>
    <d v="2025-03-01T00:00:00"/>
    <x v="1"/>
    <x v="1"/>
    <x v="2"/>
    <x v="0"/>
    <x v="33"/>
    <x v="3"/>
    <x v="8"/>
    <x v="1"/>
  </r>
  <r>
    <s v="TX501587"/>
    <x v="0"/>
    <x v="8"/>
    <n v="31.9"/>
    <n v="255.2"/>
    <x v="58"/>
    <d v="2025-03-01T00:00:00"/>
    <x v="2"/>
    <x v="4"/>
    <x v="0"/>
    <x v="0"/>
    <x v="3"/>
    <x v="3"/>
    <x v="8"/>
    <x v="2"/>
  </r>
  <r>
    <s v="TX501588"/>
    <x v="8"/>
    <x v="2"/>
    <n v="21.3"/>
    <n v="63.900000000000006"/>
    <x v="58"/>
    <d v="2025-03-01T00:00:00"/>
    <x v="1"/>
    <x v="0"/>
    <x v="2"/>
    <x v="0"/>
    <x v="3"/>
    <x v="3"/>
    <x v="8"/>
    <x v="1"/>
  </r>
  <r>
    <s v="TX501589"/>
    <x v="8"/>
    <x v="0"/>
    <n v="36.299999999999997"/>
    <n v="36.299999999999997"/>
    <x v="58"/>
    <d v="2025-03-02T00:00:00"/>
    <x v="3"/>
    <x v="4"/>
    <x v="0"/>
    <x v="0"/>
    <x v="3"/>
    <x v="1"/>
    <x v="8"/>
    <x v="3"/>
  </r>
  <r>
    <s v="TX501590"/>
    <x v="6"/>
    <x v="2"/>
    <n v="110.5"/>
    <n v="331.5"/>
    <x v="58"/>
    <d v="2025-03-01T00:00:00"/>
    <x v="2"/>
    <x v="0"/>
    <x v="3"/>
    <x v="0"/>
    <x v="3"/>
    <x v="3"/>
    <x v="8"/>
    <x v="2"/>
  </r>
  <r>
    <s v="TX501591"/>
    <x v="10"/>
    <x v="3"/>
    <n v="32.6"/>
    <n v="228.20000000000002"/>
    <x v="58"/>
    <d v="2025-03-02T00:00:00"/>
    <x v="2"/>
    <x v="0"/>
    <x v="1"/>
    <x v="0"/>
    <x v="3"/>
    <x v="1"/>
    <x v="8"/>
    <x v="2"/>
  </r>
  <r>
    <s v="TX501592"/>
    <x v="5"/>
    <x v="2"/>
    <n v="55.6"/>
    <n v="166.8"/>
    <x v="59"/>
    <d v="2025-03-14T00:00:00"/>
    <x v="2"/>
    <x v="0"/>
    <x v="0"/>
    <x v="0"/>
    <x v="3"/>
    <x v="10"/>
    <x v="8"/>
    <x v="2"/>
  </r>
  <r>
    <s v="TX501593"/>
    <x v="1"/>
    <x v="12"/>
    <n v="38"/>
    <n v="152"/>
    <x v="59"/>
    <d v="2025-03-02T00:00:00"/>
    <x v="2"/>
    <x v="3"/>
    <x v="2"/>
    <x v="0"/>
    <x v="5"/>
    <x v="3"/>
    <x v="8"/>
    <x v="2"/>
  </r>
  <r>
    <s v="TX501594"/>
    <x v="10"/>
    <x v="1"/>
    <n v="51.8"/>
    <n v="103.6"/>
    <x v="59"/>
    <d v="2025-03-07T00:00:00"/>
    <x v="1"/>
    <x v="1"/>
    <x v="4"/>
    <x v="0"/>
    <x v="6"/>
    <x v="4"/>
    <x v="8"/>
    <x v="1"/>
  </r>
  <r>
    <s v="TX501595"/>
    <x v="11"/>
    <x v="8"/>
    <n v="28.7"/>
    <n v="229.6"/>
    <x v="59"/>
    <d v="2025-03-06T00:00:00"/>
    <x v="2"/>
    <x v="0"/>
    <x v="0"/>
    <x v="0"/>
    <x v="6"/>
    <x v="0"/>
    <x v="8"/>
    <x v="2"/>
  </r>
  <r>
    <s v="TX501596"/>
    <x v="6"/>
    <x v="4"/>
    <n v="52.2"/>
    <n v="626.40000000000009"/>
    <x v="59"/>
    <d v="2025-03-01T00:00:00"/>
    <x v="1"/>
    <x v="0"/>
    <x v="1"/>
    <x v="0"/>
    <x v="6"/>
    <x v="7"/>
    <x v="8"/>
    <x v="1"/>
  </r>
  <r>
    <s v="TX501597"/>
    <x v="1"/>
    <x v="1"/>
    <n v="68.2"/>
    <n v="136.4"/>
    <x v="59"/>
    <d v="2025-03-02T00:00:00"/>
    <x v="0"/>
    <x v="2"/>
    <x v="0"/>
    <x v="0"/>
    <x v="7"/>
    <x v="3"/>
    <x v="8"/>
    <x v="0"/>
  </r>
  <r>
    <s v="TX501598"/>
    <x v="0"/>
    <x v="2"/>
    <n v="34"/>
    <n v="102"/>
    <x v="59"/>
    <d v="2025-03-05T00:00:00"/>
    <x v="2"/>
    <x v="0"/>
    <x v="0"/>
    <x v="0"/>
    <x v="8"/>
    <x v="5"/>
    <x v="8"/>
    <x v="2"/>
  </r>
  <r>
    <s v="TX501599"/>
    <x v="8"/>
    <x v="2"/>
    <n v="19.100000000000001"/>
    <n v="57.300000000000004"/>
    <x v="59"/>
    <d v="2025-03-02T00:00:00"/>
    <x v="2"/>
    <x v="4"/>
    <x v="0"/>
    <x v="0"/>
    <x v="8"/>
    <x v="3"/>
    <x v="8"/>
    <x v="2"/>
  </r>
  <r>
    <s v="TX501600"/>
    <x v="5"/>
    <x v="8"/>
    <n v="34"/>
    <n v="272"/>
    <x v="59"/>
    <d v="2025-03-09T00:00:00"/>
    <x v="2"/>
    <x v="4"/>
    <x v="0"/>
    <x v="0"/>
    <x v="8"/>
    <x v="9"/>
    <x v="8"/>
    <x v="2"/>
  </r>
  <r>
    <s v="TX501601"/>
    <x v="12"/>
    <x v="1"/>
    <n v="109.1"/>
    <n v="218.2"/>
    <x v="59"/>
    <d v="2025-03-03T00:00:00"/>
    <x v="1"/>
    <x v="0"/>
    <x v="2"/>
    <x v="0"/>
    <x v="8"/>
    <x v="1"/>
    <x v="8"/>
    <x v="1"/>
  </r>
  <r>
    <s v="TX501602"/>
    <x v="18"/>
    <x v="1"/>
    <n v="64.8"/>
    <n v="129.6"/>
    <x v="59"/>
    <d v="2025-03-03T00:00:00"/>
    <x v="1"/>
    <x v="0"/>
    <x v="2"/>
    <x v="0"/>
    <x v="8"/>
    <x v="1"/>
    <x v="8"/>
    <x v="1"/>
  </r>
  <r>
    <s v="TX501603"/>
    <x v="10"/>
    <x v="1"/>
    <n v="21.1"/>
    <n v="42.2"/>
    <x v="59"/>
    <d v="2025-03-01T00:00:00"/>
    <x v="2"/>
    <x v="1"/>
    <x v="0"/>
    <x v="0"/>
    <x v="11"/>
    <x v="7"/>
    <x v="8"/>
    <x v="2"/>
  </r>
  <r>
    <s v="TX501604"/>
    <x v="0"/>
    <x v="8"/>
    <n v="21.3"/>
    <n v="170.4"/>
    <x v="59"/>
    <d v="2025-03-03T00:00:00"/>
    <x v="1"/>
    <x v="3"/>
    <x v="1"/>
    <x v="0"/>
    <x v="18"/>
    <x v="1"/>
    <x v="8"/>
    <x v="1"/>
  </r>
  <r>
    <s v="TX501605"/>
    <x v="9"/>
    <x v="2"/>
    <n v="24.3"/>
    <n v="72.900000000000006"/>
    <x v="59"/>
    <d v="2025-03-02T00:00:00"/>
    <x v="1"/>
    <x v="1"/>
    <x v="0"/>
    <x v="0"/>
    <x v="19"/>
    <x v="3"/>
    <x v="8"/>
    <x v="1"/>
  </r>
  <r>
    <s v="TX501606"/>
    <x v="8"/>
    <x v="0"/>
    <n v="43.3"/>
    <n v="43.3"/>
    <x v="59"/>
    <d v="2025-03-05T00:00:00"/>
    <x v="1"/>
    <x v="1"/>
    <x v="1"/>
    <x v="0"/>
    <x v="13"/>
    <x v="5"/>
    <x v="8"/>
    <x v="1"/>
  </r>
  <r>
    <s v="TX501607"/>
    <x v="9"/>
    <x v="2"/>
    <n v="41"/>
    <n v="123"/>
    <x v="59"/>
    <d v="2025-03-02T00:00:00"/>
    <x v="2"/>
    <x v="3"/>
    <x v="4"/>
    <x v="0"/>
    <x v="21"/>
    <x v="3"/>
    <x v="8"/>
    <x v="2"/>
  </r>
  <r>
    <s v="TX501608"/>
    <x v="16"/>
    <x v="2"/>
    <n v="54.1"/>
    <n v="162.30000000000001"/>
    <x v="59"/>
    <d v="2025-03-03T00:00:00"/>
    <x v="2"/>
    <x v="4"/>
    <x v="0"/>
    <x v="0"/>
    <x v="21"/>
    <x v="1"/>
    <x v="8"/>
    <x v="2"/>
  </r>
  <r>
    <s v="TX501609"/>
    <x v="11"/>
    <x v="1"/>
    <n v="39"/>
    <n v="78"/>
    <x v="59"/>
    <d v="2025-03-02T00:00:00"/>
    <x v="1"/>
    <x v="1"/>
    <x v="2"/>
    <x v="0"/>
    <x v="1"/>
    <x v="3"/>
    <x v="8"/>
    <x v="1"/>
  </r>
  <r>
    <s v="TX501610"/>
    <x v="8"/>
    <x v="1"/>
    <n v="40.299999999999997"/>
    <n v="80.599999999999994"/>
    <x v="59"/>
    <d v="2025-03-03T00:00:00"/>
    <x v="1"/>
    <x v="3"/>
    <x v="0"/>
    <x v="0"/>
    <x v="27"/>
    <x v="1"/>
    <x v="8"/>
    <x v="1"/>
  </r>
  <r>
    <s v="TX501611"/>
    <x v="8"/>
    <x v="2"/>
    <n v="24.1"/>
    <n v="72.300000000000011"/>
    <x v="59"/>
    <d v="2025-03-02T00:00:00"/>
    <x v="1"/>
    <x v="0"/>
    <x v="2"/>
    <x v="0"/>
    <x v="34"/>
    <x v="3"/>
    <x v="8"/>
    <x v="1"/>
  </r>
  <r>
    <s v="TX501612"/>
    <x v="6"/>
    <x v="9"/>
    <n v="52.3"/>
    <n v="261.5"/>
    <x v="59"/>
    <d v="2025-03-02T00:00:00"/>
    <x v="1"/>
    <x v="2"/>
    <x v="0"/>
    <x v="0"/>
    <x v="3"/>
    <x v="3"/>
    <x v="8"/>
    <x v="1"/>
  </r>
  <r>
    <s v="TX501613"/>
    <x v="12"/>
    <x v="12"/>
    <n v="68.8"/>
    <n v="275.2"/>
    <x v="59"/>
    <d v="2025-03-05T00:00:00"/>
    <x v="2"/>
    <x v="4"/>
    <x v="2"/>
    <x v="0"/>
    <x v="3"/>
    <x v="5"/>
    <x v="8"/>
    <x v="2"/>
  </r>
  <r>
    <s v="TX501614"/>
    <x v="2"/>
    <x v="1"/>
    <n v="128.80000000000001"/>
    <n v="257.60000000000002"/>
    <x v="60"/>
    <d v="2025-03-05T00:00:00"/>
    <x v="2"/>
    <x v="1"/>
    <x v="1"/>
    <x v="0"/>
    <x v="3"/>
    <x v="2"/>
    <x v="9"/>
    <x v="2"/>
  </r>
  <r>
    <s v="TX501615"/>
    <x v="15"/>
    <x v="9"/>
    <n v="48.2"/>
    <n v="241"/>
    <x v="60"/>
    <d v="2025-03-04T00:00:00"/>
    <x v="2"/>
    <x v="3"/>
    <x v="0"/>
    <x v="0"/>
    <x v="3"/>
    <x v="1"/>
    <x v="9"/>
    <x v="2"/>
  </r>
  <r>
    <s v="TX501616"/>
    <x v="10"/>
    <x v="0"/>
    <n v="39.700000000000003"/>
    <n v="39.700000000000003"/>
    <x v="60"/>
    <d v="2025-03-04T00:00:00"/>
    <x v="2"/>
    <x v="0"/>
    <x v="1"/>
    <x v="0"/>
    <x v="3"/>
    <x v="1"/>
    <x v="9"/>
    <x v="2"/>
  </r>
  <r>
    <s v="TX501617"/>
    <x v="9"/>
    <x v="0"/>
    <n v="59.7"/>
    <n v="59.7"/>
    <x v="60"/>
    <d v="2025-03-05T00:00:00"/>
    <x v="2"/>
    <x v="4"/>
    <x v="0"/>
    <x v="0"/>
    <x v="3"/>
    <x v="2"/>
    <x v="9"/>
    <x v="2"/>
  </r>
  <r>
    <s v="TX501618"/>
    <x v="6"/>
    <x v="0"/>
    <n v="48.3"/>
    <n v="48.3"/>
    <x v="60"/>
    <d v="2025-03-16T00:00:00"/>
    <x v="3"/>
    <x v="0"/>
    <x v="2"/>
    <x v="0"/>
    <x v="3"/>
    <x v="12"/>
    <x v="9"/>
    <x v="3"/>
  </r>
  <r>
    <s v="TX501619"/>
    <x v="8"/>
    <x v="2"/>
    <n v="45.5"/>
    <n v="136.5"/>
    <x v="60"/>
    <d v="2025-03-04T00:00:00"/>
    <x v="1"/>
    <x v="2"/>
    <x v="1"/>
    <x v="0"/>
    <x v="3"/>
    <x v="1"/>
    <x v="9"/>
    <x v="1"/>
  </r>
  <r>
    <s v="TX501620"/>
    <x v="9"/>
    <x v="6"/>
    <n v="51"/>
    <n v="1377"/>
    <x v="60"/>
    <d v="2025-03-02T00:00:00"/>
    <x v="2"/>
    <x v="2"/>
    <x v="0"/>
    <x v="0"/>
    <x v="3"/>
    <x v="7"/>
    <x v="9"/>
    <x v="2"/>
  </r>
  <r>
    <s v="TX501621"/>
    <x v="4"/>
    <x v="13"/>
    <n v="20.399999999999999"/>
    <n v="122.39999999999999"/>
    <x v="60"/>
    <d v="2025-03-03T00:00:00"/>
    <x v="1"/>
    <x v="2"/>
    <x v="0"/>
    <x v="0"/>
    <x v="3"/>
    <x v="3"/>
    <x v="9"/>
    <x v="1"/>
  </r>
  <r>
    <s v="TX501622"/>
    <x v="10"/>
    <x v="1"/>
    <n v="30.4"/>
    <n v="60.8"/>
    <x v="60"/>
    <d v="2025-03-04T00:00:00"/>
    <x v="1"/>
    <x v="2"/>
    <x v="0"/>
    <x v="0"/>
    <x v="3"/>
    <x v="1"/>
    <x v="9"/>
    <x v="1"/>
  </r>
  <r>
    <s v="TX501623"/>
    <x v="7"/>
    <x v="1"/>
    <n v="71.5"/>
    <n v="143"/>
    <x v="60"/>
    <d v="2025-03-06T00:00:00"/>
    <x v="2"/>
    <x v="0"/>
    <x v="0"/>
    <x v="0"/>
    <x v="3"/>
    <x v="5"/>
    <x v="9"/>
    <x v="2"/>
  </r>
  <r>
    <s v="TX501624"/>
    <x v="8"/>
    <x v="13"/>
    <n v="18"/>
    <n v="108"/>
    <x v="60"/>
    <d v="2025-03-03T00:00:00"/>
    <x v="3"/>
    <x v="1"/>
    <x v="2"/>
    <x v="0"/>
    <x v="6"/>
    <x v="3"/>
    <x v="9"/>
    <x v="3"/>
  </r>
  <r>
    <s v="TX501625"/>
    <x v="15"/>
    <x v="5"/>
    <n v="45.6"/>
    <n v="501.6"/>
    <x v="60"/>
    <d v="2025-03-03T00:00:00"/>
    <x v="3"/>
    <x v="1"/>
    <x v="1"/>
    <x v="0"/>
    <x v="7"/>
    <x v="3"/>
    <x v="9"/>
    <x v="3"/>
  </r>
  <r>
    <s v="TX501626"/>
    <x v="9"/>
    <x v="0"/>
    <n v="31.8"/>
    <n v="31.8"/>
    <x v="60"/>
    <d v="2025-03-06T00:00:00"/>
    <x v="2"/>
    <x v="0"/>
    <x v="2"/>
    <x v="0"/>
    <x v="7"/>
    <x v="5"/>
    <x v="9"/>
    <x v="2"/>
  </r>
  <r>
    <s v="TX501627"/>
    <x v="8"/>
    <x v="9"/>
    <n v="19.899999999999999"/>
    <n v="99.5"/>
    <x v="60"/>
    <d v="2025-03-03T00:00:00"/>
    <x v="2"/>
    <x v="1"/>
    <x v="0"/>
    <x v="0"/>
    <x v="7"/>
    <x v="3"/>
    <x v="9"/>
    <x v="2"/>
  </r>
  <r>
    <s v="TX501628"/>
    <x v="12"/>
    <x v="11"/>
    <n v="52.1"/>
    <n v="468.90000000000003"/>
    <x v="60"/>
    <d v="2025-03-04T00:00:00"/>
    <x v="1"/>
    <x v="0"/>
    <x v="0"/>
    <x v="0"/>
    <x v="8"/>
    <x v="1"/>
    <x v="9"/>
    <x v="1"/>
  </r>
  <r>
    <s v="TX501629"/>
    <x v="1"/>
    <x v="3"/>
    <n v="45.9"/>
    <n v="321.3"/>
    <x v="60"/>
    <d v="2025-03-03T00:00:00"/>
    <x v="1"/>
    <x v="0"/>
    <x v="1"/>
    <x v="0"/>
    <x v="8"/>
    <x v="3"/>
    <x v="9"/>
    <x v="1"/>
  </r>
  <r>
    <s v="TX501630"/>
    <x v="1"/>
    <x v="7"/>
    <n v="115.9"/>
    <n v="1159"/>
    <x v="60"/>
    <d v="2025-03-05T00:00:00"/>
    <x v="2"/>
    <x v="1"/>
    <x v="0"/>
    <x v="0"/>
    <x v="8"/>
    <x v="2"/>
    <x v="9"/>
    <x v="2"/>
  </r>
  <r>
    <s v="TX501631"/>
    <x v="6"/>
    <x v="11"/>
    <n v="86"/>
    <n v="774"/>
    <x v="60"/>
    <d v="2025-03-07T00:00:00"/>
    <x v="2"/>
    <x v="0"/>
    <x v="1"/>
    <x v="0"/>
    <x v="8"/>
    <x v="0"/>
    <x v="9"/>
    <x v="2"/>
  </r>
  <r>
    <s v="TX501632"/>
    <x v="7"/>
    <x v="3"/>
    <n v="73.599999999999994"/>
    <n v="515.19999999999993"/>
    <x v="60"/>
    <d v="2025-03-04T00:00:00"/>
    <x v="2"/>
    <x v="0"/>
    <x v="0"/>
    <x v="0"/>
    <x v="17"/>
    <x v="1"/>
    <x v="9"/>
    <x v="2"/>
  </r>
  <r>
    <s v="TX501633"/>
    <x v="10"/>
    <x v="2"/>
    <n v="26.7"/>
    <n v="80.099999999999994"/>
    <x v="60"/>
    <d v="2025-03-06T00:00:00"/>
    <x v="2"/>
    <x v="0"/>
    <x v="0"/>
    <x v="0"/>
    <x v="11"/>
    <x v="5"/>
    <x v="9"/>
    <x v="2"/>
  </r>
  <r>
    <s v="TX501634"/>
    <x v="8"/>
    <x v="3"/>
    <n v="46.6"/>
    <n v="326.2"/>
    <x v="60"/>
    <d v="2025-03-04T00:00:00"/>
    <x v="0"/>
    <x v="3"/>
    <x v="0"/>
    <x v="0"/>
    <x v="11"/>
    <x v="1"/>
    <x v="9"/>
    <x v="0"/>
  </r>
  <r>
    <s v="TX501635"/>
    <x v="3"/>
    <x v="2"/>
    <n v="84.6"/>
    <n v="253.79999999999998"/>
    <x v="60"/>
    <d v="2025-03-04T00:00:00"/>
    <x v="1"/>
    <x v="4"/>
    <x v="0"/>
    <x v="0"/>
    <x v="11"/>
    <x v="1"/>
    <x v="9"/>
    <x v="1"/>
  </r>
  <r>
    <s v="TX501636"/>
    <x v="7"/>
    <x v="21"/>
    <n v="41.5"/>
    <n v="581"/>
    <x v="60"/>
    <d v="2025-03-16T00:00:00"/>
    <x v="1"/>
    <x v="1"/>
    <x v="0"/>
    <x v="0"/>
    <x v="53"/>
    <x v="12"/>
    <x v="9"/>
    <x v="1"/>
  </r>
  <r>
    <s v="TX501637"/>
    <x v="8"/>
    <x v="0"/>
    <n v="32.799999999999997"/>
    <n v="32.799999999999997"/>
    <x v="60"/>
    <d v="2025-03-05T00:00:00"/>
    <x v="1"/>
    <x v="0"/>
    <x v="2"/>
    <x v="0"/>
    <x v="30"/>
    <x v="2"/>
    <x v="9"/>
    <x v="1"/>
  </r>
  <r>
    <s v="TX501638"/>
    <x v="4"/>
    <x v="3"/>
    <n v="46.7"/>
    <n v="326.90000000000003"/>
    <x v="60"/>
    <d v="2025-03-04T00:00:00"/>
    <x v="3"/>
    <x v="0"/>
    <x v="2"/>
    <x v="0"/>
    <x v="18"/>
    <x v="1"/>
    <x v="9"/>
    <x v="3"/>
  </r>
  <r>
    <s v="TX501639"/>
    <x v="15"/>
    <x v="3"/>
    <n v="21"/>
    <n v="147"/>
    <x v="60"/>
    <d v="2025-03-05T00:00:00"/>
    <x v="1"/>
    <x v="2"/>
    <x v="1"/>
    <x v="0"/>
    <x v="21"/>
    <x v="2"/>
    <x v="9"/>
    <x v="1"/>
  </r>
  <r>
    <s v="TX501640"/>
    <x v="5"/>
    <x v="3"/>
    <n v="29.4"/>
    <n v="205.79999999999998"/>
    <x v="60"/>
    <d v="2025-03-02T00:00:00"/>
    <x v="1"/>
    <x v="3"/>
    <x v="2"/>
    <x v="0"/>
    <x v="21"/>
    <x v="7"/>
    <x v="9"/>
    <x v="1"/>
  </r>
  <r>
    <s v="TX501641"/>
    <x v="15"/>
    <x v="1"/>
    <n v="32.299999999999997"/>
    <n v="64.599999999999994"/>
    <x v="60"/>
    <d v="2025-03-03T00:00:00"/>
    <x v="1"/>
    <x v="0"/>
    <x v="2"/>
    <x v="0"/>
    <x v="21"/>
    <x v="3"/>
    <x v="9"/>
    <x v="1"/>
  </r>
  <r>
    <s v="TX501642"/>
    <x v="6"/>
    <x v="0"/>
    <n v="42.2"/>
    <n v="42.2"/>
    <x v="61"/>
    <d v="2025-03-05T00:00:00"/>
    <x v="2"/>
    <x v="0"/>
    <x v="2"/>
    <x v="0"/>
    <x v="21"/>
    <x v="1"/>
    <x v="9"/>
    <x v="2"/>
  </r>
  <r>
    <s v="TX501643"/>
    <x v="6"/>
    <x v="0"/>
    <n v="53.7"/>
    <n v="53.7"/>
    <x v="61"/>
    <d v="2025-03-05T00:00:00"/>
    <x v="1"/>
    <x v="1"/>
    <x v="1"/>
    <x v="0"/>
    <x v="1"/>
    <x v="1"/>
    <x v="9"/>
    <x v="1"/>
  </r>
  <r>
    <s v="TX501644"/>
    <x v="2"/>
    <x v="1"/>
    <n v="123.9"/>
    <n v="247.8"/>
    <x v="61"/>
    <d v="2025-03-06T00:00:00"/>
    <x v="1"/>
    <x v="2"/>
    <x v="0"/>
    <x v="0"/>
    <x v="1"/>
    <x v="2"/>
    <x v="9"/>
    <x v="1"/>
  </r>
  <r>
    <s v="TX501645"/>
    <x v="4"/>
    <x v="2"/>
    <n v="35.9"/>
    <n v="107.69999999999999"/>
    <x v="61"/>
    <d v="2025-03-05T00:00:00"/>
    <x v="1"/>
    <x v="2"/>
    <x v="0"/>
    <x v="0"/>
    <x v="22"/>
    <x v="1"/>
    <x v="9"/>
    <x v="1"/>
  </r>
  <r>
    <s v="TX501646"/>
    <x v="4"/>
    <x v="1"/>
    <n v="23.6"/>
    <n v="47.2"/>
    <x v="61"/>
    <d v="2025-03-06T00:00:00"/>
    <x v="1"/>
    <x v="0"/>
    <x v="2"/>
    <x v="0"/>
    <x v="3"/>
    <x v="2"/>
    <x v="9"/>
    <x v="1"/>
  </r>
  <r>
    <s v="TX501647"/>
    <x v="15"/>
    <x v="36"/>
    <n v="45.7"/>
    <n v="1599.5"/>
    <x v="61"/>
    <d v="2025-03-04T00:00:00"/>
    <x v="1"/>
    <x v="0"/>
    <x v="1"/>
    <x v="0"/>
    <x v="3"/>
    <x v="3"/>
    <x v="9"/>
    <x v="1"/>
  </r>
  <r>
    <s v="TX501648"/>
    <x v="6"/>
    <x v="5"/>
    <n v="118.3"/>
    <n v="1301.3"/>
    <x v="61"/>
    <d v="2025-03-05T00:00:00"/>
    <x v="1"/>
    <x v="4"/>
    <x v="2"/>
    <x v="0"/>
    <x v="3"/>
    <x v="1"/>
    <x v="9"/>
    <x v="1"/>
  </r>
  <r>
    <s v="TX501649"/>
    <x v="19"/>
    <x v="0"/>
    <n v="36"/>
    <n v="36"/>
    <x v="61"/>
    <d v="2025-03-04T00:00:00"/>
    <x v="2"/>
    <x v="0"/>
    <x v="1"/>
    <x v="0"/>
    <x v="3"/>
    <x v="3"/>
    <x v="9"/>
    <x v="2"/>
  </r>
  <r>
    <s v="TX501650"/>
    <x v="8"/>
    <x v="1"/>
    <n v="37.1"/>
    <n v="74.2"/>
    <x v="61"/>
    <d v="2025-03-06T00:00:00"/>
    <x v="2"/>
    <x v="2"/>
    <x v="0"/>
    <x v="0"/>
    <x v="3"/>
    <x v="2"/>
    <x v="9"/>
    <x v="2"/>
  </r>
  <r>
    <s v="TX501651"/>
    <x v="18"/>
    <x v="2"/>
    <n v="45.1"/>
    <n v="135.30000000000001"/>
    <x v="61"/>
    <d v="2025-03-05T00:00:00"/>
    <x v="2"/>
    <x v="1"/>
    <x v="2"/>
    <x v="0"/>
    <x v="3"/>
    <x v="1"/>
    <x v="9"/>
    <x v="2"/>
  </r>
  <r>
    <s v="TX501652"/>
    <x v="5"/>
    <x v="27"/>
    <n v="37.9"/>
    <n v="606.4"/>
    <x v="61"/>
    <d v="2025-03-04T00:00:00"/>
    <x v="2"/>
    <x v="3"/>
    <x v="2"/>
    <x v="0"/>
    <x v="3"/>
    <x v="3"/>
    <x v="9"/>
    <x v="2"/>
  </r>
  <r>
    <s v="TX501653"/>
    <x v="2"/>
    <x v="1"/>
    <n v="121.6"/>
    <n v="243.2"/>
    <x v="61"/>
    <d v="2025-03-06T00:00:00"/>
    <x v="1"/>
    <x v="3"/>
    <x v="2"/>
    <x v="0"/>
    <x v="3"/>
    <x v="2"/>
    <x v="9"/>
    <x v="1"/>
  </r>
  <r>
    <s v="TX501654"/>
    <x v="5"/>
    <x v="3"/>
    <n v="38.200000000000003"/>
    <n v="267.40000000000003"/>
    <x v="61"/>
    <d v="2025-03-06T00:00:00"/>
    <x v="2"/>
    <x v="0"/>
    <x v="0"/>
    <x v="0"/>
    <x v="3"/>
    <x v="2"/>
    <x v="9"/>
    <x v="2"/>
  </r>
  <r>
    <s v="TX501655"/>
    <x v="17"/>
    <x v="1"/>
    <n v="37.200000000000003"/>
    <n v="74.400000000000006"/>
    <x v="61"/>
    <d v="2025-03-06T00:00:00"/>
    <x v="1"/>
    <x v="4"/>
    <x v="0"/>
    <x v="0"/>
    <x v="3"/>
    <x v="2"/>
    <x v="9"/>
    <x v="1"/>
  </r>
  <r>
    <s v="TX501656"/>
    <x v="2"/>
    <x v="12"/>
    <n v="115.7"/>
    <n v="462.8"/>
    <x v="61"/>
    <d v="2025-03-06T00:00:00"/>
    <x v="2"/>
    <x v="1"/>
    <x v="0"/>
    <x v="0"/>
    <x v="3"/>
    <x v="2"/>
    <x v="9"/>
    <x v="2"/>
  </r>
  <r>
    <s v="TX501657"/>
    <x v="2"/>
    <x v="13"/>
    <n v="99.4"/>
    <n v="596.40000000000009"/>
    <x v="61"/>
    <d v="2025-03-06T00:00:00"/>
    <x v="1"/>
    <x v="0"/>
    <x v="2"/>
    <x v="0"/>
    <x v="3"/>
    <x v="2"/>
    <x v="9"/>
    <x v="1"/>
  </r>
  <r>
    <s v="TX501658"/>
    <x v="11"/>
    <x v="0"/>
    <n v="38.700000000000003"/>
    <n v="38.700000000000003"/>
    <x v="61"/>
    <d v="2025-03-04T00:00:00"/>
    <x v="2"/>
    <x v="2"/>
    <x v="0"/>
    <x v="0"/>
    <x v="25"/>
    <x v="3"/>
    <x v="9"/>
    <x v="2"/>
  </r>
  <r>
    <s v="TX501659"/>
    <x v="4"/>
    <x v="1"/>
    <n v="35.5"/>
    <n v="71"/>
    <x v="61"/>
    <d v="2025-03-06T00:00:00"/>
    <x v="1"/>
    <x v="0"/>
    <x v="2"/>
    <x v="0"/>
    <x v="25"/>
    <x v="2"/>
    <x v="9"/>
    <x v="1"/>
  </r>
  <r>
    <s v="TX501660"/>
    <x v="2"/>
    <x v="12"/>
    <n v="93.3"/>
    <n v="373.2"/>
    <x v="61"/>
    <d v="2025-03-06T00:00:00"/>
    <x v="2"/>
    <x v="0"/>
    <x v="2"/>
    <x v="0"/>
    <x v="6"/>
    <x v="2"/>
    <x v="9"/>
    <x v="2"/>
  </r>
  <r>
    <s v="TX501661"/>
    <x v="16"/>
    <x v="0"/>
    <n v="31.4"/>
    <n v="31.4"/>
    <x v="61"/>
    <d v="2025-03-08T00:00:00"/>
    <x v="2"/>
    <x v="2"/>
    <x v="2"/>
    <x v="0"/>
    <x v="6"/>
    <x v="0"/>
    <x v="9"/>
    <x v="2"/>
  </r>
  <r>
    <s v="TX501662"/>
    <x v="1"/>
    <x v="0"/>
    <n v="85.9"/>
    <n v="85.9"/>
    <x v="61"/>
    <d v="2025-03-06T00:00:00"/>
    <x v="1"/>
    <x v="1"/>
    <x v="0"/>
    <x v="0"/>
    <x v="6"/>
    <x v="2"/>
    <x v="9"/>
    <x v="1"/>
  </r>
  <r>
    <s v="TX501663"/>
    <x v="6"/>
    <x v="8"/>
    <n v="41.7"/>
    <n v="333.6"/>
    <x v="61"/>
    <d v="2025-03-11T00:00:00"/>
    <x v="1"/>
    <x v="0"/>
    <x v="2"/>
    <x v="0"/>
    <x v="7"/>
    <x v="9"/>
    <x v="9"/>
    <x v="1"/>
  </r>
  <r>
    <s v="TX501664"/>
    <x v="8"/>
    <x v="12"/>
    <n v="31.5"/>
    <n v="126"/>
    <x v="61"/>
    <d v="2025-03-04T00:00:00"/>
    <x v="2"/>
    <x v="0"/>
    <x v="0"/>
    <x v="0"/>
    <x v="7"/>
    <x v="3"/>
    <x v="9"/>
    <x v="2"/>
  </r>
  <r>
    <s v="TX501665"/>
    <x v="8"/>
    <x v="1"/>
    <n v="36.299999999999997"/>
    <n v="72.599999999999994"/>
    <x v="61"/>
    <d v="2025-03-04T00:00:00"/>
    <x v="2"/>
    <x v="0"/>
    <x v="4"/>
    <x v="0"/>
    <x v="8"/>
    <x v="3"/>
    <x v="9"/>
    <x v="2"/>
  </r>
  <r>
    <s v="TX501666"/>
    <x v="8"/>
    <x v="2"/>
    <n v="33.4"/>
    <n v="100.19999999999999"/>
    <x v="61"/>
    <d v="2025-03-04T00:00:00"/>
    <x v="2"/>
    <x v="3"/>
    <x v="0"/>
    <x v="0"/>
    <x v="17"/>
    <x v="3"/>
    <x v="9"/>
    <x v="2"/>
  </r>
  <r>
    <s v="TX501667"/>
    <x v="2"/>
    <x v="2"/>
    <n v="65.2"/>
    <n v="195.60000000000002"/>
    <x v="61"/>
    <d v="2025-03-04T00:00:00"/>
    <x v="2"/>
    <x v="2"/>
    <x v="2"/>
    <x v="0"/>
    <x v="26"/>
    <x v="3"/>
    <x v="9"/>
    <x v="2"/>
  </r>
  <r>
    <s v="TX501668"/>
    <x v="8"/>
    <x v="11"/>
    <n v="65.5"/>
    <n v="589.5"/>
    <x v="61"/>
    <d v="2025-03-06T00:00:00"/>
    <x v="2"/>
    <x v="0"/>
    <x v="2"/>
    <x v="0"/>
    <x v="9"/>
    <x v="2"/>
    <x v="9"/>
    <x v="2"/>
  </r>
  <r>
    <s v="TX501669"/>
    <x v="6"/>
    <x v="2"/>
    <n v="52.8"/>
    <n v="158.39999999999998"/>
    <x v="61"/>
    <d v="2025-03-06T00:00:00"/>
    <x v="1"/>
    <x v="2"/>
    <x v="0"/>
    <x v="0"/>
    <x v="9"/>
    <x v="2"/>
    <x v="9"/>
    <x v="1"/>
  </r>
  <r>
    <s v="TX501670"/>
    <x v="9"/>
    <x v="9"/>
    <n v="24"/>
    <n v="120"/>
    <x v="61"/>
    <d v="2025-03-07T00:00:00"/>
    <x v="1"/>
    <x v="0"/>
    <x v="1"/>
    <x v="0"/>
    <x v="11"/>
    <x v="5"/>
    <x v="9"/>
    <x v="1"/>
  </r>
  <r>
    <s v="TX501671"/>
    <x v="3"/>
    <x v="2"/>
    <n v="51.2"/>
    <n v="153.60000000000002"/>
    <x v="61"/>
    <d v="2025-03-04T00:00:00"/>
    <x v="2"/>
    <x v="0"/>
    <x v="0"/>
    <x v="0"/>
    <x v="32"/>
    <x v="3"/>
    <x v="9"/>
    <x v="2"/>
  </r>
  <r>
    <s v="TX501672"/>
    <x v="5"/>
    <x v="2"/>
    <n v="28.3"/>
    <n v="84.9"/>
    <x v="61"/>
    <d v="2025-03-05T00:00:00"/>
    <x v="1"/>
    <x v="4"/>
    <x v="0"/>
    <x v="0"/>
    <x v="19"/>
    <x v="1"/>
    <x v="9"/>
    <x v="1"/>
  </r>
  <r>
    <s v="TX501673"/>
    <x v="6"/>
    <x v="2"/>
    <n v="42.3"/>
    <n v="126.89999999999999"/>
    <x v="61"/>
    <d v="2025-03-03T00:00:00"/>
    <x v="2"/>
    <x v="2"/>
    <x v="1"/>
    <x v="0"/>
    <x v="19"/>
    <x v="7"/>
    <x v="9"/>
    <x v="2"/>
  </r>
  <r>
    <s v="TX501674"/>
    <x v="2"/>
    <x v="8"/>
    <n v="163.30000000000001"/>
    <n v="1306.4000000000001"/>
    <x v="62"/>
    <d v="2025-03-05T00:00:00"/>
    <x v="2"/>
    <x v="1"/>
    <x v="0"/>
    <x v="0"/>
    <x v="13"/>
    <x v="3"/>
    <x v="9"/>
    <x v="2"/>
  </r>
  <r>
    <s v="TX501675"/>
    <x v="6"/>
    <x v="3"/>
    <n v="47.3"/>
    <n v="331.09999999999997"/>
    <x v="62"/>
    <d v="2025-03-07T00:00:00"/>
    <x v="2"/>
    <x v="4"/>
    <x v="1"/>
    <x v="0"/>
    <x v="21"/>
    <x v="2"/>
    <x v="9"/>
    <x v="2"/>
  </r>
  <r>
    <s v="TX501676"/>
    <x v="8"/>
    <x v="27"/>
    <n v="27.3"/>
    <n v="436.8"/>
    <x v="62"/>
    <d v="2025-03-05T00:00:00"/>
    <x v="2"/>
    <x v="2"/>
    <x v="0"/>
    <x v="0"/>
    <x v="21"/>
    <x v="3"/>
    <x v="9"/>
    <x v="2"/>
  </r>
  <r>
    <s v="TX501677"/>
    <x v="10"/>
    <x v="13"/>
    <n v="34.9"/>
    <n v="209.39999999999998"/>
    <x v="62"/>
    <d v="2025-03-15T00:00:00"/>
    <x v="2"/>
    <x v="0"/>
    <x v="0"/>
    <x v="0"/>
    <x v="21"/>
    <x v="11"/>
    <x v="9"/>
    <x v="2"/>
  </r>
  <r>
    <s v="TX501678"/>
    <x v="6"/>
    <x v="1"/>
    <n v="53.9"/>
    <n v="107.8"/>
    <x v="62"/>
    <d v="2025-03-07T00:00:00"/>
    <x v="3"/>
    <x v="0"/>
    <x v="4"/>
    <x v="0"/>
    <x v="1"/>
    <x v="2"/>
    <x v="9"/>
    <x v="3"/>
  </r>
  <r>
    <s v="TX501679"/>
    <x v="2"/>
    <x v="1"/>
    <n v="87.2"/>
    <n v="174.4"/>
    <x v="62"/>
    <d v="2025-03-05T00:00:00"/>
    <x v="2"/>
    <x v="0"/>
    <x v="1"/>
    <x v="0"/>
    <x v="1"/>
    <x v="3"/>
    <x v="9"/>
    <x v="2"/>
  </r>
  <r>
    <s v="TX501680"/>
    <x v="15"/>
    <x v="0"/>
    <n v="58.8"/>
    <n v="58.8"/>
    <x v="62"/>
    <d v="2025-03-06T00:00:00"/>
    <x v="2"/>
    <x v="2"/>
    <x v="0"/>
    <x v="0"/>
    <x v="44"/>
    <x v="1"/>
    <x v="9"/>
    <x v="2"/>
  </r>
  <r>
    <s v="TX501681"/>
    <x v="2"/>
    <x v="3"/>
    <n v="125.5"/>
    <n v="878.5"/>
    <x v="62"/>
    <d v="2025-03-05T00:00:00"/>
    <x v="1"/>
    <x v="2"/>
    <x v="4"/>
    <x v="0"/>
    <x v="22"/>
    <x v="3"/>
    <x v="9"/>
    <x v="1"/>
  </r>
  <r>
    <s v="TX501682"/>
    <x v="1"/>
    <x v="12"/>
    <n v="124.6"/>
    <n v="498.4"/>
    <x v="62"/>
    <d v="2025-03-06T00:00:00"/>
    <x v="2"/>
    <x v="0"/>
    <x v="1"/>
    <x v="0"/>
    <x v="22"/>
    <x v="1"/>
    <x v="9"/>
    <x v="2"/>
  </r>
  <r>
    <s v="TX501683"/>
    <x v="1"/>
    <x v="3"/>
    <n v="39.9"/>
    <n v="279.3"/>
    <x v="62"/>
    <d v="2025-03-05T00:00:00"/>
    <x v="1"/>
    <x v="2"/>
    <x v="1"/>
    <x v="0"/>
    <x v="3"/>
    <x v="3"/>
    <x v="9"/>
    <x v="1"/>
  </r>
  <r>
    <s v="TX501684"/>
    <x v="6"/>
    <x v="0"/>
    <n v="94.6"/>
    <n v="94.6"/>
    <x v="62"/>
    <d v="2025-03-18T00:00:00"/>
    <x v="2"/>
    <x v="0"/>
    <x v="1"/>
    <x v="0"/>
    <x v="3"/>
    <x v="12"/>
    <x v="9"/>
    <x v="2"/>
  </r>
  <r>
    <s v="TX501685"/>
    <x v="2"/>
    <x v="1"/>
    <n v="149.6"/>
    <n v="299.2"/>
    <x v="62"/>
    <d v="2025-03-05T00:00:00"/>
    <x v="2"/>
    <x v="0"/>
    <x v="0"/>
    <x v="0"/>
    <x v="3"/>
    <x v="3"/>
    <x v="9"/>
    <x v="2"/>
  </r>
  <r>
    <s v="TX501686"/>
    <x v="8"/>
    <x v="0"/>
    <n v="52.2"/>
    <n v="52.2"/>
    <x v="62"/>
    <d v="2025-03-05T00:00:00"/>
    <x v="0"/>
    <x v="1"/>
    <x v="0"/>
    <x v="0"/>
    <x v="3"/>
    <x v="3"/>
    <x v="9"/>
    <x v="0"/>
  </r>
  <r>
    <s v="TX501687"/>
    <x v="6"/>
    <x v="1"/>
    <n v="96.5"/>
    <n v="193"/>
    <x v="62"/>
    <d v="2025-03-05T00:00:00"/>
    <x v="2"/>
    <x v="1"/>
    <x v="1"/>
    <x v="0"/>
    <x v="3"/>
    <x v="3"/>
    <x v="9"/>
    <x v="2"/>
  </r>
  <r>
    <s v="TX501688"/>
    <x v="8"/>
    <x v="1"/>
    <n v="79.8"/>
    <n v="159.6"/>
    <x v="62"/>
    <d v="2025-03-06T00:00:00"/>
    <x v="2"/>
    <x v="0"/>
    <x v="1"/>
    <x v="0"/>
    <x v="3"/>
    <x v="1"/>
    <x v="9"/>
    <x v="2"/>
  </r>
  <r>
    <s v="TX501689"/>
    <x v="8"/>
    <x v="2"/>
    <n v="35.6"/>
    <n v="106.80000000000001"/>
    <x v="62"/>
    <d v="2025-03-05T00:00:00"/>
    <x v="2"/>
    <x v="2"/>
    <x v="0"/>
    <x v="0"/>
    <x v="3"/>
    <x v="3"/>
    <x v="9"/>
    <x v="2"/>
  </r>
  <r>
    <s v="TX501690"/>
    <x v="16"/>
    <x v="0"/>
    <n v="50.2"/>
    <n v="50.2"/>
    <x v="62"/>
    <d v="2025-03-05T00:00:00"/>
    <x v="2"/>
    <x v="1"/>
    <x v="2"/>
    <x v="0"/>
    <x v="3"/>
    <x v="3"/>
    <x v="9"/>
    <x v="2"/>
  </r>
  <r>
    <s v="TX501691"/>
    <x v="1"/>
    <x v="2"/>
    <n v="55.3"/>
    <n v="165.89999999999998"/>
    <x v="62"/>
    <d v="2025-03-07T00:00:00"/>
    <x v="2"/>
    <x v="0"/>
    <x v="4"/>
    <x v="0"/>
    <x v="40"/>
    <x v="2"/>
    <x v="9"/>
    <x v="2"/>
  </r>
  <r>
    <s v="TX501692"/>
    <x v="6"/>
    <x v="3"/>
    <n v="104.5"/>
    <n v="731.5"/>
    <x v="62"/>
    <d v="2025-03-08T00:00:00"/>
    <x v="2"/>
    <x v="1"/>
    <x v="0"/>
    <x v="0"/>
    <x v="7"/>
    <x v="5"/>
    <x v="9"/>
    <x v="2"/>
  </r>
  <r>
    <s v="TX501693"/>
    <x v="6"/>
    <x v="12"/>
    <n v="66.5"/>
    <n v="266"/>
    <x v="62"/>
    <d v="2025-03-06T00:00:00"/>
    <x v="1"/>
    <x v="1"/>
    <x v="0"/>
    <x v="0"/>
    <x v="7"/>
    <x v="1"/>
    <x v="9"/>
    <x v="1"/>
  </r>
  <r>
    <s v="TX501694"/>
    <x v="10"/>
    <x v="8"/>
    <n v="38.299999999999997"/>
    <n v="306.39999999999998"/>
    <x v="62"/>
    <d v="2025-03-05T00:00:00"/>
    <x v="2"/>
    <x v="0"/>
    <x v="0"/>
    <x v="0"/>
    <x v="7"/>
    <x v="3"/>
    <x v="9"/>
    <x v="2"/>
  </r>
  <r>
    <s v="TX501695"/>
    <x v="6"/>
    <x v="2"/>
    <n v="63.8"/>
    <n v="191.39999999999998"/>
    <x v="62"/>
    <d v="2025-03-07T00:00:00"/>
    <x v="2"/>
    <x v="1"/>
    <x v="0"/>
    <x v="0"/>
    <x v="8"/>
    <x v="2"/>
    <x v="9"/>
    <x v="2"/>
  </r>
  <r>
    <s v="TX501696"/>
    <x v="15"/>
    <x v="0"/>
    <n v="21.4"/>
    <n v="21.4"/>
    <x v="62"/>
    <d v="2025-03-04T00:00:00"/>
    <x v="1"/>
    <x v="4"/>
    <x v="0"/>
    <x v="0"/>
    <x v="8"/>
    <x v="7"/>
    <x v="9"/>
    <x v="1"/>
  </r>
  <r>
    <s v="TX501697"/>
    <x v="8"/>
    <x v="12"/>
    <n v="44.1"/>
    <n v="176.4"/>
    <x v="62"/>
    <d v="2025-03-06T00:00:00"/>
    <x v="2"/>
    <x v="2"/>
    <x v="0"/>
    <x v="0"/>
    <x v="8"/>
    <x v="1"/>
    <x v="9"/>
    <x v="2"/>
  </r>
  <r>
    <s v="TX501698"/>
    <x v="5"/>
    <x v="8"/>
    <n v="57.6"/>
    <n v="460.8"/>
    <x v="62"/>
    <d v="2025-03-06T00:00:00"/>
    <x v="1"/>
    <x v="1"/>
    <x v="2"/>
    <x v="0"/>
    <x v="8"/>
    <x v="1"/>
    <x v="9"/>
    <x v="1"/>
  </r>
  <r>
    <s v="TX501699"/>
    <x v="9"/>
    <x v="1"/>
    <n v="20.3"/>
    <n v="40.6"/>
    <x v="62"/>
    <d v="2025-03-10T00:00:00"/>
    <x v="2"/>
    <x v="3"/>
    <x v="0"/>
    <x v="0"/>
    <x v="8"/>
    <x v="4"/>
    <x v="9"/>
    <x v="2"/>
  </r>
  <r>
    <s v="TX501700"/>
    <x v="8"/>
    <x v="0"/>
    <n v="22.9"/>
    <n v="22.9"/>
    <x v="62"/>
    <d v="2025-03-06T00:00:00"/>
    <x v="2"/>
    <x v="2"/>
    <x v="2"/>
    <x v="0"/>
    <x v="8"/>
    <x v="1"/>
    <x v="9"/>
    <x v="2"/>
  </r>
  <r>
    <s v="TX501701"/>
    <x v="6"/>
    <x v="12"/>
    <n v="105.9"/>
    <n v="423.6"/>
    <x v="62"/>
    <d v="2025-03-05T00:00:00"/>
    <x v="2"/>
    <x v="1"/>
    <x v="2"/>
    <x v="0"/>
    <x v="17"/>
    <x v="3"/>
    <x v="9"/>
    <x v="2"/>
  </r>
  <r>
    <s v="TX501702"/>
    <x v="1"/>
    <x v="11"/>
    <n v="37.4"/>
    <n v="336.59999999999997"/>
    <x v="62"/>
    <d v="2025-03-08T00:00:00"/>
    <x v="1"/>
    <x v="1"/>
    <x v="0"/>
    <x v="0"/>
    <x v="11"/>
    <x v="5"/>
    <x v="9"/>
    <x v="1"/>
  </r>
  <r>
    <s v="TX501703"/>
    <x v="18"/>
    <x v="1"/>
    <n v="79"/>
    <n v="158"/>
    <x v="62"/>
    <d v="2025-03-05T00:00:00"/>
    <x v="1"/>
    <x v="2"/>
    <x v="0"/>
    <x v="0"/>
    <x v="28"/>
    <x v="3"/>
    <x v="9"/>
    <x v="1"/>
  </r>
  <r>
    <s v="TX501704"/>
    <x v="0"/>
    <x v="2"/>
    <n v="19.3"/>
    <n v="57.900000000000006"/>
    <x v="62"/>
    <d v="2025-03-05T00:00:00"/>
    <x v="2"/>
    <x v="4"/>
    <x v="0"/>
    <x v="0"/>
    <x v="21"/>
    <x v="3"/>
    <x v="9"/>
    <x v="2"/>
  </r>
  <r>
    <s v="TX501705"/>
    <x v="0"/>
    <x v="0"/>
    <n v="24"/>
    <n v="24"/>
    <x v="62"/>
    <d v="2025-03-05T00:00:00"/>
    <x v="2"/>
    <x v="1"/>
    <x v="0"/>
    <x v="0"/>
    <x v="1"/>
    <x v="3"/>
    <x v="9"/>
    <x v="2"/>
  </r>
  <r>
    <s v="TX501706"/>
    <x v="6"/>
    <x v="9"/>
    <n v="71.3"/>
    <n v="356.5"/>
    <x v="62"/>
    <d v="2025-03-07T00:00:00"/>
    <x v="2"/>
    <x v="2"/>
    <x v="0"/>
    <x v="0"/>
    <x v="2"/>
    <x v="2"/>
    <x v="9"/>
    <x v="2"/>
  </r>
  <r>
    <s v="TX501707"/>
    <x v="5"/>
    <x v="1"/>
    <n v="166.2"/>
    <n v="332.4"/>
    <x v="62"/>
    <d v="2025-03-05T00:00:00"/>
    <x v="1"/>
    <x v="0"/>
    <x v="2"/>
    <x v="0"/>
    <x v="50"/>
    <x v="3"/>
    <x v="9"/>
    <x v="1"/>
  </r>
  <r>
    <s v="TX501708"/>
    <x v="6"/>
    <x v="0"/>
    <n v="81"/>
    <n v="81"/>
    <x v="62"/>
    <d v="2025-03-05T00:00:00"/>
    <x v="2"/>
    <x v="2"/>
    <x v="1"/>
    <x v="0"/>
    <x v="3"/>
    <x v="3"/>
    <x v="9"/>
    <x v="2"/>
  </r>
  <r>
    <s v="TX501709"/>
    <x v="10"/>
    <x v="13"/>
    <n v="38.5"/>
    <n v="231"/>
    <x v="62"/>
    <d v="2025-03-08T00:00:00"/>
    <x v="2"/>
    <x v="0"/>
    <x v="0"/>
    <x v="0"/>
    <x v="3"/>
    <x v="5"/>
    <x v="9"/>
    <x v="2"/>
  </r>
  <r>
    <s v="TX501710"/>
    <x v="6"/>
    <x v="0"/>
    <n v="86.1"/>
    <n v="86.1"/>
    <x v="62"/>
    <d v="2025-03-06T00:00:00"/>
    <x v="2"/>
    <x v="3"/>
    <x v="0"/>
    <x v="0"/>
    <x v="3"/>
    <x v="1"/>
    <x v="9"/>
    <x v="2"/>
  </r>
  <r>
    <s v="TX501711"/>
    <x v="2"/>
    <x v="9"/>
    <n v="51"/>
    <n v="255"/>
    <x v="62"/>
    <d v="2025-03-05T00:00:00"/>
    <x v="1"/>
    <x v="0"/>
    <x v="1"/>
    <x v="0"/>
    <x v="3"/>
    <x v="3"/>
    <x v="9"/>
    <x v="1"/>
  </r>
  <r>
    <s v="TX501712"/>
    <x v="3"/>
    <x v="9"/>
    <n v="115.4"/>
    <n v="577"/>
    <x v="62"/>
    <d v="2025-03-05T00:00:00"/>
    <x v="1"/>
    <x v="0"/>
    <x v="0"/>
    <x v="0"/>
    <x v="3"/>
    <x v="3"/>
    <x v="9"/>
    <x v="1"/>
  </r>
  <r>
    <s v="TX501713"/>
    <x v="6"/>
    <x v="12"/>
    <n v="176.5"/>
    <n v="706"/>
    <x v="62"/>
    <d v="2025-03-05T00:00:00"/>
    <x v="2"/>
    <x v="2"/>
    <x v="2"/>
    <x v="0"/>
    <x v="3"/>
    <x v="3"/>
    <x v="9"/>
    <x v="2"/>
  </r>
  <r>
    <s v="TX501714"/>
    <x v="7"/>
    <x v="2"/>
    <n v="48.9"/>
    <n v="146.69999999999999"/>
    <x v="62"/>
    <d v="2025-03-05T00:00:00"/>
    <x v="1"/>
    <x v="4"/>
    <x v="0"/>
    <x v="0"/>
    <x v="3"/>
    <x v="3"/>
    <x v="9"/>
    <x v="1"/>
  </r>
  <r>
    <s v="TX501715"/>
    <x v="8"/>
    <x v="2"/>
    <n v="18.100000000000001"/>
    <n v="54.300000000000004"/>
    <x v="62"/>
    <d v="2025-03-11T00:00:00"/>
    <x v="2"/>
    <x v="1"/>
    <x v="2"/>
    <x v="0"/>
    <x v="29"/>
    <x v="6"/>
    <x v="9"/>
    <x v="2"/>
  </r>
  <r>
    <s v="TX501716"/>
    <x v="2"/>
    <x v="1"/>
    <n v="118.5"/>
    <n v="237"/>
    <x v="62"/>
    <d v="2025-03-07T00:00:00"/>
    <x v="1"/>
    <x v="1"/>
    <x v="2"/>
    <x v="0"/>
    <x v="16"/>
    <x v="2"/>
    <x v="9"/>
    <x v="1"/>
  </r>
  <r>
    <s v="TX501717"/>
    <x v="15"/>
    <x v="3"/>
    <n v="59.1"/>
    <n v="413.7"/>
    <x v="62"/>
    <d v="2025-03-05T00:00:00"/>
    <x v="2"/>
    <x v="3"/>
    <x v="0"/>
    <x v="0"/>
    <x v="25"/>
    <x v="3"/>
    <x v="9"/>
    <x v="2"/>
  </r>
  <r>
    <s v="TX501718"/>
    <x v="4"/>
    <x v="0"/>
    <n v="21.2"/>
    <n v="21.2"/>
    <x v="62"/>
    <d v="2025-03-05T00:00:00"/>
    <x v="2"/>
    <x v="0"/>
    <x v="1"/>
    <x v="0"/>
    <x v="6"/>
    <x v="3"/>
    <x v="9"/>
    <x v="2"/>
  </r>
  <r>
    <s v="TX501719"/>
    <x v="6"/>
    <x v="1"/>
    <n v="68.8"/>
    <n v="137.6"/>
    <x v="62"/>
    <d v="2025-03-09T00:00:00"/>
    <x v="2"/>
    <x v="3"/>
    <x v="2"/>
    <x v="0"/>
    <x v="6"/>
    <x v="0"/>
    <x v="9"/>
    <x v="2"/>
  </r>
  <r>
    <s v="TX501720"/>
    <x v="6"/>
    <x v="1"/>
    <n v="65.400000000000006"/>
    <n v="130.80000000000001"/>
    <x v="62"/>
    <d v="2025-03-08T00:00:00"/>
    <x v="2"/>
    <x v="0"/>
    <x v="0"/>
    <x v="0"/>
    <x v="6"/>
    <x v="5"/>
    <x v="9"/>
    <x v="2"/>
  </r>
  <r>
    <s v="TX501721"/>
    <x v="12"/>
    <x v="9"/>
    <n v="66.3"/>
    <n v="331.5"/>
    <x v="63"/>
    <d v="2025-03-08T00:00:00"/>
    <x v="2"/>
    <x v="4"/>
    <x v="0"/>
    <x v="0"/>
    <x v="6"/>
    <x v="2"/>
    <x v="9"/>
    <x v="2"/>
  </r>
  <r>
    <s v="TX501722"/>
    <x v="6"/>
    <x v="2"/>
    <n v="97.5"/>
    <n v="292.5"/>
    <x v="63"/>
    <d v="2025-03-05T00:00:00"/>
    <x v="1"/>
    <x v="3"/>
    <x v="0"/>
    <x v="0"/>
    <x v="8"/>
    <x v="7"/>
    <x v="9"/>
    <x v="1"/>
  </r>
  <r>
    <s v="TX501723"/>
    <x v="1"/>
    <x v="1"/>
    <n v="44"/>
    <n v="88"/>
    <x v="63"/>
    <d v="2025-03-08T00:00:00"/>
    <x v="2"/>
    <x v="1"/>
    <x v="2"/>
    <x v="0"/>
    <x v="8"/>
    <x v="2"/>
    <x v="9"/>
    <x v="2"/>
  </r>
  <r>
    <s v="TX501724"/>
    <x v="0"/>
    <x v="0"/>
    <n v="21.9"/>
    <n v="21.9"/>
    <x v="63"/>
    <d v="2025-03-06T00:00:00"/>
    <x v="1"/>
    <x v="0"/>
    <x v="0"/>
    <x v="0"/>
    <x v="8"/>
    <x v="3"/>
    <x v="9"/>
    <x v="1"/>
  </r>
  <r>
    <s v="TX501725"/>
    <x v="4"/>
    <x v="3"/>
    <n v="21.5"/>
    <n v="150.5"/>
    <x v="63"/>
    <d v="2025-03-07T00:00:00"/>
    <x v="2"/>
    <x v="1"/>
    <x v="2"/>
    <x v="0"/>
    <x v="9"/>
    <x v="1"/>
    <x v="9"/>
    <x v="2"/>
  </r>
  <r>
    <s v="TX501726"/>
    <x v="12"/>
    <x v="13"/>
    <n v="133"/>
    <n v="798"/>
    <x v="63"/>
    <d v="2025-03-06T00:00:00"/>
    <x v="3"/>
    <x v="0"/>
    <x v="2"/>
    <x v="0"/>
    <x v="10"/>
    <x v="3"/>
    <x v="9"/>
    <x v="3"/>
  </r>
  <r>
    <s v="TX501727"/>
    <x v="8"/>
    <x v="1"/>
    <n v="47.7"/>
    <n v="95.4"/>
    <x v="63"/>
    <d v="2025-03-09T00:00:00"/>
    <x v="1"/>
    <x v="0"/>
    <x v="2"/>
    <x v="0"/>
    <x v="10"/>
    <x v="5"/>
    <x v="9"/>
    <x v="1"/>
  </r>
  <r>
    <s v="TX501728"/>
    <x v="16"/>
    <x v="2"/>
    <n v="58.1"/>
    <n v="174.3"/>
    <x v="63"/>
    <d v="2025-03-06T00:00:00"/>
    <x v="2"/>
    <x v="0"/>
    <x v="0"/>
    <x v="0"/>
    <x v="11"/>
    <x v="3"/>
    <x v="9"/>
    <x v="2"/>
  </r>
  <r>
    <s v="TX501729"/>
    <x v="12"/>
    <x v="12"/>
    <n v="66.599999999999994"/>
    <n v="266.39999999999998"/>
    <x v="63"/>
    <d v="2025-03-06T00:00:00"/>
    <x v="0"/>
    <x v="0"/>
    <x v="0"/>
    <x v="0"/>
    <x v="11"/>
    <x v="3"/>
    <x v="9"/>
    <x v="0"/>
  </r>
  <r>
    <s v="TX501730"/>
    <x v="9"/>
    <x v="0"/>
    <n v="24.1"/>
    <n v="24.1"/>
    <x v="63"/>
    <d v="2025-03-08T00:00:00"/>
    <x v="1"/>
    <x v="2"/>
    <x v="1"/>
    <x v="0"/>
    <x v="19"/>
    <x v="2"/>
    <x v="9"/>
    <x v="1"/>
  </r>
  <r>
    <s v="TX501731"/>
    <x v="10"/>
    <x v="9"/>
    <n v="51.5"/>
    <n v="257.5"/>
    <x v="63"/>
    <d v="2025-03-10T00:00:00"/>
    <x v="2"/>
    <x v="0"/>
    <x v="0"/>
    <x v="0"/>
    <x v="13"/>
    <x v="0"/>
    <x v="9"/>
    <x v="2"/>
  </r>
  <r>
    <s v="TX501732"/>
    <x v="0"/>
    <x v="5"/>
    <n v="25.8"/>
    <n v="283.8"/>
    <x v="63"/>
    <d v="2025-03-09T00:00:00"/>
    <x v="2"/>
    <x v="3"/>
    <x v="4"/>
    <x v="0"/>
    <x v="21"/>
    <x v="5"/>
    <x v="9"/>
    <x v="2"/>
  </r>
  <r>
    <s v="TX501733"/>
    <x v="9"/>
    <x v="12"/>
    <n v="47.7"/>
    <n v="190.8"/>
    <x v="63"/>
    <d v="2025-03-05T00:00:00"/>
    <x v="2"/>
    <x v="0"/>
    <x v="1"/>
    <x v="0"/>
    <x v="21"/>
    <x v="7"/>
    <x v="9"/>
    <x v="2"/>
  </r>
  <r>
    <s v="TX501734"/>
    <x v="7"/>
    <x v="9"/>
    <n v="73.599999999999994"/>
    <n v="368"/>
    <x v="63"/>
    <d v="2025-03-09T00:00:00"/>
    <x v="1"/>
    <x v="1"/>
    <x v="0"/>
    <x v="0"/>
    <x v="21"/>
    <x v="5"/>
    <x v="9"/>
    <x v="1"/>
  </r>
  <r>
    <s v="TX501735"/>
    <x v="5"/>
    <x v="3"/>
    <n v="91.2"/>
    <n v="638.4"/>
    <x v="63"/>
    <d v="2025-03-06T00:00:00"/>
    <x v="1"/>
    <x v="1"/>
    <x v="2"/>
    <x v="0"/>
    <x v="21"/>
    <x v="3"/>
    <x v="9"/>
    <x v="1"/>
  </r>
  <r>
    <s v="TX501736"/>
    <x v="1"/>
    <x v="8"/>
    <n v="36.200000000000003"/>
    <n v="289.60000000000002"/>
    <x v="63"/>
    <d v="2025-03-05T00:00:00"/>
    <x v="1"/>
    <x v="2"/>
    <x v="2"/>
    <x v="0"/>
    <x v="1"/>
    <x v="7"/>
    <x v="9"/>
    <x v="1"/>
  </r>
  <r>
    <s v="TX501737"/>
    <x v="9"/>
    <x v="8"/>
    <n v="98"/>
    <n v="784"/>
    <x v="63"/>
    <d v="2025-03-09T00:00:00"/>
    <x v="2"/>
    <x v="2"/>
    <x v="0"/>
    <x v="0"/>
    <x v="2"/>
    <x v="5"/>
    <x v="9"/>
    <x v="2"/>
  </r>
  <r>
    <s v="TX501738"/>
    <x v="1"/>
    <x v="8"/>
    <n v="43.6"/>
    <n v="348.8"/>
    <x v="63"/>
    <d v="2025-03-06T00:00:00"/>
    <x v="2"/>
    <x v="2"/>
    <x v="0"/>
    <x v="0"/>
    <x v="22"/>
    <x v="3"/>
    <x v="9"/>
    <x v="2"/>
  </r>
  <r>
    <s v="TX501739"/>
    <x v="8"/>
    <x v="7"/>
    <n v="37.799999999999997"/>
    <n v="378"/>
    <x v="63"/>
    <d v="2025-03-05T00:00:00"/>
    <x v="3"/>
    <x v="0"/>
    <x v="0"/>
    <x v="0"/>
    <x v="50"/>
    <x v="7"/>
    <x v="9"/>
    <x v="3"/>
  </r>
  <r>
    <s v="TX501740"/>
    <x v="17"/>
    <x v="9"/>
    <n v="63.7"/>
    <n v="318.5"/>
    <x v="63"/>
    <d v="2025-03-08T00:00:00"/>
    <x v="2"/>
    <x v="2"/>
    <x v="1"/>
    <x v="0"/>
    <x v="3"/>
    <x v="2"/>
    <x v="9"/>
    <x v="2"/>
  </r>
  <r>
    <s v="TX501741"/>
    <x v="5"/>
    <x v="11"/>
    <n v="62.9"/>
    <n v="566.1"/>
    <x v="63"/>
    <d v="2025-03-10T00:00:00"/>
    <x v="1"/>
    <x v="3"/>
    <x v="2"/>
    <x v="0"/>
    <x v="3"/>
    <x v="0"/>
    <x v="9"/>
    <x v="1"/>
  </r>
  <r>
    <s v="TX501742"/>
    <x v="6"/>
    <x v="3"/>
    <n v="61.7"/>
    <n v="431.90000000000003"/>
    <x v="63"/>
    <d v="2025-03-08T00:00:00"/>
    <x v="2"/>
    <x v="2"/>
    <x v="2"/>
    <x v="0"/>
    <x v="3"/>
    <x v="2"/>
    <x v="9"/>
    <x v="2"/>
  </r>
  <r>
    <s v="TX501743"/>
    <x v="18"/>
    <x v="21"/>
    <n v="36.5"/>
    <n v="511"/>
    <x v="63"/>
    <d v="2025-03-06T00:00:00"/>
    <x v="1"/>
    <x v="0"/>
    <x v="2"/>
    <x v="0"/>
    <x v="3"/>
    <x v="3"/>
    <x v="9"/>
    <x v="1"/>
  </r>
  <r>
    <s v="TX501744"/>
    <x v="11"/>
    <x v="2"/>
    <n v="98.6"/>
    <n v="295.79999999999995"/>
    <x v="63"/>
    <d v="2025-03-08T00:00:00"/>
    <x v="3"/>
    <x v="0"/>
    <x v="4"/>
    <x v="0"/>
    <x v="3"/>
    <x v="2"/>
    <x v="9"/>
    <x v="3"/>
  </r>
  <r>
    <s v="TX501745"/>
    <x v="8"/>
    <x v="1"/>
    <n v="19.2"/>
    <n v="38.4"/>
    <x v="63"/>
    <d v="2025-03-15T00:00:00"/>
    <x v="1"/>
    <x v="0"/>
    <x v="0"/>
    <x v="0"/>
    <x v="3"/>
    <x v="14"/>
    <x v="9"/>
    <x v="1"/>
  </r>
  <r>
    <s v="TX501746"/>
    <x v="3"/>
    <x v="13"/>
    <n v="55.6"/>
    <n v="333.6"/>
    <x v="63"/>
    <d v="2025-03-09T00:00:00"/>
    <x v="2"/>
    <x v="0"/>
    <x v="2"/>
    <x v="0"/>
    <x v="3"/>
    <x v="5"/>
    <x v="9"/>
    <x v="2"/>
  </r>
  <r>
    <s v="TX501747"/>
    <x v="5"/>
    <x v="13"/>
    <n v="56.4"/>
    <n v="338.4"/>
    <x v="63"/>
    <d v="2025-03-06T00:00:00"/>
    <x v="2"/>
    <x v="1"/>
    <x v="0"/>
    <x v="0"/>
    <x v="3"/>
    <x v="3"/>
    <x v="9"/>
    <x v="2"/>
  </r>
  <r>
    <s v="TX501748"/>
    <x v="4"/>
    <x v="8"/>
    <n v="43.1"/>
    <n v="344.8"/>
    <x v="63"/>
    <d v="2025-03-09T00:00:00"/>
    <x v="2"/>
    <x v="4"/>
    <x v="0"/>
    <x v="0"/>
    <x v="3"/>
    <x v="5"/>
    <x v="9"/>
    <x v="2"/>
  </r>
  <r>
    <s v="TX501749"/>
    <x v="1"/>
    <x v="1"/>
    <n v="77.3"/>
    <n v="154.6"/>
    <x v="63"/>
    <d v="2025-03-07T00:00:00"/>
    <x v="1"/>
    <x v="0"/>
    <x v="0"/>
    <x v="0"/>
    <x v="6"/>
    <x v="1"/>
    <x v="9"/>
    <x v="1"/>
  </r>
  <r>
    <s v="TX501750"/>
    <x v="9"/>
    <x v="8"/>
    <n v="38.299999999999997"/>
    <n v="306.39999999999998"/>
    <x v="63"/>
    <d v="2025-03-06T00:00:00"/>
    <x v="1"/>
    <x v="0"/>
    <x v="0"/>
    <x v="0"/>
    <x v="7"/>
    <x v="3"/>
    <x v="9"/>
    <x v="1"/>
  </r>
  <r>
    <s v="TX501751"/>
    <x v="0"/>
    <x v="3"/>
    <n v="16.8"/>
    <n v="117.60000000000001"/>
    <x v="63"/>
    <d v="2025-03-08T00:00:00"/>
    <x v="1"/>
    <x v="2"/>
    <x v="1"/>
    <x v="0"/>
    <x v="8"/>
    <x v="2"/>
    <x v="9"/>
    <x v="1"/>
  </r>
  <r>
    <s v="TX501752"/>
    <x v="2"/>
    <x v="2"/>
    <n v="63.2"/>
    <n v="189.60000000000002"/>
    <x v="63"/>
    <d v="2025-03-06T00:00:00"/>
    <x v="2"/>
    <x v="0"/>
    <x v="2"/>
    <x v="0"/>
    <x v="8"/>
    <x v="3"/>
    <x v="9"/>
    <x v="2"/>
  </r>
  <r>
    <s v="TX501753"/>
    <x v="14"/>
    <x v="44"/>
    <n v="39.700000000000003"/>
    <n v="913.1"/>
    <x v="63"/>
    <d v="2025-03-06T00:00:00"/>
    <x v="1"/>
    <x v="0"/>
    <x v="0"/>
    <x v="0"/>
    <x v="8"/>
    <x v="3"/>
    <x v="9"/>
    <x v="1"/>
  </r>
  <r>
    <s v="TX501754"/>
    <x v="10"/>
    <x v="2"/>
    <n v="45.8"/>
    <n v="137.39999999999998"/>
    <x v="63"/>
    <d v="2025-03-06T00:00:00"/>
    <x v="2"/>
    <x v="1"/>
    <x v="2"/>
    <x v="0"/>
    <x v="8"/>
    <x v="3"/>
    <x v="9"/>
    <x v="2"/>
  </r>
  <r>
    <s v="TX501755"/>
    <x v="0"/>
    <x v="13"/>
    <n v="12.4"/>
    <n v="74.400000000000006"/>
    <x v="63"/>
    <d v="2025-03-08T00:00:00"/>
    <x v="1"/>
    <x v="0"/>
    <x v="0"/>
    <x v="0"/>
    <x v="8"/>
    <x v="2"/>
    <x v="9"/>
    <x v="1"/>
  </r>
  <r>
    <s v="TX501756"/>
    <x v="14"/>
    <x v="2"/>
    <n v="50.8"/>
    <n v="152.39999999999998"/>
    <x v="64"/>
    <d v="2025-03-06T00:00:00"/>
    <x v="2"/>
    <x v="4"/>
    <x v="0"/>
    <x v="0"/>
    <x v="17"/>
    <x v="7"/>
    <x v="9"/>
    <x v="2"/>
  </r>
  <r>
    <s v="TX501757"/>
    <x v="9"/>
    <x v="0"/>
    <n v="76"/>
    <n v="76"/>
    <x v="64"/>
    <d v="2025-03-10T00:00:00"/>
    <x v="3"/>
    <x v="2"/>
    <x v="2"/>
    <x v="0"/>
    <x v="17"/>
    <x v="5"/>
    <x v="9"/>
    <x v="3"/>
  </r>
  <r>
    <s v="TX501758"/>
    <x v="1"/>
    <x v="1"/>
    <n v="51.9"/>
    <n v="103.8"/>
    <x v="64"/>
    <d v="2025-03-07T00:00:00"/>
    <x v="1"/>
    <x v="1"/>
    <x v="2"/>
    <x v="0"/>
    <x v="26"/>
    <x v="3"/>
    <x v="9"/>
    <x v="1"/>
  </r>
  <r>
    <s v="TX501759"/>
    <x v="2"/>
    <x v="1"/>
    <n v="93.4"/>
    <n v="186.8"/>
    <x v="64"/>
    <d v="2025-03-13T00:00:00"/>
    <x v="1"/>
    <x v="0"/>
    <x v="3"/>
    <x v="0"/>
    <x v="11"/>
    <x v="6"/>
    <x v="9"/>
    <x v="1"/>
  </r>
  <r>
    <s v="TX501760"/>
    <x v="7"/>
    <x v="13"/>
    <n v="30.8"/>
    <n v="184.8"/>
    <x v="64"/>
    <d v="2025-03-09T00:00:00"/>
    <x v="2"/>
    <x v="1"/>
    <x v="0"/>
    <x v="0"/>
    <x v="11"/>
    <x v="2"/>
    <x v="9"/>
    <x v="2"/>
  </r>
  <r>
    <s v="TX501761"/>
    <x v="2"/>
    <x v="0"/>
    <n v="143.19999999999999"/>
    <n v="143.19999999999999"/>
    <x v="64"/>
    <d v="2025-03-09T00:00:00"/>
    <x v="1"/>
    <x v="2"/>
    <x v="0"/>
    <x v="0"/>
    <x v="11"/>
    <x v="2"/>
    <x v="9"/>
    <x v="1"/>
  </r>
  <r>
    <s v="TX501762"/>
    <x v="6"/>
    <x v="5"/>
    <n v="40.4"/>
    <n v="444.4"/>
    <x v="64"/>
    <d v="2025-03-08T00:00:00"/>
    <x v="1"/>
    <x v="2"/>
    <x v="2"/>
    <x v="0"/>
    <x v="18"/>
    <x v="1"/>
    <x v="9"/>
    <x v="1"/>
  </r>
  <r>
    <s v="TX501763"/>
    <x v="2"/>
    <x v="10"/>
    <n v="131.5"/>
    <n v="2498.5"/>
    <x v="64"/>
    <d v="2025-03-08T00:00:00"/>
    <x v="1"/>
    <x v="1"/>
    <x v="1"/>
    <x v="0"/>
    <x v="18"/>
    <x v="1"/>
    <x v="9"/>
    <x v="1"/>
  </r>
  <r>
    <s v="TX501764"/>
    <x v="18"/>
    <x v="3"/>
    <n v="61.6"/>
    <n v="431.2"/>
    <x v="64"/>
    <d v="2025-03-07T00:00:00"/>
    <x v="1"/>
    <x v="2"/>
    <x v="0"/>
    <x v="0"/>
    <x v="21"/>
    <x v="3"/>
    <x v="9"/>
    <x v="1"/>
  </r>
  <r>
    <s v="TX501765"/>
    <x v="9"/>
    <x v="9"/>
    <n v="32.700000000000003"/>
    <n v="163.5"/>
    <x v="64"/>
    <d v="2025-03-08T00:00:00"/>
    <x v="1"/>
    <x v="2"/>
    <x v="0"/>
    <x v="0"/>
    <x v="1"/>
    <x v="1"/>
    <x v="9"/>
    <x v="1"/>
  </r>
  <r>
    <s v="TX501766"/>
    <x v="0"/>
    <x v="7"/>
    <n v="13.7"/>
    <n v="137"/>
    <x v="64"/>
    <d v="2025-03-07T00:00:00"/>
    <x v="1"/>
    <x v="0"/>
    <x v="2"/>
    <x v="0"/>
    <x v="3"/>
    <x v="3"/>
    <x v="9"/>
    <x v="1"/>
  </r>
  <r>
    <s v="TX501767"/>
    <x v="0"/>
    <x v="12"/>
    <n v="32.1"/>
    <n v="128.4"/>
    <x v="64"/>
    <d v="2025-03-07T00:00:00"/>
    <x v="1"/>
    <x v="4"/>
    <x v="1"/>
    <x v="0"/>
    <x v="3"/>
    <x v="3"/>
    <x v="9"/>
    <x v="1"/>
  </r>
  <r>
    <s v="TX501768"/>
    <x v="14"/>
    <x v="8"/>
    <n v="12"/>
    <n v="96"/>
    <x v="64"/>
    <d v="2025-03-07T00:00:00"/>
    <x v="1"/>
    <x v="1"/>
    <x v="0"/>
    <x v="0"/>
    <x v="24"/>
    <x v="3"/>
    <x v="9"/>
    <x v="1"/>
  </r>
  <r>
    <s v="TX501769"/>
    <x v="12"/>
    <x v="0"/>
    <n v="64.3"/>
    <n v="64.3"/>
    <x v="64"/>
    <d v="2025-03-08T00:00:00"/>
    <x v="2"/>
    <x v="2"/>
    <x v="2"/>
    <x v="0"/>
    <x v="6"/>
    <x v="1"/>
    <x v="9"/>
    <x v="2"/>
  </r>
  <r>
    <s v="TX501770"/>
    <x v="1"/>
    <x v="2"/>
    <n v="58.2"/>
    <n v="174.60000000000002"/>
    <x v="64"/>
    <d v="2025-03-08T00:00:00"/>
    <x v="2"/>
    <x v="1"/>
    <x v="2"/>
    <x v="0"/>
    <x v="6"/>
    <x v="1"/>
    <x v="9"/>
    <x v="2"/>
  </r>
  <r>
    <s v="TX501771"/>
    <x v="6"/>
    <x v="12"/>
    <n v="59.2"/>
    <n v="236.8"/>
    <x v="64"/>
    <d v="2025-03-06T00:00:00"/>
    <x v="1"/>
    <x v="1"/>
    <x v="2"/>
    <x v="0"/>
    <x v="6"/>
    <x v="7"/>
    <x v="9"/>
    <x v="1"/>
  </r>
  <r>
    <s v="TX501772"/>
    <x v="10"/>
    <x v="5"/>
    <n v="35.6"/>
    <n v="391.6"/>
    <x v="64"/>
    <d v="2025-03-13T00:00:00"/>
    <x v="1"/>
    <x v="0"/>
    <x v="2"/>
    <x v="0"/>
    <x v="8"/>
    <x v="6"/>
    <x v="9"/>
    <x v="1"/>
  </r>
  <r>
    <s v="TX501773"/>
    <x v="16"/>
    <x v="8"/>
    <n v="37"/>
    <n v="296"/>
    <x v="64"/>
    <d v="2025-03-10T00:00:00"/>
    <x v="2"/>
    <x v="2"/>
    <x v="1"/>
    <x v="0"/>
    <x v="8"/>
    <x v="5"/>
    <x v="9"/>
    <x v="2"/>
  </r>
  <r>
    <s v="TX501774"/>
    <x v="1"/>
    <x v="15"/>
    <n v="80.8"/>
    <n v="1050.3999999999999"/>
    <x v="64"/>
    <d v="2025-03-08T00:00:00"/>
    <x v="2"/>
    <x v="0"/>
    <x v="0"/>
    <x v="0"/>
    <x v="8"/>
    <x v="1"/>
    <x v="9"/>
    <x v="2"/>
  </r>
  <r>
    <s v="TX501775"/>
    <x v="8"/>
    <x v="1"/>
    <n v="63.2"/>
    <n v="126.4"/>
    <x v="64"/>
    <d v="2025-03-07T00:00:00"/>
    <x v="1"/>
    <x v="0"/>
    <x v="1"/>
    <x v="0"/>
    <x v="8"/>
    <x v="3"/>
    <x v="9"/>
    <x v="1"/>
  </r>
  <r>
    <s v="TX501776"/>
    <x v="3"/>
    <x v="1"/>
    <n v="40.799999999999997"/>
    <n v="81.599999999999994"/>
    <x v="64"/>
    <d v="2025-03-08T00:00:00"/>
    <x v="1"/>
    <x v="0"/>
    <x v="1"/>
    <x v="0"/>
    <x v="17"/>
    <x v="1"/>
    <x v="9"/>
    <x v="1"/>
  </r>
  <r>
    <s v="TX501777"/>
    <x v="13"/>
    <x v="13"/>
    <n v="25.7"/>
    <n v="154.19999999999999"/>
    <x v="64"/>
    <d v="2025-03-08T00:00:00"/>
    <x v="1"/>
    <x v="4"/>
    <x v="0"/>
    <x v="0"/>
    <x v="18"/>
    <x v="1"/>
    <x v="9"/>
    <x v="1"/>
  </r>
  <r>
    <s v="TX501778"/>
    <x v="16"/>
    <x v="1"/>
    <n v="49.9"/>
    <n v="99.8"/>
    <x v="64"/>
    <d v="2025-03-09T00:00:00"/>
    <x v="1"/>
    <x v="0"/>
    <x v="0"/>
    <x v="0"/>
    <x v="20"/>
    <x v="2"/>
    <x v="9"/>
    <x v="1"/>
  </r>
  <r>
    <s v="TX501779"/>
    <x v="8"/>
    <x v="1"/>
    <n v="20.2"/>
    <n v="40.4"/>
    <x v="64"/>
    <d v="2025-03-08T00:00:00"/>
    <x v="2"/>
    <x v="3"/>
    <x v="0"/>
    <x v="0"/>
    <x v="21"/>
    <x v="1"/>
    <x v="9"/>
    <x v="2"/>
  </r>
  <r>
    <s v="TX501780"/>
    <x v="6"/>
    <x v="2"/>
    <n v="48.4"/>
    <n v="145.19999999999999"/>
    <x v="64"/>
    <d v="2025-03-11T00:00:00"/>
    <x v="2"/>
    <x v="0"/>
    <x v="2"/>
    <x v="0"/>
    <x v="21"/>
    <x v="0"/>
    <x v="9"/>
    <x v="2"/>
  </r>
  <r>
    <s v="TX501781"/>
    <x v="6"/>
    <x v="1"/>
    <n v="81"/>
    <n v="162"/>
    <x v="64"/>
    <d v="2025-03-07T00:00:00"/>
    <x v="2"/>
    <x v="1"/>
    <x v="2"/>
    <x v="0"/>
    <x v="21"/>
    <x v="3"/>
    <x v="9"/>
    <x v="2"/>
  </r>
  <r>
    <s v="TX501782"/>
    <x v="8"/>
    <x v="13"/>
    <n v="19.899999999999999"/>
    <n v="119.39999999999999"/>
    <x v="64"/>
    <d v="2025-03-09T00:00:00"/>
    <x v="2"/>
    <x v="0"/>
    <x v="1"/>
    <x v="0"/>
    <x v="22"/>
    <x v="2"/>
    <x v="9"/>
    <x v="2"/>
  </r>
  <r>
    <s v="TX501783"/>
    <x v="4"/>
    <x v="12"/>
    <n v="32.200000000000003"/>
    <n v="128.80000000000001"/>
    <x v="64"/>
    <d v="2025-03-16T00:00:00"/>
    <x v="1"/>
    <x v="0"/>
    <x v="0"/>
    <x v="0"/>
    <x v="22"/>
    <x v="14"/>
    <x v="9"/>
    <x v="1"/>
  </r>
  <r>
    <s v="TX501784"/>
    <x v="5"/>
    <x v="2"/>
    <n v="76.8"/>
    <n v="230.39999999999998"/>
    <x v="64"/>
    <d v="2025-03-07T00:00:00"/>
    <x v="2"/>
    <x v="0"/>
    <x v="1"/>
    <x v="0"/>
    <x v="3"/>
    <x v="3"/>
    <x v="9"/>
    <x v="2"/>
  </r>
  <r>
    <s v="TX501785"/>
    <x v="6"/>
    <x v="1"/>
    <n v="41.9"/>
    <n v="83.8"/>
    <x v="64"/>
    <d v="2025-03-08T00:00:00"/>
    <x v="2"/>
    <x v="0"/>
    <x v="0"/>
    <x v="0"/>
    <x v="3"/>
    <x v="1"/>
    <x v="9"/>
    <x v="2"/>
  </r>
  <r>
    <s v="TX501786"/>
    <x v="0"/>
    <x v="3"/>
    <n v="34"/>
    <n v="238"/>
    <x v="64"/>
    <d v="2025-03-08T00:00:00"/>
    <x v="2"/>
    <x v="1"/>
    <x v="2"/>
    <x v="0"/>
    <x v="3"/>
    <x v="1"/>
    <x v="9"/>
    <x v="2"/>
  </r>
  <r>
    <s v="TX501787"/>
    <x v="7"/>
    <x v="3"/>
    <n v="61.3"/>
    <n v="429.09999999999997"/>
    <x v="64"/>
    <d v="2025-03-06T00:00:00"/>
    <x v="2"/>
    <x v="4"/>
    <x v="2"/>
    <x v="0"/>
    <x v="3"/>
    <x v="7"/>
    <x v="9"/>
    <x v="2"/>
  </r>
  <r>
    <s v="TX501788"/>
    <x v="9"/>
    <x v="0"/>
    <n v="54.7"/>
    <n v="54.7"/>
    <x v="65"/>
    <d v="2025-03-08T00:00:00"/>
    <x v="1"/>
    <x v="0"/>
    <x v="1"/>
    <x v="0"/>
    <x v="3"/>
    <x v="3"/>
    <x v="9"/>
    <x v="1"/>
  </r>
  <r>
    <s v="TX501789"/>
    <x v="6"/>
    <x v="7"/>
    <n v="84.7"/>
    <n v="847"/>
    <x v="65"/>
    <d v="2025-03-11T00:00:00"/>
    <x v="2"/>
    <x v="0"/>
    <x v="0"/>
    <x v="0"/>
    <x v="3"/>
    <x v="5"/>
    <x v="9"/>
    <x v="2"/>
  </r>
  <r>
    <s v="TX501790"/>
    <x v="1"/>
    <x v="2"/>
    <n v="93.4"/>
    <n v="280.20000000000005"/>
    <x v="65"/>
    <d v="2025-03-11T00:00:00"/>
    <x v="2"/>
    <x v="3"/>
    <x v="0"/>
    <x v="0"/>
    <x v="3"/>
    <x v="5"/>
    <x v="9"/>
    <x v="2"/>
  </r>
  <r>
    <s v="TX501791"/>
    <x v="8"/>
    <x v="9"/>
    <n v="27"/>
    <n v="135"/>
    <x v="65"/>
    <d v="2025-03-10T00:00:00"/>
    <x v="1"/>
    <x v="0"/>
    <x v="1"/>
    <x v="0"/>
    <x v="3"/>
    <x v="2"/>
    <x v="9"/>
    <x v="1"/>
  </r>
  <r>
    <s v="TX501792"/>
    <x v="0"/>
    <x v="12"/>
    <n v="10.9"/>
    <n v="43.6"/>
    <x v="65"/>
    <d v="2025-03-08T00:00:00"/>
    <x v="1"/>
    <x v="2"/>
    <x v="0"/>
    <x v="0"/>
    <x v="3"/>
    <x v="3"/>
    <x v="9"/>
    <x v="1"/>
  </r>
  <r>
    <s v="TX501793"/>
    <x v="16"/>
    <x v="2"/>
    <n v="48"/>
    <n v="144"/>
    <x v="65"/>
    <d v="2025-03-12T00:00:00"/>
    <x v="2"/>
    <x v="4"/>
    <x v="0"/>
    <x v="0"/>
    <x v="3"/>
    <x v="0"/>
    <x v="9"/>
    <x v="2"/>
  </r>
  <r>
    <s v="TX501794"/>
    <x v="5"/>
    <x v="1"/>
    <n v="67.900000000000006"/>
    <n v="135.80000000000001"/>
    <x v="65"/>
    <d v="2025-03-08T00:00:00"/>
    <x v="1"/>
    <x v="0"/>
    <x v="2"/>
    <x v="0"/>
    <x v="23"/>
    <x v="3"/>
    <x v="9"/>
    <x v="1"/>
  </r>
  <r>
    <s v="TX501795"/>
    <x v="4"/>
    <x v="2"/>
    <n v="36"/>
    <n v="108"/>
    <x v="65"/>
    <d v="2025-03-08T00:00:00"/>
    <x v="1"/>
    <x v="1"/>
    <x v="0"/>
    <x v="0"/>
    <x v="6"/>
    <x v="3"/>
    <x v="9"/>
    <x v="1"/>
  </r>
  <r>
    <s v="TX501796"/>
    <x v="2"/>
    <x v="0"/>
    <n v="128.80000000000001"/>
    <n v="128.80000000000001"/>
    <x v="65"/>
    <d v="2025-03-08T00:00:00"/>
    <x v="1"/>
    <x v="4"/>
    <x v="2"/>
    <x v="0"/>
    <x v="6"/>
    <x v="3"/>
    <x v="9"/>
    <x v="1"/>
  </r>
  <r>
    <s v="TX501797"/>
    <x v="18"/>
    <x v="3"/>
    <n v="33.299999999999997"/>
    <n v="233.09999999999997"/>
    <x v="65"/>
    <d v="2025-03-08T00:00:00"/>
    <x v="2"/>
    <x v="3"/>
    <x v="0"/>
    <x v="0"/>
    <x v="8"/>
    <x v="3"/>
    <x v="9"/>
    <x v="2"/>
  </r>
  <r>
    <s v="TX501798"/>
    <x v="10"/>
    <x v="2"/>
    <n v="37.799999999999997"/>
    <n v="113.39999999999999"/>
    <x v="65"/>
    <d v="2025-03-09T00:00:00"/>
    <x v="1"/>
    <x v="1"/>
    <x v="2"/>
    <x v="0"/>
    <x v="8"/>
    <x v="1"/>
    <x v="9"/>
    <x v="1"/>
  </r>
  <r>
    <s v="TX501799"/>
    <x v="5"/>
    <x v="2"/>
    <n v="26"/>
    <n v="78"/>
    <x v="65"/>
    <d v="2025-03-12T00:00:00"/>
    <x v="2"/>
    <x v="0"/>
    <x v="0"/>
    <x v="0"/>
    <x v="8"/>
    <x v="0"/>
    <x v="9"/>
    <x v="2"/>
  </r>
  <r>
    <s v="TX501800"/>
    <x v="8"/>
    <x v="10"/>
    <n v="28.3"/>
    <n v="537.70000000000005"/>
    <x v="65"/>
    <d v="2025-03-08T00:00:00"/>
    <x v="2"/>
    <x v="3"/>
    <x v="4"/>
    <x v="0"/>
    <x v="8"/>
    <x v="3"/>
    <x v="9"/>
    <x v="2"/>
  </r>
  <r>
    <s v="TX501801"/>
    <x v="8"/>
    <x v="12"/>
    <n v="31.3"/>
    <n v="125.2"/>
    <x v="65"/>
    <d v="2025-03-07T00:00:00"/>
    <x v="2"/>
    <x v="0"/>
    <x v="0"/>
    <x v="0"/>
    <x v="8"/>
    <x v="7"/>
    <x v="9"/>
    <x v="2"/>
  </r>
  <r>
    <s v="TX501802"/>
    <x v="7"/>
    <x v="2"/>
    <n v="69.5"/>
    <n v="208.5"/>
    <x v="65"/>
    <d v="2025-03-08T00:00:00"/>
    <x v="2"/>
    <x v="3"/>
    <x v="2"/>
    <x v="0"/>
    <x v="8"/>
    <x v="3"/>
    <x v="9"/>
    <x v="2"/>
  </r>
  <r>
    <s v="TX501803"/>
    <x v="0"/>
    <x v="1"/>
    <n v="16.7"/>
    <n v="33.4"/>
    <x v="65"/>
    <d v="2025-03-08T00:00:00"/>
    <x v="2"/>
    <x v="3"/>
    <x v="1"/>
    <x v="0"/>
    <x v="8"/>
    <x v="3"/>
    <x v="9"/>
    <x v="2"/>
  </r>
  <r>
    <s v="TX501804"/>
    <x v="9"/>
    <x v="1"/>
    <n v="62.6"/>
    <n v="125.2"/>
    <x v="65"/>
    <d v="2025-03-08T00:00:00"/>
    <x v="1"/>
    <x v="2"/>
    <x v="2"/>
    <x v="0"/>
    <x v="9"/>
    <x v="3"/>
    <x v="9"/>
    <x v="1"/>
  </r>
  <r>
    <s v="TX501805"/>
    <x v="7"/>
    <x v="0"/>
    <n v="81.2"/>
    <n v="81.2"/>
    <x v="65"/>
    <d v="2025-03-13T00:00:00"/>
    <x v="1"/>
    <x v="4"/>
    <x v="4"/>
    <x v="0"/>
    <x v="9"/>
    <x v="4"/>
    <x v="9"/>
    <x v="1"/>
  </r>
  <r>
    <s v="TX501806"/>
    <x v="0"/>
    <x v="7"/>
    <n v="12.7"/>
    <n v="127"/>
    <x v="65"/>
    <d v="2025-03-08T00:00:00"/>
    <x v="2"/>
    <x v="0"/>
    <x v="2"/>
    <x v="0"/>
    <x v="9"/>
    <x v="3"/>
    <x v="9"/>
    <x v="2"/>
  </r>
  <r>
    <s v="TX501807"/>
    <x v="7"/>
    <x v="12"/>
    <n v="77.7"/>
    <n v="310.8"/>
    <x v="66"/>
    <d v="2025-03-12T00:00:00"/>
    <x v="1"/>
    <x v="1"/>
    <x v="0"/>
    <x v="0"/>
    <x v="11"/>
    <x v="5"/>
    <x v="9"/>
    <x v="1"/>
  </r>
  <r>
    <s v="TX501808"/>
    <x v="5"/>
    <x v="1"/>
    <n v="37.299999999999997"/>
    <n v="74.599999999999994"/>
    <x v="66"/>
    <d v="2025-03-09T00:00:00"/>
    <x v="2"/>
    <x v="0"/>
    <x v="2"/>
    <x v="0"/>
    <x v="18"/>
    <x v="3"/>
    <x v="9"/>
    <x v="2"/>
  </r>
  <r>
    <s v="TX501809"/>
    <x v="10"/>
    <x v="12"/>
    <n v="35.6"/>
    <n v="142.4"/>
    <x v="66"/>
    <d v="2025-03-10T00:00:00"/>
    <x v="2"/>
    <x v="1"/>
    <x v="1"/>
    <x v="0"/>
    <x v="19"/>
    <x v="1"/>
    <x v="9"/>
    <x v="2"/>
  </r>
  <r>
    <s v="TX501810"/>
    <x v="2"/>
    <x v="2"/>
    <n v="95"/>
    <n v="285"/>
    <x v="66"/>
    <d v="2025-03-12T00:00:00"/>
    <x v="2"/>
    <x v="2"/>
    <x v="2"/>
    <x v="0"/>
    <x v="56"/>
    <x v="5"/>
    <x v="9"/>
    <x v="2"/>
  </r>
  <r>
    <s v="TX501811"/>
    <x v="2"/>
    <x v="12"/>
    <n v="172.1"/>
    <n v="688.4"/>
    <x v="66"/>
    <d v="2025-03-12T00:00:00"/>
    <x v="3"/>
    <x v="2"/>
    <x v="2"/>
    <x v="0"/>
    <x v="21"/>
    <x v="5"/>
    <x v="9"/>
    <x v="3"/>
  </r>
  <r>
    <s v="TX501812"/>
    <x v="2"/>
    <x v="1"/>
    <n v="233"/>
    <n v="466"/>
    <x v="66"/>
    <d v="2025-03-11T00:00:00"/>
    <x v="2"/>
    <x v="1"/>
    <x v="0"/>
    <x v="0"/>
    <x v="21"/>
    <x v="2"/>
    <x v="9"/>
    <x v="2"/>
  </r>
  <r>
    <s v="TX501813"/>
    <x v="0"/>
    <x v="0"/>
    <n v="43.5"/>
    <n v="43.5"/>
    <x v="66"/>
    <d v="2025-03-09T00:00:00"/>
    <x v="2"/>
    <x v="2"/>
    <x v="2"/>
    <x v="0"/>
    <x v="21"/>
    <x v="3"/>
    <x v="9"/>
    <x v="2"/>
  </r>
  <r>
    <s v="TX501814"/>
    <x v="9"/>
    <x v="1"/>
    <n v="47.8"/>
    <n v="95.6"/>
    <x v="66"/>
    <d v="2025-03-11T00:00:00"/>
    <x v="1"/>
    <x v="4"/>
    <x v="2"/>
    <x v="0"/>
    <x v="1"/>
    <x v="2"/>
    <x v="9"/>
    <x v="1"/>
  </r>
  <r>
    <s v="TX501815"/>
    <x v="12"/>
    <x v="1"/>
    <n v="65.8"/>
    <n v="131.6"/>
    <x v="66"/>
    <d v="2025-03-10T00:00:00"/>
    <x v="2"/>
    <x v="0"/>
    <x v="3"/>
    <x v="0"/>
    <x v="33"/>
    <x v="1"/>
    <x v="9"/>
    <x v="2"/>
  </r>
  <r>
    <s v="TX501816"/>
    <x v="15"/>
    <x v="5"/>
    <n v="38.700000000000003"/>
    <n v="425.70000000000005"/>
    <x v="66"/>
    <d v="2025-03-08T00:00:00"/>
    <x v="1"/>
    <x v="0"/>
    <x v="0"/>
    <x v="0"/>
    <x v="22"/>
    <x v="7"/>
    <x v="9"/>
    <x v="1"/>
  </r>
  <r>
    <s v="TX501817"/>
    <x v="3"/>
    <x v="12"/>
    <n v="55.7"/>
    <n v="222.8"/>
    <x v="66"/>
    <d v="2025-03-10T00:00:00"/>
    <x v="3"/>
    <x v="0"/>
    <x v="1"/>
    <x v="0"/>
    <x v="22"/>
    <x v="1"/>
    <x v="9"/>
    <x v="3"/>
  </r>
  <r>
    <s v="TX501818"/>
    <x v="7"/>
    <x v="1"/>
    <n v="102.4"/>
    <n v="204.8"/>
    <x v="66"/>
    <d v="2025-03-08T00:00:00"/>
    <x v="2"/>
    <x v="1"/>
    <x v="0"/>
    <x v="0"/>
    <x v="3"/>
    <x v="7"/>
    <x v="9"/>
    <x v="2"/>
  </r>
  <r>
    <s v="TX501819"/>
    <x v="1"/>
    <x v="0"/>
    <n v="92"/>
    <n v="92"/>
    <x v="66"/>
    <d v="2025-03-12T00:00:00"/>
    <x v="0"/>
    <x v="2"/>
    <x v="0"/>
    <x v="0"/>
    <x v="3"/>
    <x v="5"/>
    <x v="9"/>
    <x v="0"/>
  </r>
  <r>
    <s v="TX501820"/>
    <x v="6"/>
    <x v="12"/>
    <n v="75.900000000000006"/>
    <n v="303.60000000000002"/>
    <x v="66"/>
    <d v="2025-03-10T00:00:00"/>
    <x v="2"/>
    <x v="1"/>
    <x v="0"/>
    <x v="0"/>
    <x v="3"/>
    <x v="1"/>
    <x v="9"/>
    <x v="2"/>
  </r>
  <r>
    <s v="TX501821"/>
    <x v="1"/>
    <x v="12"/>
    <n v="36.200000000000003"/>
    <n v="144.80000000000001"/>
    <x v="66"/>
    <d v="2025-03-09T00:00:00"/>
    <x v="2"/>
    <x v="1"/>
    <x v="0"/>
    <x v="0"/>
    <x v="3"/>
    <x v="3"/>
    <x v="9"/>
    <x v="2"/>
  </r>
  <r>
    <s v="TX501822"/>
    <x v="6"/>
    <x v="45"/>
    <n v="83.5"/>
    <n v="7264.5"/>
    <x v="66"/>
    <d v="2025-03-10T00:00:00"/>
    <x v="0"/>
    <x v="3"/>
    <x v="0"/>
    <x v="0"/>
    <x v="3"/>
    <x v="1"/>
    <x v="9"/>
    <x v="0"/>
  </r>
  <r>
    <s v="TX501823"/>
    <x v="19"/>
    <x v="4"/>
    <n v="52.4"/>
    <n v="628.79999999999995"/>
    <x v="66"/>
    <d v="2025-03-08T00:00:00"/>
    <x v="1"/>
    <x v="2"/>
    <x v="0"/>
    <x v="0"/>
    <x v="3"/>
    <x v="7"/>
    <x v="9"/>
    <x v="1"/>
  </r>
  <r>
    <s v="TX501824"/>
    <x v="12"/>
    <x v="2"/>
    <n v="69.5"/>
    <n v="208.5"/>
    <x v="66"/>
    <d v="2025-03-09T00:00:00"/>
    <x v="3"/>
    <x v="4"/>
    <x v="0"/>
    <x v="0"/>
    <x v="3"/>
    <x v="3"/>
    <x v="9"/>
    <x v="3"/>
  </r>
  <r>
    <s v="TX501825"/>
    <x v="0"/>
    <x v="0"/>
    <n v="15.5"/>
    <n v="15.5"/>
    <x v="66"/>
    <d v="2025-03-10T00:00:00"/>
    <x v="1"/>
    <x v="0"/>
    <x v="0"/>
    <x v="0"/>
    <x v="3"/>
    <x v="1"/>
    <x v="9"/>
    <x v="1"/>
  </r>
  <r>
    <s v="TX501826"/>
    <x v="4"/>
    <x v="12"/>
    <n v="35.200000000000003"/>
    <n v="140.80000000000001"/>
    <x v="66"/>
    <d v="2025-03-09T00:00:00"/>
    <x v="2"/>
    <x v="2"/>
    <x v="2"/>
    <x v="0"/>
    <x v="3"/>
    <x v="3"/>
    <x v="9"/>
    <x v="2"/>
  </r>
  <r>
    <s v="TX501827"/>
    <x v="8"/>
    <x v="13"/>
    <n v="34.6"/>
    <n v="207.60000000000002"/>
    <x v="66"/>
    <d v="2025-03-09T00:00:00"/>
    <x v="0"/>
    <x v="0"/>
    <x v="1"/>
    <x v="0"/>
    <x v="3"/>
    <x v="3"/>
    <x v="9"/>
    <x v="0"/>
  </r>
  <r>
    <s v="TX501828"/>
    <x v="4"/>
    <x v="0"/>
    <n v="21.3"/>
    <n v="21.3"/>
    <x v="67"/>
    <d v="2025-03-10T00:00:00"/>
    <x v="1"/>
    <x v="2"/>
    <x v="1"/>
    <x v="0"/>
    <x v="3"/>
    <x v="3"/>
    <x v="10"/>
    <x v="1"/>
  </r>
  <r>
    <s v="TX501829"/>
    <x v="6"/>
    <x v="1"/>
    <n v="136.5"/>
    <n v="273"/>
    <x v="67"/>
    <d v="2025-03-15T00:00:00"/>
    <x v="2"/>
    <x v="0"/>
    <x v="0"/>
    <x v="0"/>
    <x v="37"/>
    <x v="4"/>
    <x v="10"/>
    <x v="2"/>
  </r>
  <r>
    <s v="TX501830"/>
    <x v="9"/>
    <x v="3"/>
    <n v="30.7"/>
    <n v="214.9"/>
    <x v="67"/>
    <d v="2025-03-10T00:00:00"/>
    <x v="1"/>
    <x v="2"/>
    <x v="2"/>
    <x v="0"/>
    <x v="25"/>
    <x v="3"/>
    <x v="10"/>
    <x v="1"/>
  </r>
  <r>
    <s v="TX501831"/>
    <x v="1"/>
    <x v="1"/>
    <n v="61.6"/>
    <n v="123.2"/>
    <x v="67"/>
    <d v="2025-03-10T00:00:00"/>
    <x v="2"/>
    <x v="2"/>
    <x v="2"/>
    <x v="0"/>
    <x v="23"/>
    <x v="3"/>
    <x v="10"/>
    <x v="2"/>
  </r>
  <r>
    <s v="TX501832"/>
    <x v="6"/>
    <x v="12"/>
    <n v="54.3"/>
    <n v="217.2"/>
    <x v="67"/>
    <d v="2025-03-11T00:00:00"/>
    <x v="0"/>
    <x v="4"/>
    <x v="0"/>
    <x v="0"/>
    <x v="7"/>
    <x v="1"/>
    <x v="10"/>
    <x v="0"/>
  </r>
  <r>
    <s v="TX501833"/>
    <x v="1"/>
    <x v="1"/>
    <n v="44.1"/>
    <n v="88.2"/>
    <x v="67"/>
    <d v="2025-03-21T00:00:00"/>
    <x v="2"/>
    <x v="0"/>
    <x v="2"/>
    <x v="0"/>
    <x v="8"/>
    <x v="13"/>
    <x v="10"/>
    <x v="2"/>
  </r>
  <r>
    <s v="TX501834"/>
    <x v="8"/>
    <x v="12"/>
    <n v="43.5"/>
    <n v="174"/>
    <x v="67"/>
    <d v="2025-03-15T00:00:00"/>
    <x v="1"/>
    <x v="3"/>
    <x v="0"/>
    <x v="0"/>
    <x v="8"/>
    <x v="4"/>
    <x v="10"/>
    <x v="1"/>
  </r>
  <r>
    <s v="TX501835"/>
    <x v="8"/>
    <x v="2"/>
    <n v="48.2"/>
    <n v="144.60000000000002"/>
    <x v="67"/>
    <d v="2025-03-13T00:00:00"/>
    <x v="1"/>
    <x v="3"/>
    <x v="1"/>
    <x v="0"/>
    <x v="8"/>
    <x v="5"/>
    <x v="10"/>
    <x v="1"/>
  </r>
  <r>
    <s v="TX501836"/>
    <x v="19"/>
    <x v="0"/>
    <n v="13.7"/>
    <n v="13.7"/>
    <x v="67"/>
    <d v="2025-03-10T00:00:00"/>
    <x v="2"/>
    <x v="2"/>
    <x v="2"/>
    <x v="0"/>
    <x v="8"/>
    <x v="3"/>
    <x v="10"/>
    <x v="2"/>
  </r>
  <r>
    <s v="TX501837"/>
    <x v="2"/>
    <x v="1"/>
    <n v="110.5"/>
    <n v="221"/>
    <x v="67"/>
    <d v="2025-03-10T00:00:00"/>
    <x v="2"/>
    <x v="0"/>
    <x v="1"/>
    <x v="0"/>
    <x v="8"/>
    <x v="3"/>
    <x v="10"/>
    <x v="2"/>
  </r>
  <r>
    <s v="TX501838"/>
    <x v="8"/>
    <x v="2"/>
    <n v="26"/>
    <n v="78"/>
    <x v="67"/>
    <d v="2025-03-14T00:00:00"/>
    <x v="2"/>
    <x v="1"/>
    <x v="1"/>
    <x v="0"/>
    <x v="8"/>
    <x v="0"/>
    <x v="10"/>
    <x v="2"/>
  </r>
  <r>
    <s v="TX501839"/>
    <x v="2"/>
    <x v="7"/>
    <n v="140.69999999999999"/>
    <n v="1407"/>
    <x v="67"/>
    <d v="2025-03-15T00:00:00"/>
    <x v="1"/>
    <x v="3"/>
    <x v="1"/>
    <x v="0"/>
    <x v="8"/>
    <x v="4"/>
    <x v="10"/>
    <x v="1"/>
  </r>
  <r>
    <s v="TX501840"/>
    <x v="17"/>
    <x v="1"/>
    <n v="41.7"/>
    <n v="83.4"/>
    <x v="67"/>
    <d v="2025-03-17T00:00:00"/>
    <x v="2"/>
    <x v="0"/>
    <x v="4"/>
    <x v="0"/>
    <x v="8"/>
    <x v="9"/>
    <x v="10"/>
    <x v="2"/>
  </r>
  <r>
    <s v="TX501841"/>
    <x v="2"/>
    <x v="1"/>
    <n v="135.1"/>
    <n v="270.2"/>
    <x v="67"/>
    <d v="2025-03-10T00:00:00"/>
    <x v="1"/>
    <x v="0"/>
    <x v="2"/>
    <x v="0"/>
    <x v="17"/>
    <x v="3"/>
    <x v="10"/>
    <x v="1"/>
  </r>
  <r>
    <s v="TX501842"/>
    <x v="12"/>
    <x v="32"/>
    <n v="95.5"/>
    <n v="2101"/>
    <x v="67"/>
    <d v="2025-03-10T00:00:00"/>
    <x v="2"/>
    <x v="4"/>
    <x v="4"/>
    <x v="0"/>
    <x v="26"/>
    <x v="3"/>
    <x v="10"/>
    <x v="2"/>
  </r>
  <r>
    <s v="TX501843"/>
    <x v="15"/>
    <x v="0"/>
    <n v="25.5"/>
    <n v="25.5"/>
    <x v="67"/>
    <d v="2025-03-12T00:00:00"/>
    <x v="0"/>
    <x v="2"/>
    <x v="2"/>
    <x v="0"/>
    <x v="11"/>
    <x v="2"/>
    <x v="10"/>
    <x v="0"/>
  </r>
  <r>
    <s v="TX501844"/>
    <x v="1"/>
    <x v="0"/>
    <n v="42.6"/>
    <n v="42.6"/>
    <x v="67"/>
    <d v="2025-03-13T00:00:00"/>
    <x v="2"/>
    <x v="0"/>
    <x v="0"/>
    <x v="0"/>
    <x v="11"/>
    <x v="5"/>
    <x v="10"/>
    <x v="2"/>
  </r>
  <r>
    <s v="TX501845"/>
    <x v="8"/>
    <x v="20"/>
    <n v="32.4"/>
    <n v="486"/>
    <x v="67"/>
    <d v="2025-03-10T00:00:00"/>
    <x v="1"/>
    <x v="1"/>
    <x v="1"/>
    <x v="0"/>
    <x v="11"/>
    <x v="3"/>
    <x v="10"/>
    <x v="1"/>
  </r>
  <r>
    <s v="TX501846"/>
    <x v="4"/>
    <x v="12"/>
    <n v="20.2"/>
    <n v="80.8"/>
    <x v="67"/>
    <d v="2025-03-10T00:00:00"/>
    <x v="3"/>
    <x v="2"/>
    <x v="0"/>
    <x v="0"/>
    <x v="11"/>
    <x v="3"/>
    <x v="10"/>
    <x v="3"/>
  </r>
  <r>
    <s v="TX501847"/>
    <x v="16"/>
    <x v="2"/>
    <n v="52.5"/>
    <n v="157.5"/>
    <x v="67"/>
    <d v="2025-03-14T00:00:00"/>
    <x v="2"/>
    <x v="4"/>
    <x v="0"/>
    <x v="0"/>
    <x v="18"/>
    <x v="0"/>
    <x v="10"/>
    <x v="2"/>
  </r>
  <r>
    <s v="TX501848"/>
    <x v="2"/>
    <x v="9"/>
    <n v="59.9"/>
    <n v="299.5"/>
    <x v="67"/>
    <d v="2025-03-11T00:00:00"/>
    <x v="2"/>
    <x v="2"/>
    <x v="0"/>
    <x v="0"/>
    <x v="19"/>
    <x v="1"/>
    <x v="10"/>
    <x v="2"/>
  </r>
  <r>
    <s v="TX501849"/>
    <x v="4"/>
    <x v="1"/>
    <n v="53.2"/>
    <n v="106.4"/>
    <x v="67"/>
    <d v="2025-03-10T00:00:00"/>
    <x v="2"/>
    <x v="1"/>
    <x v="3"/>
    <x v="0"/>
    <x v="20"/>
    <x v="3"/>
    <x v="10"/>
    <x v="2"/>
  </r>
  <r>
    <s v="TX501850"/>
    <x v="2"/>
    <x v="1"/>
    <n v="60"/>
    <n v="120"/>
    <x v="67"/>
    <d v="2025-03-15T00:00:00"/>
    <x v="1"/>
    <x v="1"/>
    <x v="2"/>
    <x v="0"/>
    <x v="20"/>
    <x v="4"/>
    <x v="10"/>
    <x v="1"/>
  </r>
  <r>
    <s v="TX501851"/>
    <x v="8"/>
    <x v="2"/>
    <n v="29.3"/>
    <n v="87.9"/>
    <x v="67"/>
    <d v="2025-03-10T00:00:00"/>
    <x v="2"/>
    <x v="4"/>
    <x v="0"/>
    <x v="0"/>
    <x v="13"/>
    <x v="3"/>
    <x v="10"/>
    <x v="2"/>
  </r>
  <r>
    <s v="TX501852"/>
    <x v="12"/>
    <x v="1"/>
    <n v="55.4"/>
    <n v="110.8"/>
    <x v="67"/>
    <d v="2025-03-10T00:00:00"/>
    <x v="2"/>
    <x v="0"/>
    <x v="2"/>
    <x v="0"/>
    <x v="21"/>
    <x v="3"/>
    <x v="10"/>
    <x v="2"/>
  </r>
  <r>
    <s v="TX501853"/>
    <x v="0"/>
    <x v="9"/>
    <n v="20.100000000000001"/>
    <n v="100.5"/>
    <x v="67"/>
    <d v="2025-03-11T00:00:00"/>
    <x v="2"/>
    <x v="1"/>
    <x v="2"/>
    <x v="0"/>
    <x v="21"/>
    <x v="1"/>
    <x v="10"/>
    <x v="2"/>
  </r>
  <r>
    <s v="TX501854"/>
    <x v="14"/>
    <x v="9"/>
    <n v="24"/>
    <n v="120"/>
    <x v="67"/>
    <d v="2025-03-12T00:00:00"/>
    <x v="1"/>
    <x v="2"/>
    <x v="0"/>
    <x v="0"/>
    <x v="1"/>
    <x v="2"/>
    <x v="10"/>
    <x v="1"/>
  </r>
  <r>
    <s v="TX501855"/>
    <x v="8"/>
    <x v="1"/>
    <n v="30.6"/>
    <n v="61.2"/>
    <x v="68"/>
    <d v="2025-03-12T00:00:00"/>
    <x v="2"/>
    <x v="0"/>
    <x v="0"/>
    <x v="0"/>
    <x v="1"/>
    <x v="1"/>
    <x v="10"/>
    <x v="2"/>
  </r>
  <r>
    <s v="TX501856"/>
    <x v="10"/>
    <x v="9"/>
    <n v="33"/>
    <n v="165"/>
    <x v="68"/>
    <d v="2025-03-11T00:00:00"/>
    <x v="1"/>
    <x v="1"/>
    <x v="1"/>
    <x v="0"/>
    <x v="27"/>
    <x v="3"/>
    <x v="10"/>
    <x v="1"/>
  </r>
  <r>
    <s v="TX501857"/>
    <x v="17"/>
    <x v="11"/>
    <n v="42.1"/>
    <n v="378.90000000000003"/>
    <x v="68"/>
    <d v="2025-03-16T00:00:00"/>
    <x v="2"/>
    <x v="2"/>
    <x v="0"/>
    <x v="0"/>
    <x v="44"/>
    <x v="4"/>
    <x v="10"/>
    <x v="2"/>
  </r>
  <r>
    <s v="TX501858"/>
    <x v="6"/>
    <x v="3"/>
    <n v="77.7"/>
    <n v="543.9"/>
    <x v="68"/>
    <d v="2025-03-15T00:00:00"/>
    <x v="2"/>
    <x v="1"/>
    <x v="2"/>
    <x v="0"/>
    <x v="50"/>
    <x v="0"/>
    <x v="10"/>
    <x v="2"/>
  </r>
  <r>
    <s v="TX501859"/>
    <x v="17"/>
    <x v="13"/>
    <n v="22.7"/>
    <n v="136.19999999999999"/>
    <x v="68"/>
    <d v="2025-03-13T00:00:00"/>
    <x v="2"/>
    <x v="2"/>
    <x v="0"/>
    <x v="0"/>
    <x v="3"/>
    <x v="2"/>
    <x v="10"/>
    <x v="2"/>
  </r>
  <r>
    <s v="TX501860"/>
    <x v="2"/>
    <x v="1"/>
    <n v="133"/>
    <n v="266"/>
    <x v="68"/>
    <d v="2025-03-10T00:00:00"/>
    <x v="1"/>
    <x v="2"/>
    <x v="2"/>
    <x v="0"/>
    <x v="3"/>
    <x v="7"/>
    <x v="10"/>
    <x v="1"/>
  </r>
  <r>
    <s v="TX501861"/>
    <x v="0"/>
    <x v="1"/>
    <n v="23.3"/>
    <n v="46.6"/>
    <x v="68"/>
    <d v="2025-03-11T00:00:00"/>
    <x v="1"/>
    <x v="1"/>
    <x v="2"/>
    <x v="0"/>
    <x v="3"/>
    <x v="3"/>
    <x v="10"/>
    <x v="1"/>
  </r>
  <r>
    <s v="TX501862"/>
    <x v="8"/>
    <x v="2"/>
    <n v="20.7"/>
    <n v="62.099999999999994"/>
    <x v="68"/>
    <d v="2025-03-12T00:00:00"/>
    <x v="3"/>
    <x v="0"/>
    <x v="2"/>
    <x v="0"/>
    <x v="3"/>
    <x v="1"/>
    <x v="10"/>
    <x v="3"/>
  </r>
  <r>
    <s v="TX501863"/>
    <x v="12"/>
    <x v="1"/>
    <n v="47"/>
    <n v="94"/>
    <x v="68"/>
    <d v="2025-03-11T00:00:00"/>
    <x v="1"/>
    <x v="1"/>
    <x v="2"/>
    <x v="0"/>
    <x v="3"/>
    <x v="3"/>
    <x v="10"/>
    <x v="1"/>
  </r>
  <r>
    <s v="TX501864"/>
    <x v="12"/>
    <x v="2"/>
    <n v="38.200000000000003"/>
    <n v="114.60000000000001"/>
    <x v="68"/>
    <d v="2025-03-12T00:00:00"/>
    <x v="2"/>
    <x v="2"/>
    <x v="4"/>
    <x v="0"/>
    <x v="3"/>
    <x v="1"/>
    <x v="10"/>
    <x v="2"/>
  </r>
  <r>
    <s v="TX501865"/>
    <x v="9"/>
    <x v="0"/>
    <n v="39.1"/>
    <n v="39.1"/>
    <x v="68"/>
    <d v="2025-03-12T00:00:00"/>
    <x v="2"/>
    <x v="0"/>
    <x v="0"/>
    <x v="0"/>
    <x v="3"/>
    <x v="1"/>
    <x v="10"/>
    <x v="2"/>
  </r>
  <r>
    <s v="TX501866"/>
    <x v="7"/>
    <x v="30"/>
    <n v="55.6"/>
    <n v="1390"/>
    <x v="68"/>
    <d v="2025-03-12T00:00:00"/>
    <x v="1"/>
    <x v="0"/>
    <x v="2"/>
    <x v="0"/>
    <x v="3"/>
    <x v="1"/>
    <x v="10"/>
    <x v="1"/>
  </r>
  <r>
    <s v="TX501867"/>
    <x v="15"/>
    <x v="0"/>
    <n v="43.1"/>
    <n v="43.1"/>
    <x v="68"/>
    <d v="2025-03-10T00:00:00"/>
    <x v="3"/>
    <x v="1"/>
    <x v="2"/>
    <x v="0"/>
    <x v="3"/>
    <x v="7"/>
    <x v="10"/>
    <x v="3"/>
  </r>
  <r>
    <s v="TX501868"/>
    <x v="6"/>
    <x v="12"/>
    <n v="48.1"/>
    <n v="192.4"/>
    <x v="68"/>
    <d v="2025-03-11T00:00:00"/>
    <x v="2"/>
    <x v="4"/>
    <x v="2"/>
    <x v="0"/>
    <x v="3"/>
    <x v="3"/>
    <x v="10"/>
    <x v="2"/>
  </r>
  <r>
    <s v="TX501869"/>
    <x v="4"/>
    <x v="0"/>
    <n v="42"/>
    <n v="42"/>
    <x v="68"/>
    <d v="2025-03-11T00:00:00"/>
    <x v="3"/>
    <x v="0"/>
    <x v="0"/>
    <x v="0"/>
    <x v="3"/>
    <x v="3"/>
    <x v="10"/>
    <x v="3"/>
  </r>
  <r>
    <s v="TX501870"/>
    <x v="8"/>
    <x v="9"/>
    <n v="18.3"/>
    <n v="91.5"/>
    <x v="68"/>
    <d v="2025-03-10T00:00:00"/>
    <x v="2"/>
    <x v="2"/>
    <x v="0"/>
    <x v="0"/>
    <x v="3"/>
    <x v="7"/>
    <x v="10"/>
    <x v="2"/>
  </r>
  <r>
    <s v="TX501871"/>
    <x v="10"/>
    <x v="12"/>
    <n v="45.3"/>
    <n v="181.2"/>
    <x v="68"/>
    <d v="2025-03-13T00:00:00"/>
    <x v="2"/>
    <x v="0"/>
    <x v="2"/>
    <x v="0"/>
    <x v="3"/>
    <x v="2"/>
    <x v="10"/>
    <x v="2"/>
  </r>
  <r>
    <s v="TX501872"/>
    <x v="0"/>
    <x v="1"/>
    <n v="27.6"/>
    <n v="55.2"/>
    <x v="68"/>
    <d v="2025-03-12T00:00:00"/>
    <x v="1"/>
    <x v="0"/>
    <x v="2"/>
    <x v="0"/>
    <x v="37"/>
    <x v="1"/>
    <x v="10"/>
    <x v="1"/>
  </r>
  <r>
    <s v="TX501873"/>
    <x v="4"/>
    <x v="9"/>
    <n v="26.9"/>
    <n v="134.5"/>
    <x v="68"/>
    <d v="2025-03-11T00:00:00"/>
    <x v="2"/>
    <x v="2"/>
    <x v="0"/>
    <x v="0"/>
    <x v="25"/>
    <x v="3"/>
    <x v="10"/>
    <x v="2"/>
  </r>
  <r>
    <s v="TX501874"/>
    <x v="2"/>
    <x v="11"/>
    <n v="82.4"/>
    <n v="741.6"/>
    <x v="68"/>
    <d v="2025-03-12T00:00:00"/>
    <x v="3"/>
    <x v="2"/>
    <x v="0"/>
    <x v="0"/>
    <x v="5"/>
    <x v="1"/>
    <x v="10"/>
    <x v="3"/>
  </r>
  <r>
    <s v="TX501875"/>
    <x v="6"/>
    <x v="0"/>
    <n v="103.7"/>
    <n v="103.7"/>
    <x v="68"/>
    <d v="2025-03-12T00:00:00"/>
    <x v="2"/>
    <x v="1"/>
    <x v="0"/>
    <x v="0"/>
    <x v="5"/>
    <x v="1"/>
    <x v="10"/>
    <x v="2"/>
  </r>
  <r>
    <s v="TX501876"/>
    <x v="2"/>
    <x v="1"/>
    <n v="58.8"/>
    <n v="117.6"/>
    <x v="68"/>
    <d v="2025-03-15T00:00:00"/>
    <x v="2"/>
    <x v="1"/>
    <x v="2"/>
    <x v="0"/>
    <x v="6"/>
    <x v="0"/>
    <x v="10"/>
    <x v="2"/>
  </r>
  <r>
    <s v="TX501877"/>
    <x v="13"/>
    <x v="0"/>
    <n v="31.5"/>
    <n v="31.5"/>
    <x v="68"/>
    <d v="2025-03-11T00:00:00"/>
    <x v="2"/>
    <x v="1"/>
    <x v="1"/>
    <x v="0"/>
    <x v="6"/>
    <x v="3"/>
    <x v="10"/>
    <x v="2"/>
  </r>
  <r>
    <s v="TX501878"/>
    <x v="7"/>
    <x v="9"/>
    <n v="36.799999999999997"/>
    <n v="184"/>
    <x v="68"/>
    <d v="2025-03-12T00:00:00"/>
    <x v="2"/>
    <x v="0"/>
    <x v="0"/>
    <x v="0"/>
    <x v="8"/>
    <x v="1"/>
    <x v="10"/>
    <x v="2"/>
  </r>
  <r>
    <s v="TX501879"/>
    <x v="3"/>
    <x v="0"/>
    <n v="84.4"/>
    <n v="84.4"/>
    <x v="68"/>
    <d v="2025-03-11T00:00:00"/>
    <x v="2"/>
    <x v="0"/>
    <x v="0"/>
    <x v="0"/>
    <x v="8"/>
    <x v="3"/>
    <x v="10"/>
    <x v="2"/>
  </r>
  <r>
    <s v="TX501880"/>
    <x v="14"/>
    <x v="0"/>
    <n v="44.7"/>
    <n v="44.7"/>
    <x v="68"/>
    <d v="2025-03-11T00:00:00"/>
    <x v="1"/>
    <x v="0"/>
    <x v="1"/>
    <x v="0"/>
    <x v="8"/>
    <x v="3"/>
    <x v="10"/>
    <x v="1"/>
  </r>
  <r>
    <s v="TX501881"/>
    <x v="9"/>
    <x v="8"/>
    <n v="39.4"/>
    <n v="315.2"/>
    <x v="68"/>
    <d v="2025-03-11T00:00:00"/>
    <x v="2"/>
    <x v="1"/>
    <x v="2"/>
    <x v="0"/>
    <x v="8"/>
    <x v="3"/>
    <x v="10"/>
    <x v="2"/>
  </r>
  <r>
    <s v="TX501882"/>
    <x v="11"/>
    <x v="12"/>
    <n v="34.9"/>
    <n v="139.6"/>
    <x v="68"/>
    <d v="2025-03-12T00:00:00"/>
    <x v="2"/>
    <x v="0"/>
    <x v="2"/>
    <x v="0"/>
    <x v="8"/>
    <x v="1"/>
    <x v="10"/>
    <x v="2"/>
  </r>
  <r>
    <s v="TX501883"/>
    <x v="1"/>
    <x v="2"/>
    <n v="62.3"/>
    <n v="186.89999999999998"/>
    <x v="68"/>
    <d v="2025-03-12T00:00:00"/>
    <x v="1"/>
    <x v="4"/>
    <x v="2"/>
    <x v="0"/>
    <x v="8"/>
    <x v="1"/>
    <x v="10"/>
    <x v="1"/>
  </r>
  <r>
    <s v="TX501884"/>
    <x v="8"/>
    <x v="12"/>
    <n v="21.1"/>
    <n v="84.4"/>
    <x v="68"/>
    <d v="2025-03-13T00:00:00"/>
    <x v="1"/>
    <x v="3"/>
    <x v="0"/>
    <x v="0"/>
    <x v="8"/>
    <x v="2"/>
    <x v="10"/>
    <x v="1"/>
  </r>
  <r>
    <s v="TX501885"/>
    <x v="8"/>
    <x v="2"/>
    <n v="33.200000000000003"/>
    <n v="99.600000000000009"/>
    <x v="68"/>
    <d v="2025-03-24T00:00:00"/>
    <x v="0"/>
    <x v="0"/>
    <x v="4"/>
    <x v="0"/>
    <x v="8"/>
    <x v="12"/>
    <x v="10"/>
    <x v="0"/>
  </r>
  <r>
    <s v="TX501886"/>
    <x v="1"/>
    <x v="12"/>
    <n v="74.5"/>
    <n v="298"/>
    <x v="68"/>
    <d v="2025-03-11T00:00:00"/>
    <x v="1"/>
    <x v="4"/>
    <x v="0"/>
    <x v="0"/>
    <x v="8"/>
    <x v="3"/>
    <x v="10"/>
    <x v="1"/>
  </r>
  <r>
    <s v="TX501887"/>
    <x v="10"/>
    <x v="4"/>
    <n v="68.599999999999994"/>
    <n v="823.19999999999993"/>
    <x v="68"/>
    <d v="2025-03-13T00:00:00"/>
    <x v="2"/>
    <x v="0"/>
    <x v="2"/>
    <x v="0"/>
    <x v="8"/>
    <x v="2"/>
    <x v="10"/>
    <x v="2"/>
  </r>
  <r>
    <s v="TX501888"/>
    <x v="5"/>
    <x v="21"/>
    <n v="36.4"/>
    <n v="509.59999999999997"/>
    <x v="68"/>
    <d v="2025-03-12T00:00:00"/>
    <x v="2"/>
    <x v="0"/>
    <x v="1"/>
    <x v="0"/>
    <x v="9"/>
    <x v="1"/>
    <x v="10"/>
    <x v="2"/>
  </r>
  <r>
    <s v="TX501889"/>
    <x v="16"/>
    <x v="9"/>
    <n v="67.599999999999994"/>
    <n v="338"/>
    <x v="69"/>
    <d v="2025-03-14T00:00:00"/>
    <x v="2"/>
    <x v="4"/>
    <x v="1"/>
    <x v="0"/>
    <x v="9"/>
    <x v="2"/>
    <x v="10"/>
    <x v="2"/>
  </r>
  <r>
    <s v="TX501890"/>
    <x v="15"/>
    <x v="0"/>
    <n v="46.3"/>
    <n v="46.3"/>
    <x v="69"/>
    <d v="2025-03-12T00:00:00"/>
    <x v="1"/>
    <x v="2"/>
    <x v="0"/>
    <x v="0"/>
    <x v="9"/>
    <x v="3"/>
    <x v="10"/>
    <x v="1"/>
  </r>
  <r>
    <s v="TX501891"/>
    <x v="1"/>
    <x v="2"/>
    <n v="124.2"/>
    <n v="372.6"/>
    <x v="69"/>
    <d v="2025-03-13T00:00:00"/>
    <x v="2"/>
    <x v="1"/>
    <x v="2"/>
    <x v="0"/>
    <x v="11"/>
    <x v="1"/>
    <x v="10"/>
    <x v="2"/>
  </r>
  <r>
    <s v="TX501892"/>
    <x v="10"/>
    <x v="1"/>
    <n v="37"/>
    <n v="74"/>
    <x v="69"/>
    <d v="2025-03-17T00:00:00"/>
    <x v="1"/>
    <x v="0"/>
    <x v="0"/>
    <x v="0"/>
    <x v="11"/>
    <x v="4"/>
    <x v="10"/>
    <x v="1"/>
  </r>
  <r>
    <s v="TX501893"/>
    <x v="5"/>
    <x v="0"/>
    <n v="41.8"/>
    <n v="41.8"/>
    <x v="69"/>
    <d v="2025-03-12T00:00:00"/>
    <x v="1"/>
    <x v="2"/>
    <x v="0"/>
    <x v="0"/>
    <x v="31"/>
    <x v="3"/>
    <x v="10"/>
    <x v="1"/>
  </r>
  <r>
    <s v="TX501894"/>
    <x v="9"/>
    <x v="1"/>
    <n v="57.2"/>
    <n v="114.4"/>
    <x v="69"/>
    <d v="2025-03-13T00:00:00"/>
    <x v="1"/>
    <x v="2"/>
    <x v="1"/>
    <x v="0"/>
    <x v="20"/>
    <x v="1"/>
    <x v="10"/>
    <x v="1"/>
  </r>
  <r>
    <s v="TX501895"/>
    <x v="6"/>
    <x v="1"/>
    <n v="47.1"/>
    <n v="94.2"/>
    <x v="69"/>
    <d v="2025-03-13T00:00:00"/>
    <x v="2"/>
    <x v="0"/>
    <x v="4"/>
    <x v="0"/>
    <x v="20"/>
    <x v="1"/>
    <x v="10"/>
    <x v="2"/>
  </r>
  <r>
    <s v="TX501896"/>
    <x v="5"/>
    <x v="2"/>
    <n v="86.4"/>
    <n v="259.20000000000005"/>
    <x v="69"/>
    <d v="2025-03-12T00:00:00"/>
    <x v="1"/>
    <x v="2"/>
    <x v="1"/>
    <x v="0"/>
    <x v="52"/>
    <x v="3"/>
    <x v="10"/>
    <x v="1"/>
  </r>
  <r>
    <s v="TX501897"/>
    <x v="6"/>
    <x v="9"/>
    <n v="105"/>
    <n v="525"/>
    <x v="69"/>
    <d v="2025-03-14T00:00:00"/>
    <x v="1"/>
    <x v="0"/>
    <x v="0"/>
    <x v="0"/>
    <x v="13"/>
    <x v="2"/>
    <x v="10"/>
    <x v="1"/>
  </r>
  <r>
    <s v="TX501898"/>
    <x v="18"/>
    <x v="0"/>
    <n v="33"/>
    <n v="33"/>
    <x v="69"/>
    <d v="2025-03-14T00:00:00"/>
    <x v="1"/>
    <x v="4"/>
    <x v="0"/>
    <x v="0"/>
    <x v="21"/>
    <x v="2"/>
    <x v="10"/>
    <x v="1"/>
  </r>
  <r>
    <s v="TX501899"/>
    <x v="6"/>
    <x v="9"/>
    <n v="106.6"/>
    <n v="533"/>
    <x v="69"/>
    <d v="2025-03-24T00:00:00"/>
    <x v="2"/>
    <x v="2"/>
    <x v="0"/>
    <x v="0"/>
    <x v="1"/>
    <x v="10"/>
    <x v="10"/>
    <x v="2"/>
  </r>
  <r>
    <s v="TX501900"/>
    <x v="10"/>
    <x v="46"/>
    <n v="26.8"/>
    <n v="857.6"/>
    <x v="69"/>
    <d v="2025-03-12T00:00:00"/>
    <x v="2"/>
    <x v="2"/>
    <x v="0"/>
    <x v="0"/>
    <x v="1"/>
    <x v="3"/>
    <x v="10"/>
    <x v="2"/>
  </r>
  <r>
    <s v="TX501901"/>
    <x v="17"/>
    <x v="9"/>
    <n v="25.8"/>
    <n v="129"/>
    <x v="69"/>
    <d v="2025-03-11T00:00:00"/>
    <x v="2"/>
    <x v="1"/>
    <x v="2"/>
    <x v="0"/>
    <x v="3"/>
    <x v="7"/>
    <x v="10"/>
    <x v="2"/>
  </r>
  <r>
    <s v="TX501902"/>
    <x v="2"/>
    <x v="2"/>
    <n v="217"/>
    <n v="651"/>
    <x v="69"/>
    <d v="2025-03-12T00:00:00"/>
    <x v="2"/>
    <x v="1"/>
    <x v="1"/>
    <x v="0"/>
    <x v="3"/>
    <x v="3"/>
    <x v="10"/>
    <x v="2"/>
  </r>
  <r>
    <s v="TX501903"/>
    <x v="2"/>
    <x v="1"/>
    <n v="97.3"/>
    <n v="194.6"/>
    <x v="69"/>
    <d v="2025-03-12T00:00:00"/>
    <x v="1"/>
    <x v="2"/>
    <x v="4"/>
    <x v="0"/>
    <x v="3"/>
    <x v="3"/>
    <x v="10"/>
    <x v="1"/>
  </r>
  <r>
    <s v="TX501904"/>
    <x v="1"/>
    <x v="0"/>
    <n v="49.8"/>
    <n v="49.8"/>
    <x v="69"/>
    <d v="2025-03-12T00:00:00"/>
    <x v="2"/>
    <x v="0"/>
    <x v="0"/>
    <x v="0"/>
    <x v="3"/>
    <x v="3"/>
    <x v="10"/>
    <x v="2"/>
  </r>
  <r>
    <s v="TX501905"/>
    <x v="12"/>
    <x v="9"/>
    <n v="32.6"/>
    <n v="163"/>
    <x v="69"/>
    <d v="2025-03-12T00:00:00"/>
    <x v="2"/>
    <x v="0"/>
    <x v="0"/>
    <x v="0"/>
    <x v="3"/>
    <x v="3"/>
    <x v="10"/>
    <x v="2"/>
  </r>
  <r>
    <s v="TX501906"/>
    <x v="9"/>
    <x v="1"/>
    <n v="40.1"/>
    <n v="80.2"/>
    <x v="69"/>
    <d v="2025-03-14T00:00:00"/>
    <x v="1"/>
    <x v="1"/>
    <x v="2"/>
    <x v="0"/>
    <x v="3"/>
    <x v="2"/>
    <x v="10"/>
    <x v="1"/>
  </r>
  <r>
    <s v="TX501907"/>
    <x v="10"/>
    <x v="1"/>
    <n v="49.4"/>
    <n v="98.8"/>
    <x v="69"/>
    <d v="2025-03-13T00:00:00"/>
    <x v="1"/>
    <x v="1"/>
    <x v="0"/>
    <x v="0"/>
    <x v="3"/>
    <x v="1"/>
    <x v="10"/>
    <x v="1"/>
  </r>
  <r>
    <s v="TX501908"/>
    <x v="2"/>
    <x v="0"/>
    <n v="67.3"/>
    <n v="67.3"/>
    <x v="69"/>
    <d v="2025-03-12T00:00:00"/>
    <x v="2"/>
    <x v="0"/>
    <x v="2"/>
    <x v="0"/>
    <x v="3"/>
    <x v="3"/>
    <x v="10"/>
    <x v="2"/>
  </r>
  <r>
    <s v="TX501909"/>
    <x v="18"/>
    <x v="12"/>
    <n v="44.5"/>
    <n v="178"/>
    <x v="69"/>
    <d v="2025-03-14T00:00:00"/>
    <x v="0"/>
    <x v="1"/>
    <x v="0"/>
    <x v="0"/>
    <x v="3"/>
    <x v="2"/>
    <x v="10"/>
    <x v="0"/>
  </r>
  <r>
    <s v="TX501910"/>
    <x v="6"/>
    <x v="5"/>
    <n v="111.1"/>
    <n v="1222.0999999999999"/>
    <x v="69"/>
    <d v="2025-03-12T00:00:00"/>
    <x v="2"/>
    <x v="4"/>
    <x v="0"/>
    <x v="0"/>
    <x v="3"/>
    <x v="3"/>
    <x v="10"/>
    <x v="2"/>
  </r>
  <r>
    <s v="TX501911"/>
    <x v="8"/>
    <x v="2"/>
    <n v="19.7"/>
    <n v="59.099999999999994"/>
    <x v="69"/>
    <d v="2025-03-12T00:00:00"/>
    <x v="2"/>
    <x v="4"/>
    <x v="4"/>
    <x v="0"/>
    <x v="3"/>
    <x v="3"/>
    <x v="10"/>
    <x v="2"/>
  </r>
  <r>
    <s v="TX501912"/>
    <x v="1"/>
    <x v="0"/>
    <n v="40.299999999999997"/>
    <n v="40.299999999999997"/>
    <x v="69"/>
    <d v="2025-03-12T00:00:00"/>
    <x v="3"/>
    <x v="1"/>
    <x v="0"/>
    <x v="0"/>
    <x v="3"/>
    <x v="3"/>
    <x v="10"/>
    <x v="3"/>
  </r>
  <r>
    <s v="TX501913"/>
    <x v="6"/>
    <x v="1"/>
    <n v="108.8"/>
    <n v="217.6"/>
    <x v="69"/>
    <d v="2025-03-16T00:00:00"/>
    <x v="1"/>
    <x v="0"/>
    <x v="2"/>
    <x v="0"/>
    <x v="6"/>
    <x v="0"/>
    <x v="10"/>
    <x v="1"/>
  </r>
  <r>
    <s v="TX501914"/>
    <x v="8"/>
    <x v="2"/>
    <n v="48.2"/>
    <n v="144.60000000000002"/>
    <x v="69"/>
    <d v="2025-03-16T00:00:00"/>
    <x v="2"/>
    <x v="4"/>
    <x v="0"/>
    <x v="0"/>
    <x v="7"/>
    <x v="0"/>
    <x v="10"/>
    <x v="2"/>
  </r>
  <r>
    <s v="TX501915"/>
    <x v="2"/>
    <x v="2"/>
    <n v="104.7"/>
    <n v="314.10000000000002"/>
    <x v="69"/>
    <d v="2025-03-13T00:00:00"/>
    <x v="2"/>
    <x v="0"/>
    <x v="1"/>
    <x v="0"/>
    <x v="7"/>
    <x v="1"/>
    <x v="10"/>
    <x v="2"/>
  </r>
  <r>
    <s v="TX501916"/>
    <x v="1"/>
    <x v="1"/>
    <n v="80.599999999999994"/>
    <n v="161.19999999999999"/>
    <x v="69"/>
    <d v="2025-03-11T00:00:00"/>
    <x v="2"/>
    <x v="1"/>
    <x v="0"/>
    <x v="0"/>
    <x v="8"/>
    <x v="7"/>
    <x v="10"/>
    <x v="2"/>
  </r>
  <r>
    <s v="TX501917"/>
    <x v="6"/>
    <x v="0"/>
    <n v="65.5"/>
    <n v="65.5"/>
    <x v="69"/>
    <d v="2025-03-13T00:00:00"/>
    <x v="3"/>
    <x v="1"/>
    <x v="0"/>
    <x v="0"/>
    <x v="8"/>
    <x v="1"/>
    <x v="10"/>
    <x v="3"/>
  </r>
  <r>
    <s v="TX501918"/>
    <x v="9"/>
    <x v="2"/>
    <n v="61.4"/>
    <n v="184.2"/>
    <x v="69"/>
    <d v="2025-03-13T00:00:00"/>
    <x v="2"/>
    <x v="4"/>
    <x v="2"/>
    <x v="0"/>
    <x v="8"/>
    <x v="1"/>
    <x v="10"/>
    <x v="2"/>
  </r>
  <r>
    <s v="TX501919"/>
    <x v="0"/>
    <x v="0"/>
    <n v="12.5"/>
    <n v="12.5"/>
    <x v="70"/>
    <d v="2025-03-15T00:00:00"/>
    <x v="2"/>
    <x v="0"/>
    <x v="1"/>
    <x v="0"/>
    <x v="8"/>
    <x v="2"/>
    <x v="10"/>
    <x v="2"/>
  </r>
  <r>
    <s v="TX501920"/>
    <x v="4"/>
    <x v="12"/>
    <n v="35.1"/>
    <n v="140.4"/>
    <x v="70"/>
    <d v="2025-03-13T00:00:00"/>
    <x v="1"/>
    <x v="2"/>
    <x v="1"/>
    <x v="0"/>
    <x v="17"/>
    <x v="3"/>
    <x v="10"/>
    <x v="1"/>
  </r>
  <r>
    <s v="TX501921"/>
    <x v="5"/>
    <x v="1"/>
    <n v="55.7"/>
    <n v="111.4"/>
    <x v="70"/>
    <d v="2025-03-13T00:00:00"/>
    <x v="1"/>
    <x v="0"/>
    <x v="1"/>
    <x v="0"/>
    <x v="26"/>
    <x v="3"/>
    <x v="10"/>
    <x v="1"/>
  </r>
  <r>
    <s v="TX501922"/>
    <x v="7"/>
    <x v="1"/>
    <n v="57.7"/>
    <n v="115.4"/>
    <x v="70"/>
    <d v="2025-03-14T00:00:00"/>
    <x v="1"/>
    <x v="4"/>
    <x v="1"/>
    <x v="0"/>
    <x v="9"/>
    <x v="1"/>
    <x v="10"/>
    <x v="1"/>
  </r>
  <r>
    <s v="TX501923"/>
    <x v="2"/>
    <x v="13"/>
    <n v="85.7"/>
    <n v="514.20000000000005"/>
    <x v="70"/>
    <d v="2025-03-13T00:00:00"/>
    <x v="1"/>
    <x v="3"/>
    <x v="2"/>
    <x v="0"/>
    <x v="9"/>
    <x v="3"/>
    <x v="10"/>
    <x v="1"/>
  </r>
  <r>
    <s v="TX501924"/>
    <x v="2"/>
    <x v="2"/>
    <n v="86.9"/>
    <n v="260.70000000000005"/>
    <x v="70"/>
    <d v="2025-03-14T00:00:00"/>
    <x v="2"/>
    <x v="1"/>
    <x v="0"/>
    <x v="0"/>
    <x v="11"/>
    <x v="1"/>
    <x v="10"/>
    <x v="2"/>
  </r>
  <r>
    <s v="TX501925"/>
    <x v="18"/>
    <x v="1"/>
    <n v="46.4"/>
    <n v="92.8"/>
    <x v="70"/>
    <d v="2025-03-15T00:00:00"/>
    <x v="2"/>
    <x v="4"/>
    <x v="0"/>
    <x v="0"/>
    <x v="11"/>
    <x v="2"/>
    <x v="10"/>
    <x v="2"/>
  </r>
  <r>
    <s v="TX501926"/>
    <x v="5"/>
    <x v="2"/>
    <n v="25.4"/>
    <n v="76.199999999999989"/>
    <x v="70"/>
    <d v="2025-03-12T00:00:00"/>
    <x v="2"/>
    <x v="2"/>
    <x v="2"/>
    <x v="0"/>
    <x v="18"/>
    <x v="7"/>
    <x v="10"/>
    <x v="2"/>
  </r>
  <r>
    <s v="TX501927"/>
    <x v="10"/>
    <x v="2"/>
    <n v="47.8"/>
    <n v="143.39999999999998"/>
    <x v="70"/>
    <d v="2025-03-12T00:00:00"/>
    <x v="0"/>
    <x v="2"/>
    <x v="2"/>
    <x v="0"/>
    <x v="19"/>
    <x v="7"/>
    <x v="10"/>
    <x v="0"/>
  </r>
  <r>
    <s v="TX501928"/>
    <x v="8"/>
    <x v="10"/>
    <n v="18.399999999999999"/>
    <n v="349.59999999999997"/>
    <x v="70"/>
    <d v="2025-03-14T00:00:00"/>
    <x v="3"/>
    <x v="2"/>
    <x v="0"/>
    <x v="0"/>
    <x v="20"/>
    <x v="1"/>
    <x v="10"/>
    <x v="3"/>
  </r>
  <r>
    <s v="TX501929"/>
    <x v="12"/>
    <x v="2"/>
    <n v="65.5"/>
    <n v="196.5"/>
    <x v="70"/>
    <d v="2025-03-20T00:00:00"/>
    <x v="2"/>
    <x v="0"/>
    <x v="0"/>
    <x v="0"/>
    <x v="21"/>
    <x v="9"/>
    <x v="10"/>
    <x v="2"/>
  </r>
  <r>
    <s v="TX501930"/>
    <x v="10"/>
    <x v="1"/>
    <n v="50.6"/>
    <n v="101.2"/>
    <x v="70"/>
    <d v="2025-03-15T00:00:00"/>
    <x v="1"/>
    <x v="2"/>
    <x v="4"/>
    <x v="0"/>
    <x v="21"/>
    <x v="2"/>
    <x v="10"/>
    <x v="1"/>
  </r>
  <r>
    <s v="TX501931"/>
    <x v="3"/>
    <x v="9"/>
    <n v="69"/>
    <n v="345"/>
    <x v="70"/>
    <d v="2025-03-16T00:00:00"/>
    <x v="1"/>
    <x v="3"/>
    <x v="0"/>
    <x v="0"/>
    <x v="21"/>
    <x v="5"/>
    <x v="10"/>
    <x v="1"/>
  </r>
  <r>
    <s v="TX501932"/>
    <x v="9"/>
    <x v="8"/>
    <n v="51.1"/>
    <n v="408.8"/>
    <x v="70"/>
    <d v="2025-03-14T00:00:00"/>
    <x v="2"/>
    <x v="0"/>
    <x v="0"/>
    <x v="0"/>
    <x v="1"/>
    <x v="1"/>
    <x v="10"/>
    <x v="2"/>
  </r>
  <r>
    <s v="TX501933"/>
    <x v="9"/>
    <x v="0"/>
    <n v="36.1"/>
    <n v="36.1"/>
    <x v="70"/>
    <d v="2025-03-13T00:00:00"/>
    <x v="2"/>
    <x v="0"/>
    <x v="2"/>
    <x v="0"/>
    <x v="34"/>
    <x v="3"/>
    <x v="10"/>
    <x v="2"/>
  </r>
  <r>
    <s v="TX501934"/>
    <x v="14"/>
    <x v="0"/>
    <n v="18.7"/>
    <n v="18.7"/>
    <x v="70"/>
    <d v="2025-03-13T00:00:00"/>
    <x v="1"/>
    <x v="0"/>
    <x v="0"/>
    <x v="0"/>
    <x v="3"/>
    <x v="3"/>
    <x v="10"/>
    <x v="1"/>
  </r>
  <r>
    <s v="TX501935"/>
    <x v="17"/>
    <x v="0"/>
    <n v="30.1"/>
    <n v="30.1"/>
    <x v="70"/>
    <d v="2025-03-15T00:00:00"/>
    <x v="2"/>
    <x v="3"/>
    <x v="1"/>
    <x v="0"/>
    <x v="3"/>
    <x v="2"/>
    <x v="10"/>
    <x v="2"/>
  </r>
  <r>
    <s v="TX501936"/>
    <x v="8"/>
    <x v="0"/>
    <n v="16.3"/>
    <n v="16.3"/>
    <x v="70"/>
    <d v="2025-03-13T00:00:00"/>
    <x v="1"/>
    <x v="3"/>
    <x v="0"/>
    <x v="0"/>
    <x v="3"/>
    <x v="3"/>
    <x v="10"/>
    <x v="1"/>
  </r>
  <r>
    <s v="TX501937"/>
    <x v="1"/>
    <x v="2"/>
    <n v="63.8"/>
    <n v="191.39999999999998"/>
    <x v="70"/>
    <d v="2025-03-17T00:00:00"/>
    <x v="2"/>
    <x v="2"/>
    <x v="1"/>
    <x v="0"/>
    <x v="3"/>
    <x v="0"/>
    <x v="10"/>
    <x v="2"/>
  </r>
  <r>
    <s v="TX501938"/>
    <x v="1"/>
    <x v="3"/>
    <n v="73.900000000000006"/>
    <n v="517.30000000000007"/>
    <x v="70"/>
    <d v="2025-03-12T00:00:00"/>
    <x v="2"/>
    <x v="0"/>
    <x v="1"/>
    <x v="0"/>
    <x v="3"/>
    <x v="7"/>
    <x v="10"/>
    <x v="2"/>
  </r>
  <r>
    <s v="TX501939"/>
    <x v="0"/>
    <x v="1"/>
    <n v="20.2"/>
    <n v="40.4"/>
    <x v="70"/>
    <d v="2025-03-13T00:00:00"/>
    <x v="1"/>
    <x v="0"/>
    <x v="1"/>
    <x v="0"/>
    <x v="3"/>
    <x v="3"/>
    <x v="10"/>
    <x v="1"/>
  </r>
  <r>
    <s v="TX501940"/>
    <x v="11"/>
    <x v="5"/>
    <n v="29.5"/>
    <n v="324.5"/>
    <x v="70"/>
    <d v="2025-03-13T00:00:00"/>
    <x v="1"/>
    <x v="0"/>
    <x v="0"/>
    <x v="0"/>
    <x v="3"/>
    <x v="3"/>
    <x v="10"/>
    <x v="1"/>
  </r>
  <r>
    <s v="TX501941"/>
    <x v="15"/>
    <x v="3"/>
    <n v="37.9"/>
    <n v="265.3"/>
    <x v="70"/>
    <d v="2025-03-13T00:00:00"/>
    <x v="1"/>
    <x v="1"/>
    <x v="0"/>
    <x v="0"/>
    <x v="3"/>
    <x v="3"/>
    <x v="10"/>
    <x v="1"/>
  </r>
  <r>
    <s v="TX501942"/>
    <x v="2"/>
    <x v="0"/>
    <n v="56.5"/>
    <n v="56.5"/>
    <x v="70"/>
    <d v="2025-03-13T00:00:00"/>
    <x v="2"/>
    <x v="2"/>
    <x v="1"/>
    <x v="0"/>
    <x v="3"/>
    <x v="3"/>
    <x v="10"/>
    <x v="2"/>
  </r>
  <r>
    <s v="TX501943"/>
    <x v="2"/>
    <x v="1"/>
    <n v="66.900000000000006"/>
    <n v="133.80000000000001"/>
    <x v="70"/>
    <d v="2025-03-18T00:00:00"/>
    <x v="1"/>
    <x v="1"/>
    <x v="4"/>
    <x v="0"/>
    <x v="25"/>
    <x v="4"/>
    <x v="10"/>
    <x v="1"/>
  </r>
  <r>
    <s v="TX501944"/>
    <x v="2"/>
    <x v="9"/>
    <n v="51.9"/>
    <n v="259.5"/>
    <x v="70"/>
    <d v="2025-03-15T00:00:00"/>
    <x v="1"/>
    <x v="1"/>
    <x v="0"/>
    <x v="0"/>
    <x v="7"/>
    <x v="2"/>
    <x v="10"/>
    <x v="1"/>
  </r>
  <r>
    <s v="TX501945"/>
    <x v="2"/>
    <x v="1"/>
    <n v="75.599999999999994"/>
    <n v="151.19999999999999"/>
    <x v="70"/>
    <d v="2025-03-15T00:00:00"/>
    <x v="1"/>
    <x v="1"/>
    <x v="0"/>
    <x v="0"/>
    <x v="8"/>
    <x v="2"/>
    <x v="10"/>
    <x v="1"/>
  </r>
  <r>
    <s v="TX501946"/>
    <x v="12"/>
    <x v="13"/>
    <n v="47.3"/>
    <n v="283.79999999999995"/>
    <x v="70"/>
    <d v="2025-03-23T00:00:00"/>
    <x v="1"/>
    <x v="0"/>
    <x v="0"/>
    <x v="0"/>
    <x v="8"/>
    <x v="11"/>
    <x v="10"/>
    <x v="1"/>
  </r>
  <r>
    <s v="TX501947"/>
    <x v="4"/>
    <x v="0"/>
    <n v="20.6"/>
    <n v="20.6"/>
    <x v="70"/>
    <d v="2025-03-13T00:00:00"/>
    <x v="0"/>
    <x v="0"/>
    <x v="1"/>
    <x v="0"/>
    <x v="8"/>
    <x v="3"/>
    <x v="10"/>
    <x v="0"/>
  </r>
  <r>
    <s v="TX501948"/>
    <x v="6"/>
    <x v="2"/>
    <n v="49.7"/>
    <n v="149.10000000000002"/>
    <x v="70"/>
    <d v="2025-03-14T00:00:00"/>
    <x v="1"/>
    <x v="0"/>
    <x v="1"/>
    <x v="0"/>
    <x v="8"/>
    <x v="1"/>
    <x v="10"/>
    <x v="1"/>
  </r>
  <r>
    <s v="TX501949"/>
    <x v="3"/>
    <x v="0"/>
    <n v="37.9"/>
    <n v="37.9"/>
    <x v="70"/>
    <d v="2025-03-14T00:00:00"/>
    <x v="2"/>
    <x v="0"/>
    <x v="0"/>
    <x v="0"/>
    <x v="8"/>
    <x v="1"/>
    <x v="10"/>
    <x v="2"/>
  </r>
  <r>
    <s v="TX501950"/>
    <x v="13"/>
    <x v="20"/>
    <n v="32"/>
    <n v="480"/>
    <x v="70"/>
    <d v="2025-03-14T00:00:00"/>
    <x v="2"/>
    <x v="4"/>
    <x v="0"/>
    <x v="0"/>
    <x v="11"/>
    <x v="1"/>
    <x v="10"/>
    <x v="2"/>
  </r>
  <r>
    <s v="TX501951"/>
    <x v="10"/>
    <x v="16"/>
    <n v="38.5"/>
    <n v="693"/>
    <x v="71"/>
    <d v="2025-03-14T00:00:00"/>
    <x v="1"/>
    <x v="0"/>
    <x v="2"/>
    <x v="0"/>
    <x v="11"/>
    <x v="3"/>
    <x v="10"/>
    <x v="1"/>
  </r>
  <r>
    <s v="TX501952"/>
    <x v="0"/>
    <x v="12"/>
    <n v="11.7"/>
    <n v="46.8"/>
    <x v="71"/>
    <d v="2025-03-15T00:00:00"/>
    <x v="2"/>
    <x v="1"/>
    <x v="0"/>
    <x v="0"/>
    <x v="20"/>
    <x v="1"/>
    <x v="10"/>
    <x v="2"/>
  </r>
  <r>
    <s v="TX501953"/>
    <x v="3"/>
    <x v="13"/>
    <n v="83.8"/>
    <n v="502.79999999999995"/>
    <x v="71"/>
    <d v="2025-03-14T00:00:00"/>
    <x v="1"/>
    <x v="0"/>
    <x v="0"/>
    <x v="0"/>
    <x v="21"/>
    <x v="3"/>
    <x v="10"/>
    <x v="1"/>
  </r>
  <r>
    <s v="TX501954"/>
    <x v="0"/>
    <x v="3"/>
    <n v="14"/>
    <n v="98"/>
    <x v="71"/>
    <d v="2025-03-16T00:00:00"/>
    <x v="1"/>
    <x v="0"/>
    <x v="1"/>
    <x v="0"/>
    <x v="22"/>
    <x v="2"/>
    <x v="10"/>
    <x v="1"/>
  </r>
  <r>
    <s v="TX501955"/>
    <x v="16"/>
    <x v="12"/>
    <n v="77.3"/>
    <n v="309.2"/>
    <x v="71"/>
    <d v="2025-03-15T00:00:00"/>
    <x v="2"/>
    <x v="4"/>
    <x v="2"/>
    <x v="0"/>
    <x v="3"/>
    <x v="1"/>
    <x v="10"/>
    <x v="2"/>
  </r>
  <r>
    <s v="TX501956"/>
    <x v="2"/>
    <x v="1"/>
    <n v="76.900000000000006"/>
    <n v="153.80000000000001"/>
    <x v="71"/>
    <d v="2025-03-17T00:00:00"/>
    <x v="2"/>
    <x v="0"/>
    <x v="1"/>
    <x v="0"/>
    <x v="3"/>
    <x v="5"/>
    <x v="10"/>
    <x v="2"/>
  </r>
  <r>
    <s v="TX501957"/>
    <x v="1"/>
    <x v="0"/>
    <n v="48"/>
    <n v="48"/>
    <x v="71"/>
    <d v="2025-03-15T00:00:00"/>
    <x v="2"/>
    <x v="1"/>
    <x v="2"/>
    <x v="0"/>
    <x v="3"/>
    <x v="1"/>
    <x v="10"/>
    <x v="2"/>
  </r>
  <r>
    <s v="TX501958"/>
    <x v="2"/>
    <x v="0"/>
    <n v="94.5"/>
    <n v="94.5"/>
    <x v="71"/>
    <d v="2025-03-16T00:00:00"/>
    <x v="1"/>
    <x v="1"/>
    <x v="1"/>
    <x v="0"/>
    <x v="3"/>
    <x v="2"/>
    <x v="10"/>
    <x v="1"/>
  </r>
  <r>
    <s v="TX501959"/>
    <x v="10"/>
    <x v="2"/>
    <n v="58.4"/>
    <n v="175.2"/>
    <x v="71"/>
    <d v="2025-03-15T00:00:00"/>
    <x v="2"/>
    <x v="1"/>
    <x v="2"/>
    <x v="0"/>
    <x v="3"/>
    <x v="1"/>
    <x v="10"/>
    <x v="2"/>
  </r>
  <r>
    <s v="TX501960"/>
    <x v="7"/>
    <x v="15"/>
    <n v="42.2"/>
    <n v="548.6"/>
    <x v="71"/>
    <d v="2025-03-13T00:00:00"/>
    <x v="1"/>
    <x v="0"/>
    <x v="0"/>
    <x v="0"/>
    <x v="25"/>
    <x v="7"/>
    <x v="10"/>
    <x v="1"/>
  </r>
  <r>
    <s v="TX501961"/>
    <x v="6"/>
    <x v="1"/>
    <n v="152.19999999999999"/>
    <n v="304.39999999999998"/>
    <x v="71"/>
    <d v="2025-03-14T00:00:00"/>
    <x v="1"/>
    <x v="4"/>
    <x v="1"/>
    <x v="0"/>
    <x v="25"/>
    <x v="3"/>
    <x v="10"/>
    <x v="1"/>
  </r>
  <r>
    <s v="TX501962"/>
    <x v="6"/>
    <x v="25"/>
    <n v="72"/>
    <n v="1728"/>
    <x v="71"/>
    <d v="2025-03-14T00:00:00"/>
    <x v="1"/>
    <x v="0"/>
    <x v="1"/>
    <x v="0"/>
    <x v="6"/>
    <x v="3"/>
    <x v="10"/>
    <x v="1"/>
  </r>
  <r>
    <s v="TX501963"/>
    <x v="1"/>
    <x v="44"/>
    <n v="70.900000000000006"/>
    <n v="1630.7"/>
    <x v="71"/>
    <d v="2025-03-14T00:00:00"/>
    <x v="2"/>
    <x v="2"/>
    <x v="0"/>
    <x v="0"/>
    <x v="8"/>
    <x v="3"/>
    <x v="10"/>
    <x v="2"/>
  </r>
  <r>
    <s v="TX501964"/>
    <x v="2"/>
    <x v="1"/>
    <n v="53.7"/>
    <n v="107.4"/>
    <x v="71"/>
    <d v="2025-03-14T00:00:00"/>
    <x v="1"/>
    <x v="2"/>
    <x v="2"/>
    <x v="0"/>
    <x v="8"/>
    <x v="3"/>
    <x v="10"/>
    <x v="1"/>
  </r>
  <r>
    <s v="TX501965"/>
    <x v="9"/>
    <x v="12"/>
    <n v="42.9"/>
    <n v="171.6"/>
    <x v="71"/>
    <d v="2025-03-14T00:00:00"/>
    <x v="2"/>
    <x v="2"/>
    <x v="4"/>
    <x v="0"/>
    <x v="9"/>
    <x v="3"/>
    <x v="10"/>
    <x v="2"/>
  </r>
  <r>
    <s v="TX501966"/>
    <x v="2"/>
    <x v="3"/>
    <n v="107.5"/>
    <n v="752.5"/>
    <x v="71"/>
    <d v="2025-03-14T00:00:00"/>
    <x v="1"/>
    <x v="1"/>
    <x v="0"/>
    <x v="0"/>
    <x v="11"/>
    <x v="3"/>
    <x v="10"/>
    <x v="1"/>
  </r>
  <r>
    <s v="TX501967"/>
    <x v="17"/>
    <x v="27"/>
    <n v="21.5"/>
    <n v="344"/>
    <x v="71"/>
    <d v="2025-03-14T00:00:00"/>
    <x v="1"/>
    <x v="1"/>
    <x v="1"/>
    <x v="0"/>
    <x v="32"/>
    <x v="3"/>
    <x v="10"/>
    <x v="1"/>
  </r>
  <r>
    <s v="TX501968"/>
    <x v="3"/>
    <x v="9"/>
    <n v="85.3"/>
    <n v="426.5"/>
    <x v="71"/>
    <d v="2025-03-15T00:00:00"/>
    <x v="2"/>
    <x v="3"/>
    <x v="0"/>
    <x v="0"/>
    <x v="18"/>
    <x v="1"/>
    <x v="10"/>
    <x v="2"/>
  </r>
  <r>
    <s v="TX501969"/>
    <x v="7"/>
    <x v="9"/>
    <n v="80.8"/>
    <n v="404"/>
    <x v="71"/>
    <d v="2025-03-21T00:00:00"/>
    <x v="3"/>
    <x v="1"/>
    <x v="1"/>
    <x v="0"/>
    <x v="19"/>
    <x v="9"/>
    <x v="10"/>
    <x v="3"/>
  </r>
  <r>
    <s v="TX501970"/>
    <x v="2"/>
    <x v="2"/>
    <n v="123.1"/>
    <n v="369.29999999999995"/>
    <x v="71"/>
    <d v="2025-03-15T00:00:00"/>
    <x v="0"/>
    <x v="2"/>
    <x v="0"/>
    <x v="0"/>
    <x v="21"/>
    <x v="1"/>
    <x v="10"/>
    <x v="0"/>
  </r>
  <r>
    <s v="TX501971"/>
    <x v="8"/>
    <x v="1"/>
    <n v="36.9"/>
    <n v="73.8"/>
    <x v="71"/>
    <d v="2025-03-15T00:00:00"/>
    <x v="2"/>
    <x v="2"/>
    <x v="4"/>
    <x v="0"/>
    <x v="51"/>
    <x v="1"/>
    <x v="10"/>
    <x v="2"/>
  </r>
  <r>
    <s v="TX501972"/>
    <x v="11"/>
    <x v="9"/>
    <n v="40"/>
    <n v="200"/>
    <x v="71"/>
    <d v="2025-03-14T00:00:00"/>
    <x v="1"/>
    <x v="0"/>
    <x v="0"/>
    <x v="0"/>
    <x v="1"/>
    <x v="3"/>
    <x v="10"/>
    <x v="1"/>
  </r>
  <r>
    <s v="TX501973"/>
    <x v="6"/>
    <x v="2"/>
    <n v="55.5"/>
    <n v="166.5"/>
    <x v="71"/>
    <d v="2025-03-14T00:00:00"/>
    <x v="1"/>
    <x v="4"/>
    <x v="2"/>
    <x v="0"/>
    <x v="1"/>
    <x v="3"/>
    <x v="10"/>
    <x v="1"/>
  </r>
  <r>
    <s v="TX501974"/>
    <x v="0"/>
    <x v="12"/>
    <n v="20.5"/>
    <n v="82"/>
    <x v="71"/>
    <d v="2025-03-17T00:00:00"/>
    <x v="2"/>
    <x v="4"/>
    <x v="0"/>
    <x v="0"/>
    <x v="1"/>
    <x v="5"/>
    <x v="10"/>
    <x v="2"/>
  </r>
  <r>
    <s v="TX501975"/>
    <x v="18"/>
    <x v="12"/>
    <n v="50.1"/>
    <n v="200.4"/>
    <x v="71"/>
    <d v="2025-03-14T00:00:00"/>
    <x v="2"/>
    <x v="4"/>
    <x v="0"/>
    <x v="0"/>
    <x v="1"/>
    <x v="3"/>
    <x v="10"/>
    <x v="2"/>
  </r>
  <r>
    <s v="TX501976"/>
    <x v="9"/>
    <x v="0"/>
    <n v="35.9"/>
    <n v="35.9"/>
    <x v="71"/>
    <d v="2025-03-15T00:00:00"/>
    <x v="1"/>
    <x v="1"/>
    <x v="2"/>
    <x v="0"/>
    <x v="1"/>
    <x v="1"/>
    <x v="10"/>
    <x v="1"/>
  </r>
  <r>
    <s v="TX501977"/>
    <x v="13"/>
    <x v="12"/>
    <n v="29.4"/>
    <n v="117.6"/>
    <x v="72"/>
    <d v="2025-03-15T00:00:00"/>
    <x v="1"/>
    <x v="2"/>
    <x v="2"/>
    <x v="0"/>
    <x v="33"/>
    <x v="3"/>
    <x v="10"/>
    <x v="1"/>
  </r>
  <r>
    <s v="TX501978"/>
    <x v="8"/>
    <x v="9"/>
    <n v="29.1"/>
    <n v="145.5"/>
    <x v="72"/>
    <d v="2025-03-22T00:00:00"/>
    <x v="3"/>
    <x v="2"/>
    <x v="1"/>
    <x v="0"/>
    <x v="33"/>
    <x v="9"/>
    <x v="10"/>
    <x v="3"/>
  </r>
  <r>
    <s v="TX501979"/>
    <x v="8"/>
    <x v="2"/>
    <n v="33.5"/>
    <n v="100.5"/>
    <x v="72"/>
    <d v="2025-03-26T00:00:00"/>
    <x v="1"/>
    <x v="0"/>
    <x v="2"/>
    <x v="0"/>
    <x v="22"/>
    <x v="13"/>
    <x v="10"/>
    <x v="1"/>
  </r>
  <r>
    <s v="TX501980"/>
    <x v="4"/>
    <x v="7"/>
    <n v="36"/>
    <n v="360"/>
    <x v="72"/>
    <d v="2025-03-14T00:00:00"/>
    <x v="1"/>
    <x v="3"/>
    <x v="2"/>
    <x v="0"/>
    <x v="3"/>
    <x v="7"/>
    <x v="10"/>
    <x v="1"/>
  </r>
  <r>
    <s v="TX501981"/>
    <x v="16"/>
    <x v="2"/>
    <n v="57.3"/>
    <n v="171.89999999999998"/>
    <x v="72"/>
    <d v="2025-03-18T00:00:00"/>
    <x v="2"/>
    <x v="0"/>
    <x v="2"/>
    <x v="0"/>
    <x v="3"/>
    <x v="5"/>
    <x v="10"/>
    <x v="2"/>
  </r>
  <r>
    <s v="TX501982"/>
    <x v="1"/>
    <x v="0"/>
    <n v="81.400000000000006"/>
    <n v="81.400000000000006"/>
    <x v="72"/>
    <d v="2025-03-15T00:00:00"/>
    <x v="2"/>
    <x v="2"/>
    <x v="2"/>
    <x v="0"/>
    <x v="3"/>
    <x v="3"/>
    <x v="10"/>
    <x v="2"/>
  </r>
  <r>
    <s v="TX501983"/>
    <x v="10"/>
    <x v="1"/>
    <n v="35.299999999999997"/>
    <n v="70.599999999999994"/>
    <x v="72"/>
    <d v="2025-03-18T00:00:00"/>
    <x v="1"/>
    <x v="0"/>
    <x v="2"/>
    <x v="0"/>
    <x v="3"/>
    <x v="5"/>
    <x v="10"/>
    <x v="1"/>
  </r>
  <r>
    <s v="TX501984"/>
    <x v="3"/>
    <x v="0"/>
    <n v="36.1"/>
    <n v="36.1"/>
    <x v="72"/>
    <d v="2025-03-15T00:00:00"/>
    <x v="2"/>
    <x v="4"/>
    <x v="0"/>
    <x v="0"/>
    <x v="3"/>
    <x v="3"/>
    <x v="10"/>
    <x v="2"/>
  </r>
  <r>
    <s v="TX501985"/>
    <x v="1"/>
    <x v="1"/>
    <n v="36.700000000000003"/>
    <n v="73.400000000000006"/>
    <x v="72"/>
    <d v="2025-03-16T00:00:00"/>
    <x v="2"/>
    <x v="0"/>
    <x v="2"/>
    <x v="0"/>
    <x v="3"/>
    <x v="1"/>
    <x v="10"/>
    <x v="2"/>
  </r>
  <r>
    <s v="TX501986"/>
    <x v="10"/>
    <x v="0"/>
    <n v="20.9"/>
    <n v="20.9"/>
    <x v="72"/>
    <d v="2025-03-16T00:00:00"/>
    <x v="2"/>
    <x v="0"/>
    <x v="4"/>
    <x v="0"/>
    <x v="3"/>
    <x v="1"/>
    <x v="10"/>
    <x v="2"/>
  </r>
  <r>
    <s v="TX501987"/>
    <x v="12"/>
    <x v="2"/>
    <n v="58.8"/>
    <n v="176.39999999999998"/>
    <x v="72"/>
    <d v="2025-03-18T00:00:00"/>
    <x v="1"/>
    <x v="0"/>
    <x v="2"/>
    <x v="0"/>
    <x v="25"/>
    <x v="5"/>
    <x v="10"/>
    <x v="1"/>
  </r>
  <r>
    <s v="TX501988"/>
    <x v="2"/>
    <x v="2"/>
    <n v="97.6"/>
    <n v="292.79999999999995"/>
    <x v="73"/>
    <d v="2025-03-17T00:00:00"/>
    <x v="0"/>
    <x v="0"/>
    <x v="0"/>
    <x v="0"/>
    <x v="6"/>
    <x v="1"/>
    <x v="10"/>
    <x v="0"/>
  </r>
  <r>
    <s v="TX501989"/>
    <x v="1"/>
    <x v="1"/>
    <n v="58.7"/>
    <n v="117.4"/>
    <x v="73"/>
    <d v="2025-03-18T00:00:00"/>
    <x v="2"/>
    <x v="0"/>
    <x v="1"/>
    <x v="0"/>
    <x v="6"/>
    <x v="2"/>
    <x v="10"/>
    <x v="2"/>
  </r>
  <r>
    <s v="TX501990"/>
    <x v="6"/>
    <x v="9"/>
    <n v="71.900000000000006"/>
    <n v="359.5"/>
    <x v="73"/>
    <d v="2025-03-16T00:00:00"/>
    <x v="0"/>
    <x v="0"/>
    <x v="1"/>
    <x v="0"/>
    <x v="6"/>
    <x v="3"/>
    <x v="10"/>
    <x v="0"/>
  </r>
  <r>
    <s v="TX501991"/>
    <x v="1"/>
    <x v="1"/>
    <n v="62.4"/>
    <n v="124.8"/>
    <x v="73"/>
    <d v="2025-03-17T00:00:00"/>
    <x v="0"/>
    <x v="0"/>
    <x v="1"/>
    <x v="0"/>
    <x v="8"/>
    <x v="1"/>
    <x v="10"/>
    <x v="0"/>
  </r>
  <r>
    <s v="TX501992"/>
    <x v="6"/>
    <x v="27"/>
    <n v="53.8"/>
    <n v="860.8"/>
    <x v="73"/>
    <d v="2025-03-16T00:00:00"/>
    <x v="2"/>
    <x v="1"/>
    <x v="0"/>
    <x v="0"/>
    <x v="8"/>
    <x v="3"/>
    <x v="10"/>
    <x v="2"/>
  </r>
  <r>
    <s v="TX501993"/>
    <x v="9"/>
    <x v="0"/>
    <n v="43.8"/>
    <n v="43.8"/>
    <x v="73"/>
    <d v="2025-03-22T00:00:00"/>
    <x v="2"/>
    <x v="0"/>
    <x v="2"/>
    <x v="0"/>
    <x v="8"/>
    <x v="6"/>
    <x v="10"/>
    <x v="2"/>
  </r>
  <r>
    <s v="TX501994"/>
    <x v="5"/>
    <x v="2"/>
    <n v="53.6"/>
    <n v="160.80000000000001"/>
    <x v="73"/>
    <d v="2025-03-16T00:00:00"/>
    <x v="1"/>
    <x v="3"/>
    <x v="0"/>
    <x v="0"/>
    <x v="8"/>
    <x v="3"/>
    <x v="10"/>
    <x v="1"/>
  </r>
  <r>
    <s v="TX501995"/>
    <x v="12"/>
    <x v="1"/>
    <n v="84.3"/>
    <n v="168.6"/>
    <x v="73"/>
    <d v="2025-03-18T00:00:00"/>
    <x v="1"/>
    <x v="4"/>
    <x v="1"/>
    <x v="0"/>
    <x v="8"/>
    <x v="2"/>
    <x v="10"/>
    <x v="1"/>
  </r>
  <r>
    <s v="TX501996"/>
    <x v="6"/>
    <x v="11"/>
    <n v="117.9"/>
    <n v="1061.1000000000001"/>
    <x v="73"/>
    <d v="2025-03-16T00:00:00"/>
    <x v="2"/>
    <x v="1"/>
    <x v="2"/>
    <x v="0"/>
    <x v="8"/>
    <x v="3"/>
    <x v="10"/>
    <x v="2"/>
  </r>
  <r>
    <s v="TX501997"/>
    <x v="4"/>
    <x v="8"/>
    <n v="30"/>
    <n v="240"/>
    <x v="73"/>
    <d v="2025-03-16T00:00:00"/>
    <x v="2"/>
    <x v="1"/>
    <x v="0"/>
    <x v="0"/>
    <x v="26"/>
    <x v="3"/>
    <x v="10"/>
    <x v="2"/>
  </r>
  <r>
    <s v="TX501998"/>
    <x v="14"/>
    <x v="2"/>
    <n v="37.299999999999997"/>
    <n v="111.89999999999999"/>
    <x v="73"/>
    <d v="2025-03-16T00:00:00"/>
    <x v="1"/>
    <x v="2"/>
    <x v="0"/>
    <x v="0"/>
    <x v="9"/>
    <x v="3"/>
    <x v="10"/>
    <x v="1"/>
  </r>
  <r>
    <s v="TX501999"/>
    <x v="4"/>
    <x v="11"/>
    <n v="25.1"/>
    <n v="225.9"/>
    <x v="73"/>
    <d v="2025-03-17T00:00:00"/>
    <x v="1"/>
    <x v="1"/>
    <x v="2"/>
    <x v="0"/>
    <x v="11"/>
    <x v="1"/>
    <x v="10"/>
    <x v="1"/>
  </r>
  <r>
    <s v="TX502000"/>
    <x v="8"/>
    <x v="5"/>
    <n v="36"/>
    <n v="396"/>
    <x v="73"/>
    <d v="2025-03-25T00:00:00"/>
    <x v="1"/>
    <x v="1"/>
    <x v="0"/>
    <x v="0"/>
    <x v="18"/>
    <x v="14"/>
    <x v="10"/>
    <x v="1"/>
  </r>
  <r>
    <s v="TX502001"/>
    <x v="16"/>
    <x v="2"/>
    <n v="48.5"/>
    <n v="145.5"/>
    <x v="73"/>
    <d v="2025-03-19T00:00:00"/>
    <x v="2"/>
    <x v="1"/>
    <x v="0"/>
    <x v="0"/>
    <x v="19"/>
    <x v="5"/>
    <x v="10"/>
    <x v="2"/>
  </r>
  <r>
    <s v="TX502002"/>
    <x v="17"/>
    <x v="13"/>
    <n v="21.1"/>
    <n v="126.60000000000001"/>
    <x v="73"/>
    <d v="2025-03-16T00:00:00"/>
    <x v="1"/>
    <x v="1"/>
    <x v="2"/>
    <x v="0"/>
    <x v="21"/>
    <x v="3"/>
    <x v="10"/>
    <x v="1"/>
  </r>
  <r>
    <s v="TX502003"/>
    <x v="15"/>
    <x v="21"/>
    <n v="43.2"/>
    <n v="604.80000000000007"/>
    <x v="73"/>
    <d v="2025-03-16T00:00:00"/>
    <x v="3"/>
    <x v="0"/>
    <x v="1"/>
    <x v="0"/>
    <x v="21"/>
    <x v="3"/>
    <x v="10"/>
    <x v="3"/>
  </r>
  <r>
    <s v="TX502004"/>
    <x v="9"/>
    <x v="1"/>
    <n v="21.1"/>
    <n v="42.2"/>
    <x v="73"/>
    <d v="2025-03-16T00:00:00"/>
    <x v="0"/>
    <x v="3"/>
    <x v="1"/>
    <x v="0"/>
    <x v="21"/>
    <x v="3"/>
    <x v="10"/>
    <x v="0"/>
  </r>
  <r>
    <s v="TX502005"/>
    <x v="6"/>
    <x v="12"/>
    <n v="41.3"/>
    <n v="165.2"/>
    <x v="73"/>
    <d v="2025-03-17T00:00:00"/>
    <x v="2"/>
    <x v="3"/>
    <x v="2"/>
    <x v="0"/>
    <x v="1"/>
    <x v="1"/>
    <x v="10"/>
    <x v="2"/>
  </r>
  <r>
    <s v="TX502006"/>
    <x v="8"/>
    <x v="1"/>
    <n v="15.3"/>
    <n v="30.6"/>
    <x v="73"/>
    <d v="2025-03-18T00:00:00"/>
    <x v="0"/>
    <x v="2"/>
    <x v="2"/>
    <x v="0"/>
    <x v="1"/>
    <x v="2"/>
    <x v="10"/>
    <x v="0"/>
  </r>
  <r>
    <s v="TX502007"/>
    <x v="1"/>
    <x v="0"/>
    <n v="54.6"/>
    <n v="54.6"/>
    <x v="73"/>
    <d v="2025-03-17T00:00:00"/>
    <x v="1"/>
    <x v="1"/>
    <x v="1"/>
    <x v="0"/>
    <x v="2"/>
    <x v="1"/>
    <x v="10"/>
    <x v="1"/>
  </r>
  <r>
    <s v="TX502008"/>
    <x v="8"/>
    <x v="0"/>
    <n v="15.9"/>
    <n v="15.9"/>
    <x v="73"/>
    <d v="2025-03-16T00:00:00"/>
    <x v="1"/>
    <x v="0"/>
    <x v="1"/>
    <x v="0"/>
    <x v="22"/>
    <x v="3"/>
    <x v="10"/>
    <x v="1"/>
  </r>
  <r>
    <s v="TX502009"/>
    <x v="9"/>
    <x v="0"/>
    <n v="50.2"/>
    <n v="50.2"/>
    <x v="73"/>
    <d v="2025-03-17T00:00:00"/>
    <x v="2"/>
    <x v="3"/>
    <x v="2"/>
    <x v="0"/>
    <x v="34"/>
    <x v="1"/>
    <x v="10"/>
    <x v="2"/>
  </r>
  <r>
    <s v="TX502010"/>
    <x v="11"/>
    <x v="12"/>
    <n v="85.1"/>
    <n v="340.4"/>
    <x v="73"/>
    <d v="2025-03-16T00:00:00"/>
    <x v="2"/>
    <x v="3"/>
    <x v="4"/>
    <x v="0"/>
    <x v="34"/>
    <x v="3"/>
    <x v="10"/>
    <x v="2"/>
  </r>
  <r>
    <s v="TX502011"/>
    <x v="11"/>
    <x v="1"/>
    <n v="41.4"/>
    <n v="82.8"/>
    <x v="73"/>
    <d v="2025-03-16T00:00:00"/>
    <x v="2"/>
    <x v="0"/>
    <x v="2"/>
    <x v="0"/>
    <x v="3"/>
    <x v="3"/>
    <x v="10"/>
    <x v="2"/>
  </r>
  <r>
    <s v="TX502012"/>
    <x v="4"/>
    <x v="3"/>
    <n v="32.700000000000003"/>
    <n v="228.90000000000003"/>
    <x v="73"/>
    <d v="2025-03-16T00:00:00"/>
    <x v="2"/>
    <x v="2"/>
    <x v="1"/>
    <x v="0"/>
    <x v="3"/>
    <x v="3"/>
    <x v="10"/>
    <x v="2"/>
  </r>
  <r>
    <s v="TX502013"/>
    <x v="4"/>
    <x v="1"/>
    <n v="41.6"/>
    <n v="83.2"/>
    <x v="73"/>
    <d v="2025-03-17T00:00:00"/>
    <x v="1"/>
    <x v="4"/>
    <x v="1"/>
    <x v="0"/>
    <x v="3"/>
    <x v="1"/>
    <x v="10"/>
    <x v="1"/>
  </r>
  <r>
    <s v="TX502014"/>
    <x v="5"/>
    <x v="12"/>
    <n v="64.8"/>
    <n v="259.2"/>
    <x v="73"/>
    <d v="2025-03-16T00:00:00"/>
    <x v="0"/>
    <x v="2"/>
    <x v="0"/>
    <x v="0"/>
    <x v="3"/>
    <x v="3"/>
    <x v="10"/>
    <x v="0"/>
  </r>
  <r>
    <s v="TX502015"/>
    <x v="15"/>
    <x v="1"/>
    <n v="33.6"/>
    <n v="67.2"/>
    <x v="73"/>
    <d v="2025-03-16T00:00:00"/>
    <x v="1"/>
    <x v="0"/>
    <x v="2"/>
    <x v="0"/>
    <x v="3"/>
    <x v="3"/>
    <x v="10"/>
    <x v="1"/>
  </r>
  <r>
    <s v="TX502016"/>
    <x v="6"/>
    <x v="2"/>
    <n v="100.7"/>
    <n v="302.10000000000002"/>
    <x v="73"/>
    <d v="2025-03-16T00:00:00"/>
    <x v="0"/>
    <x v="1"/>
    <x v="0"/>
    <x v="0"/>
    <x v="3"/>
    <x v="3"/>
    <x v="10"/>
    <x v="0"/>
  </r>
  <r>
    <s v="TX502017"/>
    <x v="4"/>
    <x v="1"/>
    <n v="49.3"/>
    <n v="98.6"/>
    <x v="74"/>
    <d v="2025-03-18T00:00:00"/>
    <x v="2"/>
    <x v="4"/>
    <x v="2"/>
    <x v="0"/>
    <x v="3"/>
    <x v="1"/>
    <x v="11"/>
    <x v="2"/>
  </r>
  <r>
    <s v="TX502018"/>
    <x v="2"/>
    <x v="13"/>
    <n v="97"/>
    <n v="582"/>
    <x v="74"/>
    <d v="2025-03-19T00:00:00"/>
    <x v="1"/>
    <x v="2"/>
    <x v="2"/>
    <x v="0"/>
    <x v="3"/>
    <x v="2"/>
    <x v="11"/>
    <x v="1"/>
  </r>
  <r>
    <s v="TX502019"/>
    <x v="0"/>
    <x v="13"/>
    <n v="25.2"/>
    <n v="151.19999999999999"/>
    <x v="74"/>
    <d v="2025-03-19T00:00:00"/>
    <x v="2"/>
    <x v="4"/>
    <x v="2"/>
    <x v="0"/>
    <x v="3"/>
    <x v="2"/>
    <x v="11"/>
    <x v="2"/>
  </r>
  <r>
    <s v="TX502020"/>
    <x v="0"/>
    <x v="5"/>
    <n v="12.2"/>
    <n v="134.19999999999999"/>
    <x v="74"/>
    <d v="2025-03-17T00:00:00"/>
    <x v="0"/>
    <x v="0"/>
    <x v="1"/>
    <x v="0"/>
    <x v="3"/>
    <x v="3"/>
    <x v="11"/>
    <x v="0"/>
  </r>
  <r>
    <s v="TX502021"/>
    <x v="8"/>
    <x v="3"/>
    <n v="38.799999999999997"/>
    <n v="271.59999999999997"/>
    <x v="74"/>
    <d v="2025-03-18T00:00:00"/>
    <x v="2"/>
    <x v="1"/>
    <x v="1"/>
    <x v="0"/>
    <x v="23"/>
    <x v="1"/>
    <x v="11"/>
    <x v="2"/>
  </r>
  <r>
    <s v="TX502022"/>
    <x v="2"/>
    <x v="12"/>
    <n v="53.2"/>
    <n v="212.8"/>
    <x v="74"/>
    <d v="2025-03-17T00:00:00"/>
    <x v="1"/>
    <x v="0"/>
    <x v="2"/>
    <x v="0"/>
    <x v="8"/>
    <x v="3"/>
    <x v="11"/>
    <x v="1"/>
  </r>
  <r>
    <s v="TX502023"/>
    <x v="6"/>
    <x v="3"/>
    <n v="151"/>
    <n v="1057"/>
    <x v="74"/>
    <d v="2025-03-17T00:00:00"/>
    <x v="3"/>
    <x v="1"/>
    <x v="1"/>
    <x v="0"/>
    <x v="8"/>
    <x v="3"/>
    <x v="11"/>
    <x v="3"/>
  </r>
  <r>
    <s v="TX502024"/>
    <x v="1"/>
    <x v="1"/>
    <n v="37.1"/>
    <n v="74.2"/>
    <x v="74"/>
    <d v="2025-03-17T00:00:00"/>
    <x v="2"/>
    <x v="4"/>
    <x v="0"/>
    <x v="0"/>
    <x v="8"/>
    <x v="3"/>
    <x v="11"/>
    <x v="2"/>
  </r>
  <r>
    <s v="TX502025"/>
    <x v="5"/>
    <x v="1"/>
    <n v="38.9"/>
    <n v="77.8"/>
    <x v="74"/>
    <d v="2025-03-17T00:00:00"/>
    <x v="1"/>
    <x v="4"/>
    <x v="0"/>
    <x v="0"/>
    <x v="8"/>
    <x v="3"/>
    <x v="11"/>
    <x v="1"/>
  </r>
  <r>
    <s v="TX502026"/>
    <x v="10"/>
    <x v="1"/>
    <n v="35.200000000000003"/>
    <n v="70.400000000000006"/>
    <x v="74"/>
    <d v="2025-03-17T00:00:00"/>
    <x v="1"/>
    <x v="0"/>
    <x v="2"/>
    <x v="0"/>
    <x v="17"/>
    <x v="3"/>
    <x v="11"/>
    <x v="1"/>
  </r>
  <r>
    <s v="TX502027"/>
    <x v="0"/>
    <x v="1"/>
    <n v="22.3"/>
    <n v="44.6"/>
    <x v="74"/>
    <d v="2025-03-18T00:00:00"/>
    <x v="2"/>
    <x v="1"/>
    <x v="0"/>
    <x v="0"/>
    <x v="9"/>
    <x v="1"/>
    <x v="11"/>
    <x v="2"/>
  </r>
  <r>
    <s v="TX502028"/>
    <x v="9"/>
    <x v="0"/>
    <n v="43.3"/>
    <n v="43.3"/>
    <x v="74"/>
    <d v="2025-03-19T00:00:00"/>
    <x v="2"/>
    <x v="0"/>
    <x v="2"/>
    <x v="0"/>
    <x v="11"/>
    <x v="2"/>
    <x v="11"/>
    <x v="2"/>
  </r>
  <r>
    <s v="TX502029"/>
    <x v="6"/>
    <x v="13"/>
    <n v="75.900000000000006"/>
    <n v="455.40000000000003"/>
    <x v="74"/>
    <d v="2025-03-22T00:00:00"/>
    <x v="1"/>
    <x v="0"/>
    <x v="0"/>
    <x v="0"/>
    <x v="11"/>
    <x v="4"/>
    <x v="11"/>
    <x v="1"/>
  </r>
  <r>
    <s v="TX502030"/>
    <x v="6"/>
    <x v="2"/>
    <n v="78.7"/>
    <n v="236.10000000000002"/>
    <x v="74"/>
    <d v="2025-03-20T00:00:00"/>
    <x v="2"/>
    <x v="2"/>
    <x v="1"/>
    <x v="0"/>
    <x v="11"/>
    <x v="5"/>
    <x v="11"/>
    <x v="2"/>
  </r>
  <r>
    <s v="TX502031"/>
    <x v="1"/>
    <x v="0"/>
    <n v="66.3"/>
    <n v="66.3"/>
    <x v="74"/>
    <d v="2025-03-20T00:00:00"/>
    <x v="2"/>
    <x v="0"/>
    <x v="2"/>
    <x v="0"/>
    <x v="19"/>
    <x v="5"/>
    <x v="11"/>
    <x v="2"/>
  </r>
  <r>
    <s v="TX502032"/>
    <x v="8"/>
    <x v="1"/>
    <n v="33.6"/>
    <n v="67.2"/>
    <x v="74"/>
    <d v="2025-03-16T00:00:00"/>
    <x v="1"/>
    <x v="0"/>
    <x v="1"/>
    <x v="0"/>
    <x v="19"/>
    <x v="7"/>
    <x v="11"/>
    <x v="1"/>
  </r>
  <r>
    <s v="TX502033"/>
    <x v="2"/>
    <x v="3"/>
    <n v="61.4"/>
    <n v="429.8"/>
    <x v="74"/>
    <d v="2025-03-17T00:00:00"/>
    <x v="1"/>
    <x v="4"/>
    <x v="0"/>
    <x v="0"/>
    <x v="19"/>
    <x v="3"/>
    <x v="11"/>
    <x v="1"/>
  </r>
  <r>
    <s v="TX502034"/>
    <x v="8"/>
    <x v="1"/>
    <n v="17.5"/>
    <n v="35"/>
    <x v="74"/>
    <d v="2025-03-19T00:00:00"/>
    <x v="2"/>
    <x v="0"/>
    <x v="0"/>
    <x v="0"/>
    <x v="21"/>
    <x v="2"/>
    <x v="11"/>
    <x v="2"/>
  </r>
  <r>
    <s v="TX502035"/>
    <x v="8"/>
    <x v="1"/>
    <n v="32.5"/>
    <n v="65"/>
    <x v="74"/>
    <d v="2025-03-19T00:00:00"/>
    <x v="2"/>
    <x v="1"/>
    <x v="0"/>
    <x v="0"/>
    <x v="21"/>
    <x v="2"/>
    <x v="11"/>
    <x v="2"/>
  </r>
  <r>
    <s v="TX502036"/>
    <x v="4"/>
    <x v="0"/>
    <n v="34.6"/>
    <n v="34.6"/>
    <x v="74"/>
    <d v="2025-03-17T00:00:00"/>
    <x v="2"/>
    <x v="4"/>
    <x v="0"/>
    <x v="0"/>
    <x v="21"/>
    <x v="3"/>
    <x v="11"/>
    <x v="2"/>
  </r>
  <r>
    <s v="TX502037"/>
    <x v="2"/>
    <x v="0"/>
    <n v="75.900000000000006"/>
    <n v="75.900000000000006"/>
    <x v="74"/>
    <d v="2025-03-16T00:00:00"/>
    <x v="1"/>
    <x v="1"/>
    <x v="2"/>
    <x v="0"/>
    <x v="21"/>
    <x v="7"/>
    <x v="11"/>
    <x v="1"/>
  </r>
  <r>
    <s v="TX502038"/>
    <x v="1"/>
    <x v="2"/>
    <n v="42.1"/>
    <n v="126.30000000000001"/>
    <x v="74"/>
    <d v="2025-03-19T00:00:00"/>
    <x v="1"/>
    <x v="1"/>
    <x v="1"/>
    <x v="0"/>
    <x v="21"/>
    <x v="2"/>
    <x v="11"/>
    <x v="1"/>
  </r>
  <r>
    <s v="TX502039"/>
    <x v="7"/>
    <x v="2"/>
    <n v="65.3"/>
    <n v="195.89999999999998"/>
    <x v="74"/>
    <d v="2025-03-23T00:00:00"/>
    <x v="1"/>
    <x v="0"/>
    <x v="0"/>
    <x v="0"/>
    <x v="1"/>
    <x v="6"/>
    <x v="11"/>
    <x v="1"/>
  </r>
  <r>
    <s v="TX502040"/>
    <x v="15"/>
    <x v="0"/>
    <n v="20.6"/>
    <n v="20.6"/>
    <x v="74"/>
    <d v="2025-03-19T00:00:00"/>
    <x v="1"/>
    <x v="3"/>
    <x v="0"/>
    <x v="0"/>
    <x v="42"/>
    <x v="2"/>
    <x v="11"/>
    <x v="1"/>
  </r>
  <r>
    <s v="TX502041"/>
    <x v="8"/>
    <x v="3"/>
    <n v="16.5"/>
    <n v="115.5"/>
    <x v="74"/>
    <d v="2025-03-17T00:00:00"/>
    <x v="1"/>
    <x v="1"/>
    <x v="1"/>
    <x v="0"/>
    <x v="2"/>
    <x v="3"/>
    <x v="11"/>
    <x v="1"/>
  </r>
  <r>
    <s v="TX502042"/>
    <x v="16"/>
    <x v="7"/>
    <n v="36.200000000000003"/>
    <n v="362"/>
    <x v="74"/>
    <d v="2025-03-18T00:00:00"/>
    <x v="1"/>
    <x v="0"/>
    <x v="2"/>
    <x v="0"/>
    <x v="2"/>
    <x v="1"/>
    <x v="11"/>
    <x v="1"/>
  </r>
  <r>
    <s v="TX502043"/>
    <x v="6"/>
    <x v="0"/>
    <n v="53.2"/>
    <n v="53.2"/>
    <x v="74"/>
    <d v="2025-03-17T00:00:00"/>
    <x v="2"/>
    <x v="0"/>
    <x v="1"/>
    <x v="0"/>
    <x v="22"/>
    <x v="3"/>
    <x v="11"/>
    <x v="2"/>
  </r>
  <r>
    <s v="TX502044"/>
    <x v="2"/>
    <x v="21"/>
    <n v="176"/>
    <n v="2464"/>
    <x v="74"/>
    <d v="2025-03-17T00:00:00"/>
    <x v="2"/>
    <x v="0"/>
    <x v="1"/>
    <x v="0"/>
    <x v="3"/>
    <x v="3"/>
    <x v="11"/>
    <x v="2"/>
  </r>
  <r>
    <s v="TX502045"/>
    <x v="1"/>
    <x v="0"/>
    <n v="52.4"/>
    <n v="52.4"/>
    <x v="74"/>
    <d v="2025-03-17T00:00:00"/>
    <x v="1"/>
    <x v="1"/>
    <x v="0"/>
    <x v="0"/>
    <x v="3"/>
    <x v="3"/>
    <x v="11"/>
    <x v="1"/>
  </r>
  <r>
    <s v="TX502046"/>
    <x v="10"/>
    <x v="2"/>
    <n v="48.2"/>
    <n v="144.60000000000002"/>
    <x v="74"/>
    <d v="2025-03-17T00:00:00"/>
    <x v="2"/>
    <x v="1"/>
    <x v="2"/>
    <x v="0"/>
    <x v="3"/>
    <x v="3"/>
    <x v="11"/>
    <x v="2"/>
  </r>
  <r>
    <s v="TX502047"/>
    <x v="15"/>
    <x v="0"/>
    <n v="51.6"/>
    <n v="51.6"/>
    <x v="74"/>
    <d v="2025-03-20T00:00:00"/>
    <x v="2"/>
    <x v="2"/>
    <x v="1"/>
    <x v="0"/>
    <x v="3"/>
    <x v="5"/>
    <x v="11"/>
    <x v="2"/>
  </r>
  <r>
    <s v="TX502048"/>
    <x v="0"/>
    <x v="12"/>
    <n v="33.700000000000003"/>
    <n v="134.80000000000001"/>
    <x v="75"/>
    <d v="2025-03-18T00:00:00"/>
    <x v="1"/>
    <x v="0"/>
    <x v="0"/>
    <x v="0"/>
    <x v="3"/>
    <x v="3"/>
    <x v="11"/>
    <x v="1"/>
  </r>
  <r>
    <s v="TX502049"/>
    <x v="4"/>
    <x v="7"/>
    <n v="36.299999999999997"/>
    <n v="363"/>
    <x v="75"/>
    <d v="2025-03-19T00:00:00"/>
    <x v="2"/>
    <x v="4"/>
    <x v="1"/>
    <x v="0"/>
    <x v="3"/>
    <x v="1"/>
    <x v="11"/>
    <x v="2"/>
  </r>
  <r>
    <s v="TX502050"/>
    <x v="8"/>
    <x v="0"/>
    <n v="23.4"/>
    <n v="23.4"/>
    <x v="75"/>
    <d v="2025-03-22T00:00:00"/>
    <x v="2"/>
    <x v="1"/>
    <x v="2"/>
    <x v="0"/>
    <x v="3"/>
    <x v="0"/>
    <x v="11"/>
    <x v="2"/>
  </r>
  <r>
    <s v="TX502051"/>
    <x v="15"/>
    <x v="8"/>
    <n v="56.6"/>
    <n v="452.8"/>
    <x v="75"/>
    <d v="2025-03-19T00:00:00"/>
    <x v="2"/>
    <x v="1"/>
    <x v="0"/>
    <x v="0"/>
    <x v="3"/>
    <x v="1"/>
    <x v="11"/>
    <x v="2"/>
  </r>
  <r>
    <s v="TX502052"/>
    <x v="15"/>
    <x v="1"/>
    <n v="26.8"/>
    <n v="53.6"/>
    <x v="75"/>
    <d v="2025-03-18T00:00:00"/>
    <x v="1"/>
    <x v="0"/>
    <x v="0"/>
    <x v="0"/>
    <x v="4"/>
    <x v="3"/>
    <x v="11"/>
    <x v="1"/>
  </r>
  <r>
    <s v="TX502053"/>
    <x v="0"/>
    <x v="2"/>
    <n v="11.3"/>
    <n v="33.900000000000006"/>
    <x v="75"/>
    <d v="2025-03-19T00:00:00"/>
    <x v="1"/>
    <x v="2"/>
    <x v="0"/>
    <x v="0"/>
    <x v="25"/>
    <x v="1"/>
    <x v="11"/>
    <x v="1"/>
  </r>
  <r>
    <s v="TX502054"/>
    <x v="6"/>
    <x v="2"/>
    <n v="60.1"/>
    <n v="180.3"/>
    <x v="75"/>
    <d v="2025-03-20T00:00:00"/>
    <x v="2"/>
    <x v="0"/>
    <x v="0"/>
    <x v="0"/>
    <x v="7"/>
    <x v="2"/>
    <x v="11"/>
    <x v="2"/>
  </r>
  <r>
    <s v="TX502055"/>
    <x v="0"/>
    <x v="5"/>
    <n v="27.7"/>
    <n v="304.7"/>
    <x v="75"/>
    <d v="2025-03-22T00:00:00"/>
    <x v="2"/>
    <x v="0"/>
    <x v="0"/>
    <x v="0"/>
    <x v="8"/>
    <x v="0"/>
    <x v="11"/>
    <x v="2"/>
  </r>
  <r>
    <s v="TX502056"/>
    <x v="15"/>
    <x v="0"/>
    <n v="71.400000000000006"/>
    <n v="71.400000000000006"/>
    <x v="75"/>
    <d v="2025-03-20T00:00:00"/>
    <x v="1"/>
    <x v="0"/>
    <x v="2"/>
    <x v="0"/>
    <x v="8"/>
    <x v="2"/>
    <x v="11"/>
    <x v="1"/>
  </r>
  <r>
    <s v="TX502057"/>
    <x v="2"/>
    <x v="1"/>
    <n v="66.7"/>
    <n v="133.4"/>
    <x v="75"/>
    <d v="2025-03-18T00:00:00"/>
    <x v="2"/>
    <x v="0"/>
    <x v="2"/>
    <x v="0"/>
    <x v="8"/>
    <x v="3"/>
    <x v="11"/>
    <x v="2"/>
  </r>
  <r>
    <s v="TX502058"/>
    <x v="13"/>
    <x v="9"/>
    <n v="39.1"/>
    <n v="195.5"/>
    <x v="75"/>
    <d v="2025-03-18T00:00:00"/>
    <x v="2"/>
    <x v="0"/>
    <x v="0"/>
    <x v="0"/>
    <x v="8"/>
    <x v="3"/>
    <x v="11"/>
    <x v="2"/>
  </r>
  <r>
    <s v="TX502059"/>
    <x v="8"/>
    <x v="12"/>
    <n v="24.9"/>
    <n v="99.6"/>
    <x v="75"/>
    <d v="2025-03-22T00:00:00"/>
    <x v="1"/>
    <x v="1"/>
    <x v="2"/>
    <x v="0"/>
    <x v="8"/>
    <x v="0"/>
    <x v="11"/>
    <x v="1"/>
  </r>
  <r>
    <s v="TX502060"/>
    <x v="5"/>
    <x v="9"/>
    <n v="29.2"/>
    <n v="146"/>
    <x v="75"/>
    <d v="2025-03-18T00:00:00"/>
    <x v="1"/>
    <x v="0"/>
    <x v="2"/>
    <x v="0"/>
    <x v="17"/>
    <x v="3"/>
    <x v="11"/>
    <x v="1"/>
  </r>
  <r>
    <s v="TX502061"/>
    <x v="13"/>
    <x v="21"/>
    <n v="28.3"/>
    <n v="396.2"/>
    <x v="75"/>
    <d v="2025-03-19T00:00:00"/>
    <x v="2"/>
    <x v="1"/>
    <x v="0"/>
    <x v="0"/>
    <x v="11"/>
    <x v="1"/>
    <x v="11"/>
    <x v="2"/>
  </r>
  <r>
    <s v="TX502062"/>
    <x v="9"/>
    <x v="2"/>
    <n v="37.799999999999997"/>
    <n v="113.39999999999999"/>
    <x v="75"/>
    <d v="2025-03-18T00:00:00"/>
    <x v="2"/>
    <x v="0"/>
    <x v="1"/>
    <x v="0"/>
    <x v="11"/>
    <x v="3"/>
    <x v="11"/>
    <x v="2"/>
  </r>
  <r>
    <s v="TX502063"/>
    <x v="14"/>
    <x v="3"/>
    <n v="28.1"/>
    <n v="196.70000000000002"/>
    <x v="75"/>
    <d v="2025-03-23T00:00:00"/>
    <x v="2"/>
    <x v="2"/>
    <x v="0"/>
    <x v="0"/>
    <x v="11"/>
    <x v="4"/>
    <x v="11"/>
    <x v="2"/>
  </r>
  <r>
    <s v="TX502064"/>
    <x v="1"/>
    <x v="2"/>
    <n v="59.7"/>
    <n v="179.10000000000002"/>
    <x v="75"/>
    <d v="2025-03-19T00:00:00"/>
    <x v="2"/>
    <x v="2"/>
    <x v="0"/>
    <x v="0"/>
    <x v="11"/>
    <x v="1"/>
    <x v="11"/>
    <x v="2"/>
  </r>
  <r>
    <s v="TX502065"/>
    <x v="16"/>
    <x v="0"/>
    <n v="71.900000000000006"/>
    <n v="71.900000000000006"/>
    <x v="75"/>
    <d v="2025-03-18T00:00:00"/>
    <x v="1"/>
    <x v="1"/>
    <x v="1"/>
    <x v="0"/>
    <x v="11"/>
    <x v="3"/>
    <x v="11"/>
    <x v="1"/>
  </r>
  <r>
    <s v="TX502066"/>
    <x v="1"/>
    <x v="1"/>
    <n v="56.9"/>
    <n v="113.8"/>
    <x v="75"/>
    <d v="2025-03-18T00:00:00"/>
    <x v="1"/>
    <x v="2"/>
    <x v="0"/>
    <x v="0"/>
    <x v="13"/>
    <x v="3"/>
    <x v="11"/>
    <x v="1"/>
  </r>
  <r>
    <s v="TX502067"/>
    <x v="8"/>
    <x v="1"/>
    <n v="15.8"/>
    <n v="31.6"/>
    <x v="75"/>
    <d v="2025-03-20T00:00:00"/>
    <x v="2"/>
    <x v="2"/>
    <x v="1"/>
    <x v="0"/>
    <x v="1"/>
    <x v="2"/>
    <x v="11"/>
    <x v="2"/>
  </r>
  <r>
    <s v="TX502068"/>
    <x v="11"/>
    <x v="12"/>
    <n v="61.7"/>
    <n v="246.8"/>
    <x v="75"/>
    <d v="2025-03-19T00:00:00"/>
    <x v="2"/>
    <x v="2"/>
    <x v="0"/>
    <x v="0"/>
    <x v="22"/>
    <x v="1"/>
    <x v="11"/>
    <x v="2"/>
  </r>
  <r>
    <s v="TX502069"/>
    <x v="2"/>
    <x v="7"/>
    <n v="105.2"/>
    <n v="1052"/>
    <x v="75"/>
    <d v="2025-03-19T00:00:00"/>
    <x v="1"/>
    <x v="1"/>
    <x v="4"/>
    <x v="0"/>
    <x v="3"/>
    <x v="1"/>
    <x v="11"/>
    <x v="1"/>
  </r>
  <r>
    <s v="TX502070"/>
    <x v="0"/>
    <x v="1"/>
    <n v="17"/>
    <n v="34"/>
    <x v="75"/>
    <d v="2025-03-19T00:00:00"/>
    <x v="2"/>
    <x v="2"/>
    <x v="0"/>
    <x v="0"/>
    <x v="3"/>
    <x v="1"/>
    <x v="11"/>
    <x v="2"/>
  </r>
  <r>
    <s v="TX502071"/>
    <x v="6"/>
    <x v="2"/>
    <n v="84.1"/>
    <n v="252.29999999999998"/>
    <x v="75"/>
    <d v="2025-03-18T00:00:00"/>
    <x v="1"/>
    <x v="2"/>
    <x v="0"/>
    <x v="0"/>
    <x v="3"/>
    <x v="3"/>
    <x v="11"/>
    <x v="1"/>
  </r>
  <r>
    <s v="TX502072"/>
    <x v="3"/>
    <x v="12"/>
    <n v="59.5"/>
    <n v="238"/>
    <x v="75"/>
    <d v="2025-03-22T00:00:00"/>
    <x v="1"/>
    <x v="0"/>
    <x v="2"/>
    <x v="0"/>
    <x v="3"/>
    <x v="0"/>
    <x v="11"/>
    <x v="1"/>
  </r>
  <r>
    <s v="TX502073"/>
    <x v="8"/>
    <x v="1"/>
    <n v="57.5"/>
    <n v="115"/>
    <x v="75"/>
    <d v="2025-03-19T00:00:00"/>
    <x v="1"/>
    <x v="1"/>
    <x v="2"/>
    <x v="0"/>
    <x v="3"/>
    <x v="1"/>
    <x v="11"/>
    <x v="1"/>
  </r>
  <r>
    <s v="TX502074"/>
    <x v="8"/>
    <x v="0"/>
    <n v="34.299999999999997"/>
    <n v="34.299999999999997"/>
    <x v="75"/>
    <d v="2025-03-18T00:00:00"/>
    <x v="2"/>
    <x v="4"/>
    <x v="2"/>
    <x v="0"/>
    <x v="3"/>
    <x v="3"/>
    <x v="11"/>
    <x v="2"/>
  </r>
  <r>
    <s v="TX502075"/>
    <x v="5"/>
    <x v="1"/>
    <n v="27.8"/>
    <n v="55.6"/>
    <x v="76"/>
    <d v="2025-03-20T00:00:00"/>
    <x v="2"/>
    <x v="0"/>
    <x v="0"/>
    <x v="0"/>
    <x v="3"/>
    <x v="1"/>
    <x v="11"/>
    <x v="2"/>
  </r>
  <r>
    <s v="TX502076"/>
    <x v="12"/>
    <x v="1"/>
    <n v="85"/>
    <n v="170"/>
    <x v="76"/>
    <d v="2025-03-18T00:00:00"/>
    <x v="1"/>
    <x v="2"/>
    <x v="2"/>
    <x v="0"/>
    <x v="3"/>
    <x v="7"/>
    <x v="11"/>
    <x v="1"/>
  </r>
  <r>
    <s v="TX502077"/>
    <x v="6"/>
    <x v="1"/>
    <n v="95"/>
    <n v="190"/>
    <x v="76"/>
    <d v="2025-03-20T00:00:00"/>
    <x v="2"/>
    <x v="0"/>
    <x v="0"/>
    <x v="0"/>
    <x v="3"/>
    <x v="1"/>
    <x v="11"/>
    <x v="2"/>
  </r>
  <r>
    <s v="TX502078"/>
    <x v="16"/>
    <x v="1"/>
    <n v="32"/>
    <n v="64"/>
    <x v="76"/>
    <d v="2025-03-20T00:00:00"/>
    <x v="1"/>
    <x v="0"/>
    <x v="1"/>
    <x v="0"/>
    <x v="3"/>
    <x v="1"/>
    <x v="11"/>
    <x v="1"/>
  </r>
  <r>
    <s v="TX502079"/>
    <x v="2"/>
    <x v="1"/>
    <n v="65.2"/>
    <n v="130.4"/>
    <x v="76"/>
    <d v="2025-03-19T00:00:00"/>
    <x v="2"/>
    <x v="1"/>
    <x v="0"/>
    <x v="0"/>
    <x v="3"/>
    <x v="3"/>
    <x v="11"/>
    <x v="2"/>
  </r>
  <r>
    <s v="TX502080"/>
    <x v="17"/>
    <x v="12"/>
    <n v="22"/>
    <n v="88"/>
    <x v="76"/>
    <d v="2025-03-19T00:00:00"/>
    <x v="1"/>
    <x v="1"/>
    <x v="2"/>
    <x v="0"/>
    <x v="3"/>
    <x v="3"/>
    <x v="11"/>
    <x v="1"/>
  </r>
  <r>
    <s v="TX502081"/>
    <x v="15"/>
    <x v="2"/>
    <n v="69.400000000000006"/>
    <n v="208.20000000000002"/>
    <x v="76"/>
    <d v="2025-03-21T00:00:00"/>
    <x v="1"/>
    <x v="1"/>
    <x v="2"/>
    <x v="0"/>
    <x v="3"/>
    <x v="2"/>
    <x v="11"/>
    <x v="1"/>
  </r>
  <r>
    <s v="TX502082"/>
    <x v="10"/>
    <x v="13"/>
    <n v="31.5"/>
    <n v="189"/>
    <x v="76"/>
    <d v="2025-03-20T00:00:00"/>
    <x v="2"/>
    <x v="0"/>
    <x v="2"/>
    <x v="0"/>
    <x v="3"/>
    <x v="1"/>
    <x v="11"/>
    <x v="2"/>
  </r>
  <r>
    <s v="TX502083"/>
    <x v="6"/>
    <x v="0"/>
    <n v="45.8"/>
    <n v="45.8"/>
    <x v="76"/>
    <d v="2025-03-22T00:00:00"/>
    <x v="3"/>
    <x v="0"/>
    <x v="0"/>
    <x v="0"/>
    <x v="3"/>
    <x v="5"/>
    <x v="11"/>
    <x v="3"/>
  </r>
  <r>
    <s v="TX502084"/>
    <x v="19"/>
    <x v="12"/>
    <n v="12.8"/>
    <n v="51.2"/>
    <x v="76"/>
    <d v="2025-03-25T00:00:00"/>
    <x v="2"/>
    <x v="1"/>
    <x v="1"/>
    <x v="0"/>
    <x v="5"/>
    <x v="6"/>
    <x v="11"/>
    <x v="2"/>
  </r>
  <r>
    <s v="TX502085"/>
    <x v="5"/>
    <x v="2"/>
    <n v="115.3"/>
    <n v="345.9"/>
    <x v="76"/>
    <d v="2025-03-19T00:00:00"/>
    <x v="2"/>
    <x v="2"/>
    <x v="2"/>
    <x v="0"/>
    <x v="6"/>
    <x v="3"/>
    <x v="11"/>
    <x v="2"/>
  </r>
  <r>
    <s v="TX502086"/>
    <x v="5"/>
    <x v="1"/>
    <n v="85"/>
    <n v="170"/>
    <x v="76"/>
    <d v="2025-03-20T00:00:00"/>
    <x v="2"/>
    <x v="1"/>
    <x v="0"/>
    <x v="0"/>
    <x v="7"/>
    <x v="1"/>
    <x v="11"/>
    <x v="2"/>
  </r>
  <r>
    <s v="TX502087"/>
    <x v="8"/>
    <x v="2"/>
    <n v="56.6"/>
    <n v="169.8"/>
    <x v="76"/>
    <d v="2025-03-19T00:00:00"/>
    <x v="2"/>
    <x v="1"/>
    <x v="2"/>
    <x v="0"/>
    <x v="7"/>
    <x v="3"/>
    <x v="11"/>
    <x v="2"/>
  </r>
  <r>
    <s v="TX502088"/>
    <x v="15"/>
    <x v="6"/>
    <n v="46.3"/>
    <n v="1250.0999999999999"/>
    <x v="76"/>
    <d v="2025-03-21T00:00:00"/>
    <x v="1"/>
    <x v="0"/>
    <x v="0"/>
    <x v="0"/>
    <x v="7"/>
    <x v="2"/>
    <x v="11"/>
    <x v="1"/>
  </r>
  <r>
    <s v="TX502089"/>
    <x v="14"/>
    <x v="12"/>
    <n v="23"/>
    <n v="92"/>
    <x v="76"/>
    <d v="2025-03-22T00:00:00"/>
    <x v="1"/>
    <x v="3"/>
    <x v="2"/>
    <x v="0"/>
    <x v="7"/>
    <x v="5"/>
    <x v="11"/>
    <x v="1"/>
  </r>
  <r>
    <s v="TX502090"/>
    <x v="8"/>
    <x v="13"/>
    <n v="42.1"/>
    <n v="252.60000000000002"/>
    <x v="76"/>
    <d v="2025-03-20T00:00:00"/>
    <x v="1"/>
    <x v="4"/>
    <x v="0"/>
    <x v="0"/>
    <x v="8"/>
    <x v="1"/>
    <x v="11"/>
    <x v="1"/>
  </r>
  <r>
    <s v="TX502091"/>
    <x v="5"/>
    <x v="3"/>
    <n v="57.4"/>
    <n v="401.8"/>
    <x v="76"/>
    <d v="2025-03-22T00:00:00"/>
    <x v="2"/>
    <x v="1"/>
    <x v="4"/>
    <x v="0"/>
    <x v="8"/>
    <x v="5"/>
    <x v="11"/>
    <x v="2"/>
  </r>
  <r>
    <s v="TX502092"/>
    <x v="0"/>
    <x v="13"/>
    <n v="13.2"/>
    <n v="79.199999999999989"/>
    <x v="76"/>
    <d v="2025-03-22T00:00:00"/>
    <x v="1"/>
    <x v="2"/>
    <x v="0"/>
    <x v="0"/>
    <x v="8"/>
    <x v="5"/>
    <x v="11"/>
    <x v="1"/>
  </r>
  <r>
    <s v="TX502093"/>
    <x v="6"/>
    <x v="2"/>
    <n v="52.3"/>
    <n v="156.89999999999998"/>
    <x v="76"/>
    <d v="2025-03-19T00:00:00"/>
    <x v="1"/>
    <x v="1"/>
    <x v="0"/>
    <x v="0"/>
    <x v="8"/>
    <x v="3"/>
    <x v="11"/>
    <x v="1"/>
  </r>
  <r>
    <s v="TX502094"/>
    <x v="8"/>
    <x v="1"/>
    <n v="15.7"/>
    <n v="31.4"/>
    <x v="76"/>
    <d v="2025-03-21T00:00:00"/>
    <x v="1"/>
    <x v="1"/>
    <x v="2"/>
    <x v="0"/>
    <x v="8"/>
    <x v="2"/>
    <x v="11"/>
    <x v="1"/>
  </r>
  <r>
    <s v="TX502095"/>
    <x v="7"/>
    <x v="2"/>
    <n v="35"/>
    <n v="105"/>
    <x v="76"/>
    <d v="2025-03-21T00:00:00"/>
    <x v="2"/>
    <x v="1"/>
    <x v="2"/>
    <x v="0"/>
    <x v="9"/>
    <x v="2"/>
    <x v="11"/>
    <x v="2"/>
  </r>
  <r>
    <s v="TX502096"/>
    <x v="4"/>
    <x v="2"/>
    <n v="26.6"/>
    <n v="79.800000000000011"/>
    <x v="76"/>
    <d v="2025-03-18T00:00:00"/>
    <x v="1"/>
    <x v="1"/>
    <x v="2"/>
    <x v="0"/>
    <x v="11"/>
    <x v="7"/>
    <x v="11"/>
    <x v="1"/>
  </r>
  <r>
    <s v="TX502097"/>
    <x v="4"/>
    <x v="8"/>
    <n v="47.9"/>
    <n v="383.2"/>
    <x v="77"/>
    <d v="2025-03-20T00:00:00"/>
    <x v="2"/>
    <x v="3"/>
    <x v="2"/>
    <x v="0"/>
    <x v="20"/>
    <x v="3"/>
    <x v="11"/>
    <x v="2"/>
  </r>
  <r>
    <s v="TX502098"/>
    <x v="5"/>
    <x v="0"/>
    <n v="80.099999999999994"/>
    <n v="80.099999999999994"/>
    <x v="77"/>
    <d v="2025-03-20T00:00:00"/>
    <x v="1"/>
    <x v="2"/>
    <x v="0"/>
    <x v="0"/>
    <x v="21"/>
    <x v="3"/>
    <x v="11"/>
    <x v="1"/>
  </r>
  <r>
    <s v="TX502099"/>
    <x v="6"/>
    <x v="9"/>
    <n v="50.4"/>
    <n v="252"/>
    <x v="77"/>
    <d v="2025-03-20T00:00:00"/>
    <x v="1"/>
    <x v="1"/>
    <x v="2"/>
    <x v="0"/>
    <x v="21"/>
    <x v="3"/>
    <x v="11"/>
    <x v="1"/>
  </r>
  <r>
    <s v="TX502100"/>
    <x v="10"/>
    <x v="3"/>
    <n v="43.3"/>
    <n v="303.09999999999997"/>
    <x v="77"/>
    <d v="2025-03-20T00:00:00"/>
    <x v="1"/>
    <x v="2"/>
    <x v="0"/>
    <x v="0"/>
    <x v="21"/>
    <x v="3"/>
    <x v="11"/>
    <x v="1"/>
  </r>
  <r>
    <s v="TX502101"/>
    <x v="10"/>
    <x v="12"/>
    <n v="57.5"/>
    <n v="230"/>
    <x v="77"/>
    <d v="2025-03-20T00:00:00"/>
    <x v="2"/>
    <x v="1"/>
    <x v="2"/>
    <x v="0"/>
    <x v="1"/>
    <x v="3"/>
    <x v="11"/>
    <x v="2"/>
  </r>
  <r>
    <s v="TX502102"/>
    <x v="9"/>
    <x v="15"/>
    <n v="24.8"/>
    <n v="322.40000000000003"/>
    <x v="77"/>
    <d v="2025-03-20T00:00:00"/>
    <x v="1"/>
    <x v="0"/>
    <x v="0"/>
    <x v="0"/>
    <x v="57"/>
    <x v="3"/>
    <x v="11"/>
    <x v="1"/>
  </r>
  <r>
    <s v="TX502103"/>
    <x v="2"/>
    <x v="11"/>
    <n v="85.7"/>
    <n v="771.30000000000007"/>
    <x v="77"/>
    <d v="2025-03-20T00:00:00"/>
    <x v="2"/>
    <x v="0"/>
    <x v="0"/>
    <x v="0"/>
    <x v="42"/>
    <x v="3"/>
    <x v="11"/>
    <x v="2"/>
  </r>
  <r>
    <s v="TX502104"/>
    <x v="7"/>
    <x v="0"/>
    <n v="47.1"/>
    <n v="47.1"/>
    <x v="77"/>
    <d v="2025-03-21T00:00:00"/>
    <x v="2"/>
    <x v="0"/>
    <x v="0"/>
    <x v="0"/>
    <x v="2"/>
    <x v="1"/>
    <x v="11"/>
    <x v="2"/>
  </r>
  <r>
    <s v="TX502105"/>
    <x v="5"/>
    <x v="7"/>
    <n v="83.2"/>
    <n v="832"/>
    <x v="77"/>
    <d v="2025-03-23T00:00:00"/>
    <x v="2"/>
    <x v="0"/>
    <x v="0"/>
    <x v="0"/>
    <x v="33"/>
    <x v="5"/>
    <x v="11"/>
    <x v="2"/>
  </r>
  <r>
    <s v="TX502106"/>
    <x v="2"/>
    <x v="2"/>
    <n v="157"/>
    <n v="471"/>
    <x v="77"/>
    <d v="2025-03-21T00:00:00"/>
    <x v="2"/>
    <x v="0"/>
    <x v="2"/>
    <x v="0"/>
    <x v="22"/>
    <x v="1"/>
    <x v="11"/>
    <x v="2"/>
  </r>
  <r>
    <s v="TX502107"/>
    <x v="16"/>
    <x v="12"/>
    <n v="33.700000000000003"/>
    <n v="134.80000000000001"/>
    <x v="77"/>
    <d v="2025-03-20T00:00:00"/>
    <x v="1"/>
    <x v="2"/>
    <x v="2"/>
    <x v="0"/>
    <x v="22"/>
    <x v="3"/>
    <x v="11"/>
    <x v="1"/>
  </r>
  <r>
    <s v="TX502108"/>
    <x v="2"/>
    <x v="2"/>
    <n v="60.8"/>
    <n v="182.39999999999998"/>
    <x v="77"/>
    <d v="2025-03-23T00:00:00"/>
    <x v="2"/>
    <x v="1"/>
    <x v="1"/>
    <x v="0"/>
    <x v="3"/>
    <x v="5"/>
    <x v="11"/>
    <x v="2"/>
  </r>
  <r>
    <s v="TX502109"/>
    <x v="7"/>
    <x v="0"/>
    <n v="57.6"/>
    <n v="57.6"/>
    <x v="77"/>
    <d v="2025-03-20T00:00:00"/>
    <x v="1"/>
    <x v="1"/>
    <x v="4"/>
    <x v="0"/>
    <x v="3"/>
    <x v="3"/>
    <x v="11"/>
    <x v="1"/>
  </r>
  <r>
    <s v="TX502110"/>
    <x v="10"/>
    <x v="0"/>
    <n v="32"/>
    <n v="32"/>
    <x v="77"/>
    <d v="2025-03-21T00:00:00"/>
    <x v="1"/>
    <x v="0"/>
    <x v="0"/>
    <x v="0"/>
    <x v="3"/>
    <x v="1"/>
    <x v="11"/>
    <x v="1"/>
  </r>
  <r>
    <s v="TX502111"/>
    <x v="10"/>
    <x v="12"/>
    <n v="23.5"/>
    <n v="94"/>
    <x v="77"/>
    <d v="2025-03-20T00:00:00"/>
    <x v="2"/>
    <x v="0"/>
    <x v="2"/>
    <x v="0"/>
    <x v="3"/>
    <x v="3"/>
    <x v="11"/>
    <x v="2"/>
  </r>
  <r>
    <s v="TX502112"/>
    <x v="12"/>
    <x v="2"/>
    <n v="44.8"/>
    <n v="134.39999999999998"/>
    <x v="77"/>
    <d v="2025-03-20T00:00:00"/>
    <x v="3"/>
    <x v="4"/>
    <x v="0"/>
    <x v="0"/>
    <x v="3"/>
    <x v="3"/>
    <x v="11"/>
    <x v="3"/>
  </r>
  <r>
    <s v="TX502113"/>
    <x v="0"/>
    <x v="8"/>
    <n v="11.7"/>
    <n v="93.6"/>
    <x v="77"/>
    <d v="2025-03-20T00:00:00"/>
    <x v="1"/>
    <x v="2"/>
    <x v="2"/>
    <x v="0"/>
    <x v="3"/>
    <x v="3"/>
    <x v="11"/>
    <x v="1"/>
  </r>
  <r>
    <s v="TX502114"/>
    <x v="7"/>
    <x v="1"/>
    <n v="38.799999999999997"/>
    <n v="77.599999999999994"/>
    <x v="77"/>
    <d v="2025-03-22T00:00:00"/>
    <x v="2"/>
    <x v="2"/>
    <x v="0"/>
    <x v="0"/>
    <x v="3"/>
    <x v="2"/>
    <x v="11"/>
    <x v="2"/>
  </r>
  <r>
    <s v="TX502115"/>
    <x v="5"/>
    <x v="21"/>
    <n v="86.9"/>
    <n v="1216.6000000000001"/>
    <x v="77"/>
    <d v="2025-03-24T00:00:00"/>
    <x v="2"/>
    <x v="1"/>
    <x v="0"/>
    <x v="0"/>
    <x v="3"/>
    <x v="0"/>
    <x v="11"/>
    <x v="2"/>
  </r>
  <r>
    <s v="TX502116"/>
    <x v="8"/>
    <x v="0"/>
    <n v="18.3"/>
    <n v="18.3"/>
    <x v="77"/>
    <d v="2025-03-20T00:00:00"/>
    <x v="2"/>
    <x v="0"/>
    <x v="0"/>
    <x v="0"/>
    <x v="3"/>
    <x v="3"/>
    <x v="11"/>
    <x v="2"/>
  </r>
  <r>
    <s v="TX502117"/>
    <x v="5"/>
    <x v="0"/>
    <n v="47.5"/>
    <n v="47.5"/>
    <x v="77"/>
    <d v="2025-03-23T00:00:00"/>
    <x v="1"/>
    <x v="4"/>
    <x v="2"/>
    <x v="0"/>
    <x v="3"/>
    <x v="5"/>
    <x v="11"/>
    <x v="1"/>
  </r>
  <r>
    <s v="TX502118"/>
    <x v="1"/>
    <x v="1"/>
    <n v="78.599999999999994"/>
    <n v="157.19999999999999"/>
    <x v="77"/>
    <d v="2025-03-20T00:00:00"/>
    <x v="1"/>
    <x v="2"/>
    <x v="2"/>
    <x v="0"/>
    <x v="3"/>
    <x v="3"/>
    <x v="11"/>
    <x v="1"/>
  </r>
  <r>
    <s v="TX502119"/>
    <x v="6"/>
    <x v="12"/>
    <n v="87.3"/>
    <n v="349.2"/>
    <x v="77"/>
    <d v="2025-03-20T00:00:00"/>
    <x v="1"/>
    <x v="0"/>
    <x v="0"/>
    <x v="0"/>
    <x v="3"/>
    <x v="3"/>
    <x v="11"/>
    <x v="1"/>
  </r>
  <r>
    <s v="TX502120"/>
    <x v="9"/>
    <x v="1"/>
    <n v="63.2"/>
    <n v="126.4"/>
    <x v="77"/>
    <d v="2025-03-19T00:00:00"/>
    <x v="1"/>
    <x v="4"/>
    <x v="1"/>
    <x v="0"/>
    <x v="3"/>
    <x v="7"/>
    <x v="11"/>
    <x v="1"/>
  </r>
  <r>
    <s v="TX502121"/>
    <x v="5"/>
    <x v="9"/>
    <n v="33.700000000000003"/>
    <n v="168.5"/>
    <x v="77"/>
    <d v="2025-03-20T00:00:00"/>
    <x v="2"/>
    <x v="0"/>
    <x v="0"/>
    <x v="0"/>
    <x v="3"/>
    <x v="3"/>
    <x v="11"/>
    <x v="2"/>
  </r>
  <r>
    <s v="TX502122"/>
    <x v="2"/>
    <x v="2"/>
    <n v="107.4"/>
    <n v="322.20000000000005"/>
    <x v="77"/>
    <d v="2025-04-01T00:00:00"/>
    <x v="2"/>
    <x v="1"/>
    <x v="2"/>
    <x v="0"/>
    <x v="3"/>
    <x v="10"/>
    <x v="11"/>
    <x v="2"/>
  </r>
  <r>
    <s v="TX502123"/>
    <x v="4"/>
    <x v="12"/>
    <n v="22.2"/>
    <n v="88.8"/>
    <x v="77"/>
    <d v="2025-03-20T00:00:00"/>
    <x v="0"/>
    <x v="1"/>
    <x v="2"/>
    <x v="0"/>
    <x v="24"/>
    <x v="3"/>
    <x v="11"/>
    <x v="0"/>
  </r>
  <r>
    <s v="TX502124"/>
    <x v="18"/>
    <x v="2"/>
    <n v="52.8"/>
    <n v="158.39999999999998"/>
    <x v="77"/>
    <d v="2025-03-20T00:00:00"/>
    <x v="1"/>
    <x v="3"/>
    <x v="2"/>
    <x v="0"/>
    <x v="24"/>
    <x v="3"/>
    <x v="11"/>
    <x v="1"/>
  </r>
  <r>
    <s v="TX502125"/>
    <x v="8"/>
    <x v="2"/>
    <n v="41.5"/>
    <n v="124.5"/>
    <x v="77"/>
    <d v="2025-03-22T00:00:00"/>
    <x v="2"/>
    <x v="0"/>
    <x v="0"/>
    <x v="0"/>
    <x v="25"/>
    <x v="2"/>
    <x v="11"/>
    <x v="2"/>
  </r>
  <r>
    <s v="TX502126"/>
    <x v="12"/>
    <x v="8"/>
    <n v="103.5"/>
    <n v="828"/>
    <x v="77"/>
    <d v="2025-03-22T00:00:00"/>
    <x v="2"/>
    <x v="0"/>
    <x v="2"/>
    <x v="0"/>
    <x v="23"/>
    <x v="2"/>
    <x v="11"/>
    <x v="2"/>
  </r>
  <r>
    <s v="TX502127"/>
    <x v="4"/>
    <x v="21"/>
    <n v="37.5"/>
    <n v="525"/>
    <x v="77"/>
    <d v="2025-03-19T00:00:00"/>
    <x v="2"/>
    <x v="1"/>
    <x v="2"/>
    <x v="0"/>
    <x v="6"/>
    <x v="7"/>
    <x v="11"/>
    <x v="2"/>
  </r>
  <r>
    <s v="TX502128"/>
    <x v="15"/>
    <x v="8"/>
    <n v="44.4"/>
    <n v="355.2"/>
    <x v="77"/>
    <d v="2025-03-25T00:00:00"/>
    <x v="2"/>
    <x v="3"/>
    <x v="2"/>
    <x v="0"/>
    <x v="7"/>
    <x v="4"/>
    <x v="11"/>
    <x v="2"/>
  </r>
  <r>
    <s v="TX502129"/>
    <x v="8"/>
    <x v="2"/>
    <n v="26.2"/>
    <n v="78.599999999999994"/>
    <x v="77"/>
    <d v="2025-03-20T00:00:00"/>
    <x v="1"/>
    <x v="0"/>
    <x v="0"/>
    <x v="0"/>
    <x v="8"/>
    <x v="3"/>
    <x v="11"/>
    <x v="1"/>
  </r>
  <r>
    <s v="TX502130"/>
    <x v="1"/>
    <x v="3"/>
    <n v="32.200000000000003"/>
    <n v="225.40000000000003"/>
    <x v="77"/>
    <d v="2025-03-20T00:00:00"/>
    <x v="2"/>
    <x v="1"/>
    <x v="2"/>
    <x v="0"/>
    <x v="8"/>
    <x v="3"/>
    <x v="11"/>
    <x v="2"/>
  </r>
  <r>
    <s v="TX502131"/>
    <x v="8"/>
    <x v="0"/>
    <n v="17.399999999999999"/>
    <n v="17.399999999999999"/>
    <x v="77"/>
    <d v="2025-03-23T00:00:00"/>
    <x v="0"/>
    <x v="2"/>
    <x v="1"/>
    <x v="0"/>
    <x v="8"/>
    <x v="5"/>
    <x v="11"/>
    <x v="0"/>
  </r>
  <r>
    <s v="TX502132"/>
    <x v="8"/>
    <x v="13"/>
    <n v="72.3"/>
    <n v="433.79999999999995"/>
    <x v="77"/>
    <d v="2025-03-22T00:00:00"/>
    <x v="2"/>
    <x v="0"/>
    <x v="0"/>
    <x v="0"/>
    <x v="8"/>
    <x v="2"/>
    <x v="11"/>
    <x v="2"/>
  </r>
  <r>
    <s v="TX502133"/>
    <x v="8"/>
    <x v="5"/>
    <n v="24.3"/>
    <n v="267.3"/>
    <x v="77"/>
    <d v="2025-03-20T00:00:00"/>
    <x v="1"/>
    <x v="0"/>
    <x v="0"/>
    <x v="0"/>
    <x v="8"/>
    <x v="3"/>
    <x v="11"/>
    <x v="1"/>
  </r>
  <r>
    <s v="TX502134"/>
    <x v="13"/>
    <x v="2"/>
    <n v="49.1"/>
    <n v="147.30000000000001"/>
    <x v="77"/>
    <d v="2025-03-25T00:00:00"/>
    <x v="1"/>
    <x v="2"/>
    <x v="4"/>
    <x v="0"/>
    <x v="8"/>
    <x v="4"/>
    <x v="11"/>
    <x v="1"/>
  </r>
  <r>
    <s v="TX502135"/>
    <x v="2"/>
    <x v="7"/>
    <n v="234.7"/>
    <n v="2347"/>
    <x v="77"/>
    <d v="2025-03-20T00:00:00"/>
    <x v="1"/>
    <x v="3"/>
    <x v="1"/>
    <x v="0"/>
    <x v="8"/>
    <x v="3"/>
    <x v="11"/>
    <x v="1"/>
  </r>
  <r>
    <s v="TX502136"/>
    <x v="3"/>
    <x v="9"/>
    <n v="76.099999999999994"/>
    <n v="380.5"/>
    <x v="77"/>
    <d v="2025-03-21T00:00:00"/>
    <x v="1"/>
    <x v="1"/>
    <x v="1"/>
    <x v="0"/>
    <x v="17"/>
    <x v="1"/>
    <x v="11"/>
    <x v="1"/>
  </r>
  <r>
    <s v="TX502137"/>
    <x v="1"/>
    <x v="2"/>
    <n v="93.9"/>
    <n v="281.70000000000005"/>
    <x v="77"/>
    <d v="2025-03-20T00:00:00"/>
    <x v="1"/>
    <x v="1"/>
    <x v="4"/>
    <x v="0"/>
    <x v="11"/>
    <x v="3"/>
    <x v="11"/>
    <x v="1"/>
  </r>
  <r>
    <s v="TX502138"/>
    <x v="2"/>
    <x v="12"/>
    <n v="187"/>
    <n v="748"/>
    <x v="78"/>
    <d v="2025-03-23T00:00:00"/>
    <x v="1"/>
    <x v="0"/>
    <x v="0"/>
    <x v="0"/>
    <x v="11"/>
    <x v="2"/>
    <x v="11"/>
    <x v="1"/>
  </r>
  <r>
    <s v="TX502139"/>
    <x v="8"/>
    <x v="1"/>
    <n v="18"/>
    <n v="36"/>
    <x v="78"/>
    <d v="2025-03-21T00:00:00"/>
    <x v="2"/>
    <x v="1"/>
    <x v="2"/>
    <x v="0"/>
    <x v="53"/>
    <x v="3"/>
    <x v="11"/>
    <x v="2"/>
  </r>
  <r>
    <s v="TX502140"/>
    <x v="4"/>
    <x v="0"/>
    <n v="24.4"/>
    <n v="24.4"/>
    <x v="78"/>
    <d v="2025-03-21T00:00:00"/>
    <x v="2"/>
    <x v="4"/>
    <x v="2"/>
    <x v="0"/>
    <x v="21"/>
    <x v="3"/>
    <x v="11"/>
    <x v="2"/>
  </r>
  <r>
    <s v="TX502141"/>
    <x v="10"/>
    <x v="1"/>
    <n v="38.799999999999997"/>
    <n v="77.599999999999994"/>
    <x v="78"/>
    <d v="2025-03-21T00:00:00"/>
    <x v="1"/>
    <x v="4"/>
    <x v="1"/>
    <x v="0"/>
    <x v="3"/>
    <x v="3"/>
    <x v="11"/>
    <x v="1"/>
  </r>
  <r>
    <s v="TX502142"/>
    <x v="3"/>
    <x v="0"/>
    <n v="59.7"/>
    <n v="59.7"/>
    <x v="78"/>
    <d v="2025-03-23T00:00:00"/>
    <x v="1"/>
    <x v="3"/>
    <x v="0"/>
    <x v="0"/>
    <x v="3"/>
    <x v="2"/>
    <x v="11"/>
    <x v="1"/>
  </r>
  <r>
    <s v="TX502143"/>
    <x v="7"/>
    <x v="0"/>
    <n v="31.2"/>
    <n v="31.2"/>
    <x v="78"/>
    <d v="2025-03-21T00:00:00"/>
    <x v="1"/>
    <x v="1"/>
    <x v="2"/>
    <x v="0"/>
    <x v="3"/>
    <x v="3"/>
    <x v="11"/>
    <x v="1"/>
  </r>
  <r>
    <s v="TX502144"/>
    <x v="0"/>
    <x v="0"/>
    <n v="16.8"/>
    <n v="16.8"/>
    <x v="78"/>
    <d v="2025-03-21T00:00:00"/>
    <x v="2"/>
    <x v="2"/>
    <x v="1"/>
    <x v="0"/>
    <x v="3"/>
    <x v="3"/>
    <x v="11"/>
    <x v="2"/>
  </r>
  <r>
    <s v="TX502145"/>
    <x v="8"/>
    <x v="0"/>
    <n v="46"/>
    <n v="46"/>
    <x v="78"/>
    <d v="2025-03-21T00:00:00"/>
    <x v="1"/>
    <x v="0"/>
    <x v="0"/>
    <x v="0"/>
    <x v="3"/>
    <x v="3"/>
    <x v="11"/>
    <x v="1"/>
  </r>
  <r>
    <s v="TX502146"/>
    <x v="9"/>
    <x v="8"/>
    <n v="42.2"/>
    <n v="337.6"/>
    <x v="78"/>
    <d v="2025-03-23T00:00:00"/>
    <x v="2"/>
    <x v="3"/>
    <x v="2"/>
    <x v="0"/>
    <x v="3"/>
    <x v="2"/>
    <x v="11"/>
    <x v="2"/>
  </r>
  <r>
    <s v="TX502147"/>
    <x v="1"/>
    <x v="2"/>
    <n v="71.5"/>
    <n v="214.5"/>
    <x v="78"/>
    <d v="2025-04-03T00:00:00"/>
    <x v="2"/>
    <x v="0"/>
    <x v="0"/>
    <x v="0"/>
    <x v="3"/>
    <x v="12"/>
    <x v="11"/>
    <x v="2"/>
  </r>
  <r>
    <s v="TX502148"/>
    <x v="1"/>
    <x v="1"/>
    <n v="76.599999999999994"/>
    <n v="153.19999999999999"/>
    <x v="78"/>
    <d v="2025-03-20T00:00:00"/>
    <x v="1"/>
    <x v="0"/>
    <x v="2"/>
    <x v="0"/>
    <x v="3"/>
    <x v="7"/>
    <x v="11"/>
    <x v="1"/>
  </r>
  <r>
    <s v="TX502149"/>
    <x v="12"/>
    <x v="1"/>
    <n v="87.3"/>
    <n v="174.6"/>
    <x v="78"/>
    <d v="2025-03-28T00:00:00"/>
    <x v="2"/>
    <x v="3"/>
    <x v="2"/>
    <x v="0"/>
    <x v="3"/>
    <x v="9"/>
    <x v="11"/>
    <x v="2"/>
  </r>
  <r>
    <s v="TX502150"/>
    <x v="1"/>
    <x v="0"/>
    <n v="63"/>
    <n v="63"/>
    <x v="78"/>
    <d v="2025-03-23T00:00:00"/>
    <x v="1"/>
    <x v="3"/>
    <x v="0"/>
    <x v="0"/>
    <x v="3"/>
    <x v="2"/>
    <x v="11"/>
    <x v="1"/>
  </r>
  <r>
    <s v="TX502151"/>
    <x v="8"/>
    <x v="1"/>
    <n v="41.7"/>
    <n v="83.4"/>
    <x v="78"/>
    <d v="2025-03-21T00:00:00"/>
    <x v="2"/>
    <x v="4"/>
    <x v="1"/>
    <x v="0"/>
    <x v="43"/>
    <x v="3"/>
    <x v="11"/>
    <x v="2"/>
  </r>
  <r>
    <s v="TX502152"/>
    <x v="6"/>
    <x v="1"/>
    <n v="76.099999999999994"/>
    <n v="152.19999999999999"/>
    <x v="78"/>
    <d v="2025-03-20T00:00:00"/>
    <x v="2"/>
    <x v="4"/>
    <x v="2"/>
    <x v="0"/>
    <x v="16"/>
    <x v="7"/>
    <x v="11"/>
    <x v="2"/>
  </r>
  <r>
    <s v="TX502153"/>
    <x v="13"/>
    <x v="1"/>
    <n v="28.5"/>
    <n v="57"/>
    <x v="78"/>
    <d v="2025-03-21T00:00:00"/>
    <x v="2"/>
    <x v="0"/>
    <x v="2"/>
    <x v="0"/>
    <x v="4"/>
    <x v="3"/>
    <x v="11"/>
    <x v="2"/>
  </r>
  <r>
    <s v="TX502154"/>
    <x v="0"/>
    <x v="12"/>
    <n v="32.1"/>
    <n v="128.4"/>
    <x v="78"/>
    <d v="2025-03-21T00:00:00"/>
    <x v="2"/>
    <x v="1"/>
    <x v="2"/>
    <x v="0"/>
    <x v="25"/>
    <x v="3"/>
    <x v="11"/>
    <x v="2"/>
  </r>
  <r>
    <s v="TX502155"/>
    <x v="4"/>
    <x v="2"/>
    <n v="39"/>
    <n v="117"/>
    <x v="78"/>
    <d v="2025-03-23T00:00:00"/>
    <x v="1"/>
    <x v="1"/>
    <x v="2"/>
    <x v="0"/>
    <x v="25"/>
    <x v="2"/>
    <x v="11"/>
    <x v="1"/>
  </r>
  <r>
    <s v="TX502156"/>
    <x v="6"/>
    <x v="0"/>
    <n v="78.5"/>
    <n v="78.5"/>
    <x v="78"/>
    <d v="2025-03-21T00:00:00"/>
    <x v="1"/>
    <x v="1"/>
    <x v="0"/>
    <x v="0"/>
    <x v="6"/>
    <x v="3"/>
    <x v="11"/>
    <x v="1"/>
  </r>
  <r>
    <s v="TX502157"/>
    <x v="4"/>
    <x v="9"/>
    <n v="49.7"/>
    <n v="248.5"/>
    <x v="78"/>
    <d v="2025-03-22T00:00:00"/>
    <x v="2"/>
    <x v="0"/>
    <x v="0"/>
    <x v="0"/>
    <x v="6"/>
    <x v="1"/>
    <x v="11"/>
    <x v="2"/>
  </r>
  <r>
    <s v="TX502158"/>
    <x v="1"/>
    <x v="12"/>
    <n v="68.400000000000006"/>
    <n v="273.60000000000002"/>
    <x v="78"/>
    <d v="2025-03-21T00:00:00"/>
    <x v="2"/>
    <x v="2"/>
    <x v="2"/>
    <x v="0"/>
    <x v="7"/>
    <x v="3"/>
    <x v="11"/>
    <x v="2"/>
  </r>
  <r>
    <s v="TX502159"/>
    <x v="3"/>
    <x v="1"/>
    <n v="72.900000000000006"/>
    <n v="145.80000000000001"/>
    <x v="78"/>
    <d v="2025-03-23T00:00:00"/>
    <x v="0"/>
    <x v="0"/>
    <x v="2"/>
    <x v="0"/>
    <x v="7"/>
    <x v="2"/>
    <x v="11"/>
    <x v="0"/>
  </r>
  <r>
    <s v="TX502160"/>
    <x v="5"/>
    <x v="15"/>
    <n v="30.3"/>
    <n v="393.90000000000003"/>
    <x v="78"/>
    <d v="2025-03-21T00:00:00"/>
    <x v="1"/>
    <x v="4"/>
    <x v="0"/>
    <x v="0"/>
    <x v="7"/>
    <x v="3"/>
    <x v="11"/>
    <x v="1"/>
  </r>
  <r>
    <s v="TX502161"/>
    <x v="6"/>
    <x v="5"/>
    <n v="57.9"/>
    <n v="636.9"/>
    <x v="78"/>
    <d v="2025-03-21T00:00:00"/>
    <x v="2"/>
    <x v="0"/>
    <x v="0"/>
    <x v="0"/>
    <x v="8"/>
    <x v="3"/>
    <x v="11"/>
    <x v="2"/>
  </r>
  <r>
    <s v="TX502162"/>
    <x v="1"/>
    <x v="0"/>
    <n v="96.7"/>
    <n v="96.7"/>
    <x v="78"/>
    <d v="2025-03-21T00:00:00"/>
    <x v="1"/>
    <x v="0"/>
    <x v="0"/>
    <x v="0"/>
    <x v="8"/>
    <x v="3"/>
    <x v="11"/>
    <x v="1"/>
  </r>
  <r>
    <s v="TX502163"/>
    <x v="8"/>
    <x v="4"/>
    <n v="27.6"/>
    <n v="331.20000000000005"/>
    <x v="78"/>
    <d v="2025-03-22T00:00:00"/>
    <x v="1"/>
    <x v="2"/>
    <x v="2"/>
    <x v="0"/>
    <x v="8"/>
    <x v="1"/>
    <x v="11"/>
    <x v="1"/>
  </r>
  <r>
    <s v="TX502164"/>
    <x v="6"/>
    <x v="12"/>
    <n v="64.7"/>
    <n v="258.8"/>
    <x v="78"/>
    <d v="2025-03-20T00:00:00"/>
    <x v="1"/>
    <x v="3"/>
    <x v="2"/>
    <x v="0"/>
    <x v="8"/>
    <x v="7"/>
    <x v="11"/>
    <x v="1"/>
  </r>
  <r>
    <s v="TX502165"/>
    <x v="10"/>
    <x v="13"/>
    <n v="30.5"/>
    <n v="183"/>
    <x v="78"/>
    <d v="2025-03-21T00:00:00"/>
    <x v="1"/>
    <x v="4"/>
    <x v="0"/>
    <x v="0"/>
    <x v="8"/>
    <x v="3"/>
    <x v="11"/>
    <x v="1"/>
  </r>
  <r>
    <s v="TX502166"/>
    <x v="6"/>
    <x v="47"/>
    <n v="106"/>
    <n v="7420"/>
    <x v="79"/>
    <d v="2025-03-23T00:00:00"/>
    <x v="1"/>
    <x v="4"/>
    <x v="2"/>
    <x v="0"/>
    <x v="8"/>
    <x v="1"/>
    <x v="11"/>
    <x v="1"/>
  </r>
  <r>
    <s v="TX502167"/>
    <x v="12"/>
    <x v="9"/>
    <n v="76.8"/>
    <n v="384"/>
    <x v="79"/>
    <d v="2025-03-27T00:00:00"/>
    <x v="0"/>
    <x v="1"/>
    <x v="1"/>
    <x v="0"/>
    <x v="18"/>
    <x v="4"/>
    <x v="11"/>
    <x v="0"/>
  </r>
  <r>
    <s v="TX502168"/>
    <x v="6"/>
    <x v="1"/>
    <n v="80.400000000000006"/>
    <n v="160.80000000000001"/>
    <x v="79"/>
    <d v="2025-03-22T00:00:00"/>
    <x v="2"/>
    <x v="2"/>
    <x v="0"/>
    <x v="0"/>
    <x v="13"/>
    <x v="3"/>
    <x v="11"/>
    <x v="2"/>
  </r>
  <r>
    <s v="TX502169"/>
    <x v="6"/>
    <x v="12"/>
    <n v="69.099999999999994"/>
    <n v="276.39999999999998"/>
    <x v="79"/>
    <d v="2025-03-22T00:00:00"/>
    <x v="1"/>
    <x v="1"/>
    <x v="2"/>
    <x v="0"/>
    <x v="21"/>
    <x v="3"/>
    <x v="11"/>
    <x v="1"/>
  </r>
  <r>
    <s v="TX502170"/>
    <x v="18"/>
    <x v="1"/>
    <n v="76.400000000000006"/>
    <n v="152.80000000000001"/>
    <x v="79"/>
    <d v="2025-03-21T00:00:00"/>
    <x v="1"/>
    <x v="3"/>
    <x v="0"/>
    <x v="0"/>
    <x v="21"/>
    <x v="7"/>
    <x v="11"/>
    <x v="1"/>
  </r>
  <r>
    <s v="TX502171"/>
    <x v="2"/>
    <x v="1"/>
    <n v="61.3"/>
    <n v="122.6"/>
    <x v="79"/>
    <d v="2025-03-22T00:00:00"/>
    <x v="2"/>
    <x v="1"/>
    <x v="1"/>
    <x v="0"/>
    <x v="21"/>
    <x v="3"/>
    <x v="11"/>
    <x v="2"/>
  </r>
  <r>
    <s v="TX502172"/>
    <x v="7"/>
    <x v="0"/>
    <n v="58"/>
    <n v="58"/>
    <x v="79"/>
    <d v="2025-03-22T00:00:00"/>
    <x v="1"/>
    <x v="3"/>
    <x v="1"/>
    <x v="0"/>
    <x v="1"/>
    <x v="3"/>
    <x v="11"/>
    <x v="1"/>
  </r>
  <r>
    <s v="TX502173"/>
    <x v="2"/>
    <x v="8"/>
    <n v="102.3"/>
    <n v="818.4"/>
    <x v="79"/>
    <d v="2025-03-23T00:00:00"/>
    <x v="1"/>
    <x v="2"/>
    <x v="0"/>
    <x v="0"/>
    <x v="42"/>
    <x v="1"/>
    <x v="11"/>
    <x v="1"/>
  </r>
  <r>
    <s v="TX502174"/>
    <x v="19"/>
    <x v="1"/>
    <n v="13.8"/>
    <n v="27.6"/>
    <x v="79"/>
    <d v="2025-03-22T00:00:00"/>
    <x v="2"/>
    <x v="4"/>
    <x v="2"/>
    <x v="0"/>
    <x v="2"/>
    <x v="3"/>
    <x v="11"/>
    <x v="2"/>
  </r>
  <r>
    <s v="TX502175"/>
    <x v="8"/>
    <x v="2"/>
    <n v="33.299999999999997"/>
    <n v="99.899999999999991"/>
    <x v="79"/>
    <d v="2025-03-24T00:00:00"/>
    <x v="2"/>
    <x v="2"/>
    <x v="0"/>
    <x v="0"/>
    <x v="22"/>
    <x v="2"/>
    <x v="11"/>
    <x v="2"/>
  </r>
  <r>
    <s v="TX502176"/>
    <x v="10"/>
    <x v="0"/>
    <n v="27.4"/>
    <n v="27.4"/>
    <x v="79"/>
    <d v="2025-03-24T00:00:00"/>
    <x v="1"/>
    <x v="0"/>
    <x v="2"/>
    <x v="0"/>
    <x v="22"/>
    <x v="2"/>
    <x v="11"/>
    <x v="1"/>
  </r>
  <r>
    <s v="TX502177"/>
    <x v="14"/>
    <x v="1"/>
    <n v="25.6"/>
    <n v="51.2"/>
    <x v="79"/>
    <d v="2025-03-22T00:00:00"/>
    <x v="2"/>
    <x v="1"/>
    <x v="1"/>
    <x v="0"/>
    <x v="3"/>
    <x v="3"/>
    <x v="11"/>
    <x v="2"/>
  </r>
  <r>
    <s v="TX502178"/>
    <x v="13"/>
    <x v="0"/>
    <n v="58.4"/>
    <n v="58.4"/>
    <x v="79"/>
    <d v="2025-03-22T00:00:00"/>
    <x v="2"/>
    <x v="2"/>
    <x v="2"/>
    <x v="0"/>
    <x v="3"/>
    <x v="3"/>
    <x v="11"/>
    <x v="2"/>
  </r>
  <r>
    <s v="TX502179"/>
    <x v="11"/>
    <x v="17"/>
    <n v="27"/>
    <n v="810"/>
    <x v="79"/>
    <d v="2025-03-22T00:00:00"/>
    <x v="2"/>
    <x v="4"/>
    <x v="0"/>
    <x v="0"/>
    <x v="3"/>
    <x v="3"/>
    <x v="11"/>
    <x v="2"/>
  </r>
  <r>
    <s v="TX502180"/>
    <x v="0"/>
    <x v="12"/>
    <n v="14.2"/>
    <n v="56.8"/>
    <x v="79"/>
    <d v="2025-03-22T00:00:00"/>
    <x v="1"/>
    <x v="0"/>
    <x v="2"/>
    <x v="0"/>
    <x v="3"/>
    <x v="3"/>
    <x v="11"/>
    <x v="1"/>
  </r>
  <r>
    <s v="TX502181"/>
    <x v="7"/>
    <x v="1"/>
    <n v="68"/>
    <n v="136"/>
    <x v="79"/>
    <d v="2025-03-31T00:00:00"/>
    <x v="1"/>
    <x v="2"/>
    <x v="1"/>
    <x v="0"/>
    <x v="3"/>
    <x v="14"/>
    <x v="11"/>
    <x v="1"/>
  </r>
  <r>
    <s v="TX502182"/>
    <x v="8"/>
    <x v="0"/>
    <n v="30.7"/>
    <n v="30.7"/>
    <x v="79"/>
    <d v="2025-03-22T00:00:00"/>
    <x v="1"/>
    <x v="0"/>
    <x v="0"/>
    <x v="0"/>
    <x v="3"/>
    <x v="3"/>
    <x v="11"/>
    <x v="1"/>
  </r>
  <r>
    <s v="TX502183"/>
    <x v="17"/>
    <x v="15"/>
    <n v="51.6"/>
    <n v="670.80000000000007"/>
    <x v="79"/>
    <d v="2025-03-24T00:00:00"/>
    <x v="3"/>
    <x v="1"/>
    <x v="2"/>
    <x v="0"/>
    <x v="3"/>
    <x v="2"/>
    <x v="11"/>
    <x v="3"/>
  </r>
  <r>
    <s v="TX502184"/>
    <x v="8"/>
    <x v="2"/>
    <n v="20.6"/>
    <n v="61.800000000000004"/>
    <x v="79"/>
    <d v="2025-03-25T00:00:00"/>
    <x v="2"/>
    <x v="4"/>
    <x v="2"/>
    <x v="0"/>
    <x v="3"/>
    <x v="5"/>
    <x v="11"/>
    <x v="2"/>
  </r>
  <r>
    <s v="TX502185"/>
    <x v="8"/>
    <x v="0"/>
    <n v="24.8"/>
    <n v="24.8"/>
    <x v="79"/>
    <d v="2025-03-22T00:00:00"/>
    <x v="1"/>
    <x v="4"/>
    <x v="0"/>
    <x v="0"/>
    <x v="3"/>
    <x v="3"/>
    <x v="11"/>
    <x v="1"/>
  </r>
  <r>
    <s v="TX502186"/>
    <x v="0"/>
    <x v="3"/>
    <n v="11.2"/>
    <n v="78.399999999999991"/>
    <x v="79"/>
    <d v="2025-03-24T00:00:00"/>
    <x v="1"/>
    <x v="1"/>
    <x v="0"/>
    <x v="0"/>
    <x v="3"/>
    <x v="2"/>
    <x v="11"/>
    <x v="1"/>
  </r>
  <r>
    <s v="TX502187"/>
    <x v="11"/>
    <x v="1"/>
    <n v="51.2"/>
    <n v="102.4"/>
    <x v="79"/>
    <d v="2025-03-22T00:00:00"/>
    <x v="2"/>
    <x v="1"/>
    <x v="2"/>
    <x v="0"/>
    <x v="3"/>
    <x v="3"/>
    <x v="11"/>
    <x v="2"/>
  </r>
  <r>
    <s v="TX502188"/>
    <x v="7"/>
    <x v="13"/>
    <n v="90.5"/>
    <n v="543"/>
    <x v="79"/>
    <d v="2025-03-22T00:00:00"/>
    <x v="2"/>
    <x v="1"/>
    <x v="4"/>
    <x v="0"/>
    <x v="3"/>
    <x v="3"/>
    <x v="11"/>
    <x v="2"/>
  </r>
  <r>
    <s v="TX502189"/>
    <x v="1"/>
    <x v="1"/>
    <n v="42.4"/>
    <n v="84.8"/>
    <x v="79"/>
    <d v="2025-03-22T00:00:00"/>
    <x v="1"/>
    <x v="1"/>
    <x v="2"/>
    <x v="0"/>
    <x v="4"/>
    <x v="3"/>
    <x v="11"/>
    <x v="1"/>
  </r>
  <r>
    <s v="TX502190"/>
    <x v="1"/>
    <x v="1"/>
    <n v="38.200000000000003"/>
    <n v="76.400000000000006"/>
    <x v="79"/>
    <d v="2025-03-22T00:00:00"/>
    <x v="1"/>
    <x v="0"/>
    <x v="0"/>
    <x v="0"/>
    <x v="5"/>
    <x v="3"/>
    <x v="11"/>
    <x v="1"/>
  </r>
  <r>
    <s v="TX502191"/>
    <x v="2"/>
    <x v="11"/>
    <n v="121.3"/>
    <n v="1091.7"/>
    <x v="79"/>
    <d v="2025-03-26T00:00:00"/>
    <x v="1"/>
    <x v="0"/>
    <x v="0"/>
    <x v="0"/>
    <x v="6"/>
    <x v="0"/>
    <x v="11"/>
    <x v="1"/>
  </r>
  <r>
    <s v="TX502192"/>
    <x v="6"/>
    <x v="1"/>
    <n v="46.9"/>
    <n v="93.8"/>
    <x v="79"/>
    <d v="2025-03-28T00:00:00"/>
    <x v="1"/>
    <x v="0"/>
    <x v="0"/>
    <x v="0"/>
    <x v="8"/>
    <x v="6"/>
    <x v="11"/>
    <x v="1"/>
  </r>
  <r>
    <s v="TX502193"/>
    <x v="10"/>
    <x v="0"/>
    <n v="55.3"/>
    <n v="55.3"/>
    <x v="79"/>
    <d v="2025-03-23T00:00:00"/>
    <x v="1"/>
    <x v="0"/>
    <x v="0"/>
    <x v="0"/>
    <x v="8"/>
    <x v="1"/>
    <x v="11"/>
    <x v="1"/>
  </r>
  <r>
    <s v="TX502194"/>
    <x v="2"/>
    <x v="2"/>
    <n v="70.599999999999994"/>
    <n v="211.79999999999998"/>
    <x v="80"/>
    <d v="2025-03-22T00:00:00"/>
    <x v="2"/>
    <x v="0"/>
    <x v="1"/>
    <x v="0"/>
    <x v="8"/>
    <x v="7"/>
    <x v="11"/>
    <x v="2"/>
  </r>
  <r>
    <s v="TX502195"/>
    <x v="14"/>
    <x v="12"/>
    <n v="26.1"/>
    <n v="104.4"/>
    <x v="80"/>
    <d v="2025-03-24T00:00:00"/>
    <x v="1"/>
    <x v="0"/>
    <x v="0"/>
    <x v="0"/>
    <x v="8"/>
    <x v="1"/>
    <x v="11"/>
    <x v="1"/>
  </r>
  <r>
    <s v="TX502196"/>
    <x v="9"/>
    <x v="5"/>
    <n v="34.5"/>
    <n v="379.5"/>
    <x v="80"/>
    <d v="2025-03-26T00:00:00"/>
    <x v="1"/>
    <x v="2"/>
    <x v="0"/>
    <x v="0"/>
    <x v="17"/>
    <x v="5"/>
    <x v="11"/>
    <x v="1"/>
  </r>
  <r>
    <s v="TX502197"/>
    <x v="1"/>
    <x v="1"/>
    <n v="64.2"/>
    <n v="128.4"/>
    <x v="80"/>
    <d v="2025-03-23T00:00:00"/>
    <x v="2"/>
    <x v="0"/>
    <x v="1"/>
    <x v="0"/>
    <x v="17"/>
    <x v="3"/>
    <x v="11"/>
    <x v="2"/>
  </r>
  <r>
    <s v="TX502198"/>
    <x v="2"/>
    <x v="12"/>
    <n v="145.69999999999999"/>
    <n v="582.79999999999995"/>
    <x v="80"/>
    <d v="2025-03-23T00:00:00"/>
    <x v="2"/>
    <x v="0"/>
    <x v="4"/>
    <x v="0"/>
    <x v="17"/>
    <x v="3"/>
    <x v="11"/>
    <x v="2"/>
  </r>
  <r>
    <s v="TX502199"/>
    <x v="12"/>
    <x v="1"/>
    <n v="78.5"/>
    <n v="157"/>
    <x v="80"/>
    <d v="2025-03-23T00:00:00"/>
    <x v="1"/>
    <x v="2"/>
    <x v="0"/>
    <x v="0"/>
    <x v="26"/>
    <x v="3"/>
    <x v="11"/>
    <x v="1"/>
  </r>
  <r>
    <s v="TX502200"/>
    <x v="1"/>
    <x v="0"/>
    <n v="34.200000000000003"/>
    <n v="34.200000000000003"/>
    <x v="80"/>
    <d v="2025-03-24T00:00:00"/>
    <x v="1"/>
    <x v="0"/>
    <x v="0"/>
    <x v="0"/>
    <x v="9"/>
    <x v="1"/>
    <x v="11"/>
    <x v="1"/>
  </r>
  <r>
    <s v="TX502201"/>
    <x v="19"/>
    <x v="0"/>
    <n v="26.2"/>
    <n v="26.2"/>
    <x v="80"/>
    <d v="2025-03-23T00:00:00"/>
    <x v="1"/>
    <x v="2"/>
    <x v="0"/>
    <x v="0"/>
    <x v="9"/>
    <x v="3"/>
    <x v="11"/>
    <x v="1"/>
  </r>
  <r>
    <s v="TX502202"/>
    <x v="6"/>
    <x v="12"/>
    <n v="53.2"/>
    <n v="212.8"/>
    <x v="80"/>
    <d v="2025-03-23T00:00:00"/>
    <x v="1"/>
    <x v="1"/>
    <x v="1"/>
    <x v="0"/>
    <x v="11"/>
    <x v="3"/>
    <x v="11"/>
    <x v="1"/>
  </r>
  <r>
    <s v="TX502203"/>
    <x v="1"/>
    <x v="0"/>
    <n v="35.4"/>
    <n v="35.4"/>
    <x v="80"/>
    <d v="2025-03-26T00:00:00"/>
    <x v="1"/>
    <x v="1"/>
    <x v="4"/>
    <x v="0"/>
    <x v="18"/>
    <x v="5"/>
    <x v="11"/>
    <x v="1"/>
  </r>
  <r>
    <s v="TX502204"/>
    <x v="14"/>
    <x v="1"/>
    <n v="21.3"/>
    <n v="42.6"/>
    <x v="80"/>
    <d v="2025-03-23T00:00:00"/>
    <x v="1"/>
    <x v="2"/>
    <x v="0"/>
    <x v="0"/>
    <x v="20"/>
    <x v="3"/>
    <x v="11"/>
    <x v="1"/>
  </r>
  <r>
    <s v="TX502205"/>
    <x v="8"/>
    <x v="12"/>
    <n v="32.9"/>
    <n v="131.6"/>
    <x v="80"/>
    <d v="2025-03-25T00:00:00"/>
    <x v="2"/>
    <x v="4"/>
    <x v="2"/>
    <x v="0"/>
    <x v="21"/>
    <x v="2"/>
    <x v="11"/>
    <x v="2"/>
  </r>
  <r>
    <s v="TX502206"/>
    <x v="5"/>
    <x v="20"/>
    <n v="85.5"/>
    <n v="1282.5"/>
    <x v="80"/>
    <d v="2025-03-24T00:00:00"/>
    <x v="2"/>
    <x v="3"/>
    <x v="1"/>
    <x v="0"/>
    <x v="21"/>
    <x v="1"/>
    <x v="11"/>
    <x v="2"/>
  </r>
  <r>
    <s v="TX502207"/>
    <x v="4"/>
    <x v="0"/>
    <n v="26.8"/>
    <n v="26.8"/>
    <x v="80"/>
    <d v="2025-03-23T00:00:00"/>
    <x v="2"/>
    <x v="0"/>
    <x v="1"/>
    <x v="0"/>
    <x v="2"/>
    <x v="3"/>
    <x v="11"/>
    <x v="2"/>
  </r>
  <r>
    <s v="TX502208"/>
    <x v="9"/>
    <x v="18"/>
    <n v="31.7"/>
    <n v="824.19999999999993"/>
    <x v="80"/>
    <d v="2025-03-22T00:00:00"/>
    <x v="2"/>
    <x v="3"/>
    <x v="0"/>
    <x v="0"/>
    <x v="2"/>
    <x v="7"/>
    <x v="11"/>
    <x v="2"/>
  </r>
  <r>
    <s v="TX502209"/>
    <x v="1"/>
    <x v="1"/>
    <n v="78.3"/>
    <n v="156.6"/>
    <x v="80"/>
    <d v="2025-03-24T00:00:00"/>
    <x v="2"/>
    <x v="1"/>
    <x v="1"/>
    <x v="0"/>
    <x v="3"/>
    <x v="1"/>
    <x v="11"/>
    <x v="2"/>
  </r>
  <r>
    <s v="TX502210"/>
    <x v="6"/>
    <x v="0"/>
    <n v="43.9"/>
    <n v="43.9"/>
    <x v="80"/>
    <d v="2025-03-23T00:00:00"/>
    <x v="1"/>
    <x v="0"/>
    <x v="0"/>
    <x v="0"/>
    <x v="3"/>
    <x v="3"/>
    <x v="11"/>
    <x v="1"/>
  </r>
  <r>
    <s v="TX502211"/>
    <x v="18"/>
    <x v="2"/>
    <n v="84"/>
    <n v="252"/>
    <x v="80"/>
    <d v="2025-03-24T00:00:00"/>
    <x v="0"/>
    <x v="3"/>
    <x v="2"/>
    <x v="0"/>
    <x v="3"/>
    <x v="1"/>
    <x v="11"/>
    <x v="0"/>
  </r>
  <r>
    <s v="TX502212"/>
    <x v="0"/>
    <x v="2"/>
    <n v="11.4"/>
    <n v="34.200000000000003"/>
    <x v="80"/>
    <d v="2025-03-23T00:00:00"/>
    <x v="1"/>
    <x v="4"/>
    <x v="0"/>
    <x v="0"/>
    <x v="3"/>
    <x v="3"/>
    <x v="11"/>
    <x v="1"/>
  </r>
  <r>
    <s v="TX502213"/>
    <x v="12"/>
    <x v="8"/>
    <n v="47.5"/>
    <n v="380"/>
    <x v="80"/>
    <d v="2025-03-30T00:00:00"/>
    <x v="2"/>
    <x v="0"/>
    <x v="0"/>
    <x v="0"/>
    <x v="3"/>
    <x v="9"/>
    <x v="11"/>
    <x v="2"/>
  </r>
  <r>
    <s v="TX502214"/>
    <x v="9"/>
    <x v="5"/>
    <n v="50.5"/>
    <n v="555.5"/>
    <x v="80"/>
    <d v="2025-03-24T00:00:00"/>
    <x v="1"/>
    <x v="2"/>
    <x v="0"/>
    <x v="0"/>
    <x v="3"/>
    <x v="1"/>
    <x v="11"/>
    <x v="1"/>
  </r>
  <r>
    <s v="TX502215"/>
    <x v="15"/>
    <x v="0"/>
    <n v="36.299999999999997"/>
    <n v="36.299999999999997"/>
    <x v="80"/>
    <d v="2025-03-25T00:00:00"/>
    <x v="3"/>
    <x v="0"/>
    <x v="1"/>
    <x v="0"/>
    <x v="8"/>
    <x v="2"/>
    <x v="11"/>
    <x v="3"/>
  </r>
  <r>
    <s v="TX502216"/>
    <x v="8"/>
    <x v="1"/>
    <n v="35.4"/>
    <n v="70.8"/>
    <x v="80"/>
    <d v="2025-03-23T00:00:00"/>
    <x v="2"/>
    <x v="0"/>
    <x v="0"/>
    <x v="0"/>
    <x v="17"/>
    <x v="3"/>
    <x v="11"/>
    <x v="2"/>
  </r>
  <r>
    <s v="TX502217"/>
    <x v="1"/>
    <x v="2"/>
    <n v="45.9"/>
    <n v="137.69999999999999"/>
    <x v="81"/>
    <d v="2025-03-24T00:00:00"/>
    <x v="1"/>
    <x v="3"/>
    <x v="0"/>
    <x v="0"/>
    <x v="9"/>
    <x v="3"/>
    <x v="12"/>
    <x v="1"/>
  </r>
  <r>
    <s v="TX502218"/>
    <x v="6"/>
    <x v="7"/>
    <n v="41.2"/>
    <n v="412"/>
    <x v="81"/>
    <d v="2025-03-27T00:00:00"/>
    <x v="1"/>
    <x v="0"/>
    <x v="0"/>
    <x v="0"/>
    <x v="11"/>
    <x v="5"/>
    <x v="12"/>
    <x v="1"/>
  </r>
  <r>
    <s v="TX502219"/>
    <x v="17"/>
    <x v="1"/>
    <n v="45.1"/>
    <n v="90.2"/>
    <x v="81"/>
    <d v="2025-03-24T00:00:00"/>
    <x v="1"/>
    <x v="1"/>
    <x v="1"/>
    <x v="0"/>
    <x v="21"/>
    <x v="3"/>
    <x v="12"/>
    <x v="1"/>
  </r>
  <r>
    <s v="TX502220"/>
    <x v="6"/>
    <x v="7"/>
    <n v="63.6"/>
    <n v="636"/>
    <x v="81"/>
    <d v="2025-03-23T00:00:00"/>
    <x v="1"/>
    <x v="2"/>
    <x v="0"/>
    <x v="0"/>
    <x v="1"/>
    <x v="7"/>
    <x v="12"/>
    <x v="1"/>
  </r>
  <r>
    <s v="TX502221"/>
    <x v="8"/>
    <x v="0"/>
    <n v="70.5"/>
    <n v="70.5"/>
    <x v="81"/>
    <d v="2025-03-24T00:00:00"/>
    <x v="1"/>
    <x v="0"/>
    <x v="0"/>
    <x v="0"/>
    <x v="3"/>
    <x v="3"/>
    <x v="12"/>
    <x v="1"/>
  </r>
  <r>
    <s v="TX502222"/>
    <x v="6"/>
    <x v="0"/>
    <n v="41.3"/>
    <n v="41.3"/>
    <x v="81"/>
    <d v="2025-03-23T00:00:00"/>
    <x v="1"/>
    <x v="4"/>
    <x v="0"/>
    <x v="0"/>
    <x v="3"/>
    <x v="7"/>
    <x v="12"/>
    <x v="1"/>
  </r>
  <r>
    <s v="TX502223"/>
    <x v="4"/>
    <x v="0"/>
    <n v="35.299999999999997"/>
    <n v="35.299999999999997"/>
    <x v="81"/>
    <d v="2025-03-26T00:00:00"/>
    <x v="2"/>
    <x v="4"/>
    <x v="2"/>
    <x v="0"/>
    <x v="3"/>
    <x v="2"/>
    <x v="12"/>
    <x v="2"/>
  </r>
  <r>
    <s v="TX502224"/>
    <x v="8"/>
    <x v="9"/>
    <n v="34.700000000000003"/>
    <n v="173.5"/>
    <x v="81"/>
    <d v="2025-03-24T00:00:00"/>
    <x v="2"/>
    <x v="0"/>
    <x v="2"/>
    <x v="0"/>
    <x v="3"/>
    <x v="3"/>
    <x v="12"/>
    <x v="2"/>
  </r>
  <r>
    <s v="TX502225"/>
    <x v="8"/>
    <x v="2"/>
    <n v="26.1"/>
    <n v="78.300000000000011"/>
    <x v="81"/>
    <d v="2025-03-24T00:00:00"/>
    <x v="2"/>
    <x v="0"/>
    <x v="0"/>
    <x v="0"/>
    <x v="3"/>
    <x v="3"/>
    <x v="12"/>
    <x v="2"/>
  </r>
  <r>
    <s v="TX502226"/>
    <x v="9"/>
    <x v="9"/>
    <n v="22.6"/>
    <n v="113"/>
    <x v="81"/>
    <d v="2025-03-23T00:00:00"/>
    <x v="2"/>
    <x v="1"/>
    <x v="2"/>
    <x v="0"/>
    <x v="3"/>
    <x v="7"/>
    <x v="12"/>
    <x v="2"/>
  </r>
  <r>
    <s v="TX502227"/>
    <x v="2"/>
    <x v="1"/>
    <n v="154.4"/>
    <n v="308.8"/>
    <x v="81"/>
    <d v="2025-03-26T00:00:00"/>
    <x v="1"/>
    <x v="1"/>
    <x v="1"/>
    <x v="0"/>
    <x v="3"/>
    <x v="2"/>
    <x v="12"/>
    <x v="1"/>
  </r>
  <r>
    <s v="TX502228"/>
    <x v="8"/>
    <x v="1"/>
    <n v="18.399999999999999"/>
    <n v="36.799999999999997"/>
    <x v="81"/>
    <d v="2025-03-24T00:00:00"/>
    <x v="1"/>
    <x v="0"/>
    <x v="0"/>
    <x v="0"/>
    <x v="3"/>
    <x v="3"/>
    <x v="12"/>
    <x v="1"/>
  </r>
  <r>
    <s v="TX502229"/>
    <x v="14"/>
    <x v="0"/>
    <n v="25"/>
    <n v="25"/>
    <x v="81"/>
    <d v="2025-03-26T00:00:00"/>
    <x v="2"/>
    <x v="0"/>
    <x v="0"/>
    <x v="0"/>
    <x v="3"/>
    <x v="2"/>
    <x v="12"/>
    <x v="2"/>
  </r>
  <r>
    <s v="TX502230"/>
    <x v="2"/>
    <x v="13"/>
    <n v="105.6"/>
    <n v="633.59999999999991"/>
    <x v="81"/>
    <d v="2025-03-23T00:00:00"/>
    <x v="2"/>
    <x v="0"/>
    <x v="0"/>
    <x v="0"/>
    <x v="3"/>
    <x v="7"/>
    <x v="12"/>
    <x v="2"/>
  </r>
  <r>
    <s v="TX502231"/>
    <x v="18"/>
    <x v="8"/>
    <n v="59.6"/>
    <n v="476.8"/>
    <x v="81"/>
    <d v="2025-03-23T00:00:00"/>
    <x v="2"/>
    <x v="0"/>
    <x v="2"/>
    <x v="0"/>
    <x v="23"/>
    <x v="7"/>
    <x v="12"/>
    <x v="2"/>
  </r>
  <r>
    <s v="TX502232"/>
    <x v="15"/>
    <x v="2"/>
    <n v="75.400000000000006"/>
    <n v="226.20000000000002"/>
    <x v="81"/>
    <d v="2025-03-28T00:00:00"/>
    <x v="1"/>
    <x v="0"/>
    <x v="1"/>
    <x v="0"/>
    <x v="7"/>
    <x v="0"/>
    <x v="12"/>
    <x v="1"/>
  </r>
  <r>
    <s v="TX502233"/>
    <x v="7"/>
    <x v="0"/>
    <n v="104.4"/>
    <n v="104.4"/>
    <x v="81"/>
    <d v="2025-03-24T00:00:00"/>
    <x v="2"/>
    <x v="0"/>
    <x v="0"/>
    <x v="0"/>
    <x v="8"/>
    <x v="3"/>
    <x v="12"/>
    <x v="2"/>
  </r>
  <r>
    <s v="TX502234"/>
    <x v="2"/>
    <x v="7"/>
    <n v="208.2"/>
    <n v="2082"/>
    <x v="81"/>
    <d v="2025-03-24T00:00:00"/>
    <x v="1"/>
    <x v="0"/>
    <x v="2"/>
    <x v="0"/>
    <x v="8"/>
    <x v="3"/>
    <x v="12"/>
    <x v="1"/>
  </r>
  <r>
    <s v="TX502235"/>
    <x v="6"/>
    <x v="1"/>
    <n v="45"/>
    <n v="90"/>
    <x v="81"/>
    <d v="2025-03-26T00:00:00"/>
    <x v="2"/>
    <x v="0"/>
    <x v="0"/>
    <x v="0"/>
    <x v="10"/>
    <x v="2"/>
    <x v="12"/>
    <x v="2"/>
  </r>
  <r>
    <s v="TX502236"/>
    <x v="15"/>
    <x v="1"/>
    <n v="20.3"/>
    <n v="40.6"/>
    <x v="82"/>
    <d v="2025-03-26T00:00:00"/>
    <x v="0"/>
    <x v="1"/>
    <x v="0"/>
    <x v="0"/>
    <x v="11"/>
    <x v="1"/>
    <x v="12"/>
    <x v="0"/>
  </r>
  <r>
    <s v="TX502237"/>
    <x v="2"/>
    <x v="2"/>
    <n v="94.4"/>
    <n v="283.20000000000005"/>
    <x v="82"/>
    <d v="2025-03-25T00:00:00"/>
    <x v="2"/>
    <x v="0"/>
    <x v="2"/>
    <x v="0"/>
    <x v="11"/>
    <x v="3"/>
    <x v="12"/>
    <x v="2"/>
  </r>
  <r>
    <s v="TX502238"/>
    <x v="9"/>
    <x v="0"/>
    <n v="49"/>
    <n v="49"/>
    <x v="82"/>
    <d v="2025-03-26T00:00:00"/>
    <x v="2"/>
    <x v="0"/>
    <x v="2"/>
    <x v="0"/>
    <x v="20"/>
    <x v="1"/>
    <x v="12"/>
    <x v="2"/>
  </r>
  <r>
    <s v="TX502239"/>
    <x v="4"/>
    <x v="1"/>
    <n v="27.2"/>
    <n v="54.4"/>
    <x v="82"/>
    <d v="2025-03-26T00:00:00"/>
    <x v="1"/>
    <x v="0"/>
    <x v="2"/>
    <x v="0"/>
    <x v="1"/>
    <x v="1"/>
    <x v="12"/>
    <x v="1"/>
  </r>
  <r>
    <s v="TX502240"/>
    <x v="2"/>
    <x v="13"/>
    <n v="72.599999999999994"/>
    <n v="435.59999999999997"/>
    <x v="82"/>
    <d v="2025-03-25T00:00:00"/>
    <x v="2"/>
    <x v="0"/>
    <x v="2"/>
    <x v="0"/>
    <x v="2"/>
    <x v="3"/>
    <x v="12"/>
    <x v="2"/>
  </r>
  <r>
    <s v="TX502241"/>
    <x v="15"/>
    <x v="12"/>
    <n v="62.4"/>
    <n v="249.6"/>
    <x v="82"/>
    <d v="2025-03-25T00:00:00"/>
    <x v="2"/>
    <x v="0"/>
    <x v="0"/>
    <x v="0"/>
    <x v="3"/>
    <x v="3"/>
    <x v="12"/>
    <x v="2"/>
  </r>
  <r>
    <s v="TX502242"/>
    <x v="8"/>
    <x v="2"/>
    <n v="19.100000000000001"/>
    <n v="57.300000000000004"/>
    <x v="82"/>
    <d v="2025-03-26T00:00:00"/>
    <x v="1"/>
    <x v="0"/>
    <x v="1"/>
    <x v="0"/>
    <x v="3"/>
    <x v="1"/>
    <x v="12"/>
    <x v="1"/>
  </r>
  <r>
    <s v="TX502243"/>
    <x v="10"/>
    <x v="0"/>
    <n v="29.6"/>
    <n v="29.6"/>
    <x v="82"/>
    <d v="2025-03-28T00:00:00"/>
    <x v="1"/>
    <x v="0"/>
    <x v="4"/>
    <x v="0"/>
    <x v="3"/>
    <x v="5"/>
    <x v="12"/>
    <x v="1"/>
  </r>
  <r>
    <s v="TX502244"/>
    <x v="8"/>
    <x v="1"/>
    <n v="18.899999999999999"/>
    <n v="37.799999999999997"/>
    <x v="82"/>
    <d v="2025-03-26T00:00:00"/>
    <x v="2"/>
    <x v="4"/>
    <x v="2"/>
    <x v="0"/>
    <x v="3"/>
    <x v="1"/>
    <x v="12"/>
    <x v="2"/>
  </r>
  <r>
    <s v="TX502245"/>
    <x v="10"/>
    <x v="9"/>
    <n v="41.4"/>
    <n v="207"/>
    <x v="82"/>
    <d v="2025-03-25T00:00:00"/>
    <x v="1"/>
    <x v="3"/>
    <x v="0"/>
    <x v="0"/>
    <x v="3"/>
    <x v="3"/>
    <x v="12"/>
    <x v="1"/>
  </r>
  <r>
    <s v="TX502246"/>
    <x v="2"/>
    <x v="0"/>
    <n v="118.4"/>
    <n v="118.4"/>
    <x v="82"/>
    <d v="2025-03-25T00:00:00"/>
    <x v="2"/>
    <x v="0"/>
    <x v="2"/>
    <x v="0"/>
    <x v="3"/>
    <x v="3"/>
    <x v="12"/>
    <x v="2"/>
  </r>
  <r>
    <s v="TX502247"/>
    <x v="2"/>
    <x v="1"/>
    <n v="125.3"/>
    <n v="250.6"/>
    <x v="82"/>
    <d v="2025-03-27T00:00:00"/>
    <x v="2"/>
    <x v="0"/>
    <x v="2"/>
    <x v="0"/>
    <x v="3"/>
    <x v="2"/>
    <x v="12"/>
    <x v="2"/>
  </r>
  <r>
    <s v="TX502248"/>
    <x v="3"/>
    <x v="1"/>
    <n v="85.8"/>
    <n v="171.6"/>
    <x v="82"/>
    <d v="2025-03-25T00:00:00"/>
    <x v="2"/>
    <x v="1"/>
    <x v="4"/>
    <x v="0"/>
    <x v="3"/>
    <x v="3"/>
    <x v="12"/>
    <x v="2"/>
  </r>
  <r>
    <s v="TX502249"/>
    <x v="6"/>
    <x v="0"/>
    <n v="44.2"/>
    <n v="44.2"/>
    <x v="82"/>
    <d v="2025-03-27T00:00:00"/>
    <x v="1"/>
    <x v="1"/>
    <x v="0"/>
    <x v="0"/>
    <x v="3"/>
    <x v="2"/>
    <x v="12"/>
    <x v="1"/>
  </r>
  <r>
    <s v="TX502250"/>
    <x v="5"/>
    <x v="12"/>
    <n v="74.099999999999994"/>
    <n v="296.39999999999998"/>
    <x v="82"/>
    <d v="2025-03-26T00:00:00"/>
    <x v="2"/>
    <x v="0"/>
    <x v="0"/>
    <x v="0"/>
    <x v="3"/>
    <x v="1"/>
    <x v="12"/>
    <x v="2"/>
  </r>
  <r>
    <s v="TX502251"/>
    <x v="8"/>
    <x v="0"/>
    <n v="33.799999999999997"/>
    <n v="33.799999999999997"/>
    <x v="82"/>
    <d v="2025-03-25T00:00:00"/>
    <x v="2"/>
    <x v="2"/>
    <x v="2"/>
    <x v="0"/>
    <x v="24"/>
    <x v="3"/>
    <x v="12"/>
    <x v="2"/>
  </r>
  <r>
    <s v="TX502252"/>
    <x v="1"/>
    <x v="1"/>
    <n v="39.1"/>
    <n v="78.2"/>
    <x v="82"/>
    <d v="2025-03-25T00:00:00"/>
    <x v="1"/>
    <x v="0"/>
    <x v="1"/>
    <x v="0"/>
    <x v="24"/>
    <x v="3"/>
    <x v="12"/>
    <x v="1"/>
  </r>
  <r>
    <s v="TX502253"/>
    <x v="0"/>
    <x v="0"/>
    <n v="37.200000000000003"/>
    <n v="37.200000000000003"/>
    <x v="82"/>
    <d v="2025-03-25T00:00:00"/>
    <x v="1"/>
    <x v="0"/>
    <x v="1"/>
    <x v="0"/>
    <x v="16"/>
    <x v="3"/>
    <x v="12"/>
    <x v="1"/>
  </r>
  <r>
    <s v="TX502254"/>
    <x v="15"/>
    <x v="2"/>
    <n v="33.9"/>
    <n v="101.69999999999999"/>
    <x v="82"/>
    <d v="2025-03-26T00:00:00"/>
    <x v="1"/>
    <x v="2"/>
    <x v="0"/>
    <x v="0"/>
    <x v="6"/>
    <x v="1"/>
    <x v="12"/>
    <x v="1"/>
  </r>
  <r>
    <s v="TX502255"/>
    <x v="7"/>
    <x v="20"/>
    <n v="73.3"/>
    <n v="1099.5"/>
    <x v="82"/>
    <d v="2025-03-27T00:00:00"/>
    <x v="2"/>
    <x v="2"/>
    <x v="1"/>
    <x v="0"/>
    <x v="8"/>
    <x v="2"/>
    <x v="12"/>
    <x v="2"/>
  </r>
  <r>
    <s v="TX502256"/>
    <x v="8"/>
    <x v="12"/>
    <n v="35"/>
    <n v="140"/>
    <x v="82"/>
    <d v="2025-03-26T00:00:00"/>
    <x v="2"/>
    <x v="1"/>
    <x v="0"/>
    <x v="0"/>
    <x v="8"/>
    <x v="1"/>
    <x v="12"/>
    <x v="2"/>
  </r>
  <r>
    <s v="TX502257"/>
    <x v="0"/>
    <x v="2"/>
    <n v="22.2"/>
    <n v="66.599999999999994"/>
    <x v="82"/>
    <d v="2025-03-25T00:00:00"/>
    <x v="1"/>
    <x v="1"/>
    <x v="0"/>
    <x v="0"/>
    <x v="17"/>
    <x v="3"/>
    <x v="12"/>
    <x v="1"/>
  </r>
  <r>
    <s v="TX502258"/>
    <x v="10"/>
    <x v="0"/>
    <n v="32.4"/>
    <n v="32.4"/>
    <x v="82"/>
    <d v="2025-03-25T00:00:00"/>
    <x v="2"/>
    <x v="0"/>
    <x v="0"/>
    <x v="0"/>
    <x v="11"/>
    <x v="3"/>
    <x v="12"/>
    <x v="2"/>
  </r>
  <r>
    <s v="TX502259"/>
    <x v="5"/>
    <x v="2"/>
    <n v="88.4"/>
    <n v="265.20000000000005"/>
    <x v="83"/>
    <d v="2025-03-27T00:00:00"/>
    <x v="2"/>
    <x v="1"/>
    <x v="1"/>
    <x v="0"/>
    <x v="11"/>
    <x v="1"/>
    <x v="12"/>
    <x v="2"/>
  </r>
  <r>
    <s v="TX502260"/>
    <x v="5"/>
    <x v="27"/>
    <n v="30.5"/>
    <n v="488"/>
    <x v="83"/>
    <d v="2025-03-26T00:00:00"/>
    <x v="2"/>
    <x v="2"/>
    <x v="0"/>
    <x v="0"/>
    <x v="11"/>
    <x v="3"/>
    <x v="12"/>
    <x v="2"/>
  </r>
  <r>
    <s v="TX502261"/>
    <x v="1"/>
    <x v="13"/>
    <n v="38.1"/>
    <n v="228.60000000000002"/>
    <x v="83"/>
    <d v="2025-03-27T00:00:00"/>
    <x v="2"/>
    <x v="0"/>
    <x v="1"/>
    <x v="0"/>
    <x v="11"/>
    <x v="1"/>
    <x v="12"/>
    <x v="2"/>
  </r>
  <r>
    <s v="TX502262"/>
    <x v="10"/>
    <x v="9"/>
    <n v="37.6"/>
    <n v="188"/>
    <x v="83"/>
    <d v="2025-03-29T00:00:00"/>
    <x v="1"/>
    <x v="0"/>
    <x v="0"/>
    <x v="0"/>
    <x v="11"/>
    <x v="5"/>
    <x v="12"/>
    <x v="1"/>
  </r>
  <r>
    <s v="TX502263"/>
    <x v="15"/>
    <x v="1"/>
    <n v="31.4"/>
    <n v="62.8"/>
    <x v="83"/>
    <d v="2025-03-26T00:00:00"/>
    <x v="1"/>
    <x v="0"/>
    <x v="2"/>
    <x v="0"/>
    <x v="11"/>
    <x v="3"/>
    <x v="12"/>
    <x v="1"/>
  </r>
  <r>
    <s v="TX502264"/>
    <x v="6"/>
    <x v="1"/>
    <n v="61.5"/>
    <n v="123"/>
    <x v="83"/>
    <d v="2025-03-26T00:00:00"/>
    <x v="1"/>
    <x v="3"/>
    <x v="0"/>
    <x v="0"/>
    <x v="31"/>
    <x v="3"/>
    <x v="12"/>
    <x v="1"/>
  </r>
  <r>
    <s v="TX502265"/>
    <x v="6"/>
    <x v="0"/>
    <n v="72.599999999999994"/>
    <n v="72.599999999999994"/>
    <x v="83"/>
    <d v="2025-03-26T00:00:00"/>
    <x v="1"/>
    <x v="0"/>
    <x v="1"/>
    <x v="0"/>
    <x v="21"/>
    <x v="3"/>
    <x v="12"/>
    <x v="1"/>
  </r>
  <r>
    <s v="TX502266"/>
    <x v="9"/>
    <x v="2"/>
    <n v="26.9"/>
    <n v="80.699999999999989"/>
    <x v="83"/>
    <d v="2025-03-30T00:00:00"/>
    <x v="3"/>
    <x v="4"/>
    <x v="1"/>
    <x v="0"/>
    <x v="46"/>
    <x v="0"/>
    <x v="12"/>
    <x v="3"/>
  </r>
  <r>
    <s v="TX502267"/>
    <x v="17"/>
    <x v="4"/>
    <n v="29.4"/>
    <n v="352.79999999999995"/>
    <x v="83"/>
    <d v="2025-03-26T00:00:00"/>
    <x v="2"/>
    <x v="1"/>
    <x v="0"/>
    <x v="0"/>
    <x v="51"/>
    <x v="3"/>
    <x v="12"/>
    <x v="2"/>
  </r>
  <r>
    <s v="TX502268"/>
    <x v="17"/>
    <x v="1"/>
    <n v="42.1"/>
    <n v="84.2"/>
    <x v="83"/>
    <d v="2025-03-26T00:00:00"/>
    <x v="2"/>
    <x v="3"/>
    <x v="1"/>
    <x v="0"/>
    <x v="1"/>
    <x v="3"/>
    <x v="12"/>
    <x v="2"/>
  </r>
  <r>
    <s v="TX502269"/>
    <x v="5"/>
    <x v="0"/>
    <n v="40.5"/>
    <n v="40.5"/>
    <x v="83"/>
    <d v="2025-03-26T00:00:00"/>
    <x v="2"/>
    <x v="2"/>
    <x v="1"/>
    <x v="0"/>
    <x v="1"/>
    <x v="3"/>
    <x v="12"/>
    <x v="2"/>
  </r>
  <r>
    <s v="TX502270"/>
    <x v="2"/>
    <x v="12"/>
    <n v="182.3"/>
    <n v="729.2"/>
    <x v="83"/>
    <d v="2025-03-26T00:00:00"/>
    <x v="2"/>
    <x v="1"/>
    <x v="0"/>
    <x v="0"/>
    <x v="1"/>
    <x v="3"/>
    <x v="12"/>
    <x v="2"/>
  </r>
  <r>
    <s v="TX502271"/>
    <x v="2"/>
    <x v="9"/>
    <n v="157"/>
    <n v="785"/>
    <x v="83"/>
    <d v="2025-03-28T00:00:00"/>
    <x v="2"/>
    <x v="1"/>
    <x v="2"/>
    <x v="0"/>
    <x v="2"/>
    <x v="2"/>
    <x v="12"/>
    <x v="2"/>
  </r>
  <r>
    <s v="TX502272"/>
    <x v="17"/>
    <x v="9"/>
    <n v="45.2"/>
    <n v="226"/>
    <x v="83"/>
    <d v="2025-03-28T00:00:00"/>
    <x v="2"/>
    <x v="1"/>
    <x v="0"/>
    <x v="0"/>
    <x v="22"/>
    <x v="2"/>
    <x v="12"/>
    <x v="2"/>
  </r>
  <r>
    <s v="TX502273"/>
    <x v="15"/>
    <x v="12"/>
    <n v="27.4"/>
    <n v="109.6"/>
    <x v="83"/>
    <d v="2025-03-27T00:00:00"/>
    <x v="2"/>
    <x v="0"/>
    <x v="0"/>
    <x v="0"/>
    <x v="3"/>
    <x v="1"/>
    <x v="12"/>
    <x v="2"/>
  </r>
  <r>
    <s v="TX502274"/>
    <x v="5"/>
    <x v="9"/>
    <n v="34.1"/>
    <n v="170.5"/>
    <x v="83"/>
    <d v="2025-03-27T00:00:00"/>
    <x v="1"/>
    <x v="0"/>
    <x v="2"/>
    <x v="0"/>
    <x v="3"/>
    <x v="1"/>
    <x v="12"/>
    <x v="1"/>
  </r>
  <r>
    <s v="TX502275"/>
    <x v="0"/>
    <x v="1"/>
    <n v="26"/>
    <n v="52"/>
    <x v="83"/>
    <d v="2025-03-27T00:00:00"/>
    <x v="1"/>
    <x v="2"/>
    <x v="1"/>
    <x v="0"/>
    <x v="3"/>
    <x v="1"/>
    <x v="12"/>
    <x v="1"/>
  </r>
  <r>
    <s v="TX502276"/>
    <x v="8"/>
    <x v="3"/>
    <n v="19.399999999999999"/>
    <n v="135.79999999999998"/>
    <x v="83"/>
    <d v="2025-03-27T00:00:00"/>
    <x v="0"/>
    <x v="1"/>
    <x v="1"/>
    <x v="0"/>
    <x v="3"/>
    <x v="1"/>
    <x v="12"/>
    <x v="0"/>
  </r>
  <r>
    <s v="TX502277"/>
    <x v="16"/>
    <x v="2"/>
    <n v="30.3"/>
    <n v="90.9"/>
    <x v="83"/>
    <d v="2025-03-28T00:00:00"/>
    <x v="2"/>
    <x v="1"/>
    <x v="2"/>
    <x v="0"/>
    <x v="3"/>
    <x v="2"/>
    <x v="12"/>
    <x v="2"/>
  </r>
  <r>
    <s v="TX502278"/>
    <x v="2"/>
    <x v="2"/>
    <n v="101.4"/>
    <n v="304.20000000000005"/>
    <x v="83"/>
    <d v="2025-03-26T00:00:00"/>
    <x v="1"/>
    <x v="0"/>
    <x v="0"/>
    <x v="0"/>
    <x v="3"/>
    <x v="3"/>
    <x v="12"/>
    <x v="1"/>
  </r>
  <r>
    <s v="TX502279"/>
    <x v="3"/>
    <x v="9"/>
    <n v="55.5"/>
    <n v="277.5"/>
    <x v="83"/>
    <d v="2025-03-28T00:00:00"/>
    <x v="1"/>
    <x v="1"/>
    <x v="0"/>
    <x v="0"/>
    <x v="24"/>
    <x v="2"/>
    <x v="12"/>
    <x v="1"/>
  </r>
  <r>
    <s v="TX502280"/>
    <x v="8"/>
    <x v="0"/>
    <n v="23.1"/>
    <n v="23.1"/>
    <x v="83"/>
    <d v="2025-03-26T00:00:00"/>
    <x v="1"/>
    <x v="0"/>
    <x v="0"/>
    <x v="0"/>
    <x v="25"/>
    <x v="3"/>
    <x v="12"/>
    <x v="1"/>
  </r>
  <r>
    <s v="TX502281"/>
    <x v="18"/>
    <x v="1"/>
    <n v="38.9"/>
    <n v="77.8"/>
    <x v="83"/>
    <d v="2025-03-26T00:00:00"/>
    <x v="1"/>
    <x v="2"/>
    <x v="0"/>
    <x v="0"/>
    <x v="25"/>
    <x v="3"/>
    <x v="12"/>
    <x v="1"/>
  </r>
  <r>
    <s v="TX502282"/>
    <x v="6"/>
    <x v="11"/>
    <n v="116.3"/>
    <n v="1046.7"/>
    <x v="83"/>
    <d v="2025-03-29T00:00:00"/>
    <x v="2"/>
    <x v="0"/>
    <x v="0"/>
    <x v="0"/>
    <x v="5"/>
    <x v="5"/>
    <x v="12"/>
    <x v="2"/>
  </r>
  <r>
    <s v="TX502283"/>
    <x v="16"/>
    <x v="11"/>
    <n v="64.099999999999994"/>
    <n v="576.9"/>
    <x v="83"/>
    <d v="2025-03-25T00:00:00"/>
    <x v="2"/>
    <x v="0"/>
    <x v="2"/>
    <x v="0"/>
    <x v="6"/>
    <x v="7"/>
    <x v="12"/>
    <x v="2"/>
  </r>
  <r>
    <s v="TX502284"/>
    <x v="2"/>
    <x v="13"/>
    <n v="109.2"/>
    <n v="655.20000000000005"/>
    <x v="83"/>
    <d v="2025-03-27T00:00:00"/>
    <x v="1"/>
    <x v="0"/>
    <x v="1"/>
    <x v="0"/>
    <x v="8"/>
    <x v="1"/>
    <x v="12"/>
    <x v="1"/>
  </r>
  <r>
    <s v="TX502285"/>
    <x v="10"/>
    <x v="9"/>
    <n v="23.2"/>
    <n v="116"/>
    <x v="84"/>
    <d v="2025-03-27T00:00:00"/>
    <x v="1"/>
    <x v="0"/>
    <x v="1"/>
    <x v="0"/>
    <x v="8"/>
    <x v="3"/>
    <x v="12"/>
    <x v="1"/>
  </r>
  <r>
    <s v="TX502286"/>
    <x v="18"/>
    <x v="13"/>
    <n v="81.2"/>
    <n v="487.20000000000005"/>
    <x v="84"/>
    <d v="2025-03-28T00:00:00"/>
    <x v="1"/>
    <x v="2"/>
    <x v="2"/>
    <x v="0"/>
    <x v="8"/>
    <x v="1"/>
    <x v="12"/>
    <x v="1"/>
  </r>
  <r>
    <s v="TX502287"/>
    <x v="1"/>
    <x v="21"/>
    <n v="35.700000000000003"/>
    <n v="499.80000000000007"/>
    <x v="84"/>
    <d v="2025-03-27T00:00:00"/>
    <x v="1"/>
    <x v="3"/>
    <x v="0"/>
    <x v="0"/>
    <x v="8"/>
    <x v="3"/>
    <x v="12"/>
    <x v="1"/>
  </r>
  <r>
    <s v="TX502288"/>
    <x v="7"/>
    <x v="1"/>
    <n v="44.5"/>
    <n v="89"/>
    <x v="84"/>
    <d v="2025-03-29T00:00:00"/>
    <x v="1"/>
    <x v="4"/>
    <x v="0"/>
    <x v="0"/>
    <x v="9"/>
    <x v="2"/>
    <x v="12"/>
    <x v="1"/>
  </r>
  <r>
    <s v="TX502289"/>
    <x v="1"/>
    <x v="9"/>
    <n v="32"/>
    <n v="160"/>
    <x v="84"/>
    <d v="2025-03-28T00:00:00"/>
    <x v="3"/>
    <x v="1"/>
    <x v="1"/>
    <x v="0"/>
    <x v="9"/>
    <x v="1"/>
    <x v="12"/>
    <x v="3"/>
  </r>
  <r>
    <s v="TX502290"/>
    <x v="8"/>
    <x v="0"/>
    <n v="25.7"/>
    <n v="25.7"/>
    <x v="84"/>
    <d v="2025-03-27T00:00:00"/>
    <x v="1"/>
    <x v="0"/>
    <x v="0"/>
    <x v="0"/>
    <x v="10"/>
    <x v="3"/>
    <x v="12"/>
    <x v="1"/>
  </r>
  <r>
    <s v="TX502291"/>
    <x v="16"/>
    <x v="2"/>
    <n v="65.599999999999994"/>
    <n v="196.79999999999998"/>
    <x v="84"/>
    <d v="2025-04-01T00:00:00"/>
    <x v="1"/>
    <x v="0"/>
    <x v="0"/>
    <x v="0"/>
    <x v="11"/>
    <x v="4"/>
    <x v="12"/>
    <x v="1"/>
  </r>
  <r>
    <s v="TX502292"/>
    <x v="1"/>
    <x v="12"/>
    <n v="52.1"/>
    <n v="208.4"/>
    <x v="84"/>
    <d v="2025-03-27T00:00:00"/>
    <x v="2"/>
    <x v="0"/>
    <x v="2"/>
    <x v="0"/>
    <x v="11"/>
    <x v="3"/>
    <x v="12"/>
    <x v="2"/>
  </r>
  <r>
    <s v="TX502293"/>
    <x v="8"/>
    <x v="0"/>
    <n v="31"/>
    <n v="31"/>
    <x v="84"/>
    <d v="2025-03-27T00:00:00"/>
    <x v="1"/>
    <x v="0"/>
    <x v="1"/>
    <x v="0"/>
    <x v="19"/>
    <x v="3"/>
    <x v="12"/>
    <x v="1"/>
  </r>
  <r>
    <s v="TX502294"/>
    <x v="8"/>
    <x v="0"/>
    <n v="32"/>
    <n v="32"/>
    <x v="84"/>
    <d v="2025-03-28T00:00:00"/>
    <x v="3"/>
    <x v="3"/>
    <x v="1"/>
    <x v="0"/>
    <x v="31"/>
    <x v="1"/>
    <x v="12"/>
    <x v="3"/>
  </r>
  <r>
    <s v="TX502295"/>
    <x v="16"/>
    <x v="12"/>
    <n v="58.3"/>
    <n v="233.2"/>
    <x v="84"/>
    <d v="2025-03-30T00:00:00"/>
    <x v="1"/>
    <x v="1"/>
    <x v="4"/>
    <x v="0"/>
    <x v="20"/>
    <x v="5"/>
    <x v="12"/>
    <x v="1"/>
  </r>
  <r>
    <s v="TX502296"/>
    <x v="8"/>
    <x v="2"/>
    <n v="31"/>
    <n v="93"/>
    <x v="84"/>
    <d v="2025-03-28T00:00:00"/>
    <x v="2"/>
    <x v="2"/>
    <x v="4"/>
    <x v="0"/>
    <x v="13"/>
    <x v="1"/>
    <x v="12"/>
    <x v="2"/>
  </r>
  <r>
    <s v="TX502297"/>
    <x v="3"/>
    <x v="0"/>
    <n v="40.299999999999997"/>
    <n v="40.299999999999997"/>
    <x v="84"/>
    <d v="2025-03-27T00:00:00"/>
    <x v="1"/>
    <x v="1"/>
    <x v="2"/>
    <x v="0"/>
    <x v="54"/>
    <x v="3"/>
    <x v="12"/>
    <x v="1"/>
  </r>
  <r>
    <s v="TX502298"/>
    <x v="6"/>
    <x v="2"/>
    <n v="47.3"/>
    <n v="141.89999999999998"/>
    <x v="84"/>
    <d v="2025-03-28T00:00:00"/>
    <x v="1"/>
    <x v="4"/>
    <x v="2"/>
    <x v="0"/>
    <x v="2"/>
    <x v="1"/>
    <x v="12"/>
    <x v="1"/>
  </r>
  <r>
    <s v="TX502299"/>
    <x v="2"/>
    <x v="0"/>
    <n v="82.8"/>
    <n v="82.8"/>
    <x v="84"/>
    <d v="2025-03-27T00:00:00"/>
    <x v="1"/>
    <x v="0"/>
    <x v="0"/>
    <x v="0"/>
    <x v="2"/>
    <x v="3"/>
    <x v="12"/>
    <x v="1"/>
  </r>
  <r>
    <s v="TX502300"/>
    <x v="8"/>
    <x v="0"/>
    <n v="18.5"/>
    <n v="18.5"/>
    <x v="84"/>
    <d v="2025-04-09T00:00:00"/>
    <x v="2"/>
    <x v="0"/>
    <x v="0"/>
    <x v="0"/>
    <x v="44"/>
    <x v="12"/>
    <x v="12"/>
    <x v="2"/>
  </r>
  <r>
    <s v="TX502301"/>
    <x v="3"/>
    <x v="1"/>
    <n v="60.4"/>
    <n v="120.8"/>
    <x v="84"/>
    <d v="2025-03-27T00:00:00"/>
    <x v="1"/>
    <x v="2"/>
    <x v="0"/>
    <x v="0"/>
    <x v="22"/>
    <x v="3"/>
    <x v="12"/>
    <x v="1"/>
  </r>
  <r>
    <s v="TX502302"/>
    <x v="6"/>
    <x v="9"/>
    <n v="80.2"/>
    <n v="401"/>
    <x v="84"/>
    <d v="2025-04-02T00:00:00"/>
    <x v="1"/>
    <x v="1"/>
    <x v="1"/>
    <x v="0"/>
    <x v="50"/>
    <x v="6"/>
    <x v="12"/>
    <x v="1"/>
  </r>
  <r>
    <s v="TX502303"/>
    <x v="4"/>
    <x v="0"/>
    <n v="41.5"/>
    <n v="41.5"/>
    <x v="84"/>
    <d v="2025-03-28T00:00:00"/>
    <x v="1"/>
    <x v="2"/>
    <x v="0"/>
    <x v="0"/>
    <x v="3"/>
    <x v="1"/>
    <x v="12"/>
    <x v="1"/>
  </r>
  <r>
    <s v="TX502304"/>
    <x v="2"/>
    <x v="1"/>
    <n v="83.9"/>
    <n v="167.8"/>
    <x v="84"/>
    <d v="2025-03-29T00:00:00"/>
    <x v="2"/>
    <x v="0"/>
    <x v="0"/>
    <x v="0"/>
    <x v="3"/>
    <x v="2"/>
    <x v="12"/>
    <x v="2"/>
  </r>
  <r>
    <s v="TX502305"/>
    <x v="8"/>
    <x v="1"/>
    <n v="16.7"/>
    <n v="33.4"/>
    <x v="84"/>
    <d v="2025-03-30T00:00:00"/>
    <x v="2"/>
    <x v="0"/>
    <x v="1"/>
    <x v="0"/>
    <x v="3"/>
    <x v="5"/>
    <x v="12"/>
    <x v="2"/>
  </r>
  <r>
    <s v="TX502306"/>
    <x v="9"/>
    <x v="1"/>
    <n v="72.900000000000006"/>
    <n v="145.80000000000001"/>
    <x v="84"/>
    <d v="2025-03-27T00:00:00"/>
    <x v="1"/>
    <x v="2"/>
    <x v="1"/>
    <x v="0"/>
    <x v="3"/>
    <x v="3"/>
    <x v="12"/>
    <x v="1"/>
  </r>
  <r>
    <s v="TX502307"/>
    <x v="5"/>
    <x v="1"/>
    <n v="50.2"/>
    <n v="100.4"/>
    <x v="84"/>
    <d v="2025-03-28T00:00:00"/>
    <x v="2"/>
    <x v="1"/>
    <x v="2"/>
    <x v="0"/>
    <x v="3"/>
    <x v="1"/>
    <x v="12"/>
    <x v="2"/>
  </r>
  <r>
    <s v="TX502308"/>
    <x v="3"/>
    <x v="1"/>
    <n v="34.200000000000003"/>
    <n v="68.400000000000006"/>
    <x v="84"/>
    <d v="2025-04-05T00:00:00"/>
    <x v="0"/>
    <x v="1"/>
    <x v="0"/>
    <x v="0"/>
    <x v="3"/>
    <x v="14"/>
    <x v="12"/>
    <x v="0"/>
  </r>
  <r>
    <s v="TX502309"/>
    <x v="5"/>
    <x v="1"/>
    <n v="107.9"/>
    <n v="215.8"/>
    <x v="84"/>
    <d v="2025-03-26T00:00:00"/>
    <x v="1"/>
    <x v="1"/>
    <x v="4"/>
    <x v="0"/>
    <x v="3"/>
    <x v="7"/>
    <x v="12"/>
    <x v="1"/>
  </r>
  <r>
    <s v="TX502310"/>
    <x v="0"/>
    <x v="2"/>
    <n v="17.5"/>
    <n v="52.5"/>
    <x v="84"/>
    <d v="2025-03-28T00:00:00"/>
    <x v="1"/>
    <x v="4"/>
    <x v="0"/>
    <x v="0"/>
    <x v="3"/>
    <x v="1"/>
    <x v="12"/>
    <x v="1"/>
  </r>
  <r>
    <s v="TX502311"/>
    <x v="13"/>
    <x v="20"/>
    <n v="44.7"/>
    <n v="670.5"/>
    <x v="84"/>
    <d v="2025-03-27T00:00:00"/>
    <x v="1"/>
    <x v="0"/>
    <x v="1"/>
    <x v="0"/>
    <x v="3"/>
    <x v="3"/>
    <x v="12"/>
    <x v="1"/>
  </r>
  <r>
    <s v="TX502312"/>
    <x v="12"/>
    <x v="13"/>
    <n v="92.7"/>
    <n v="556.20000000000005"/>
    <x v="84"/>
    <d v="2025-03-28T00:00:00"/>
    <x v="2"/>
    <x v="2"/>
    <x v="1"/>
    <x v="0"/>
    <x v="3"/>
    <x v="1"/>
    <x v="12"/>
    <x v="2"/>
  </r>
  <r>
    <s v="TX502313"/>
    <x v="7"/>
    <x v="2"/>
    <n v="48.8"/>
    <n v="146.39999999999998"/>
    <x v="84"/>
    <d v="2025-03-28T00:00:00"/>
    <x v="2"/>
    <x v="2"/>
    <x v="0"/>
    <x v="0"/>
    <x v="3"/>
    <x v="1"/>
    <x v="12"/>
    <x v="2"/>
  </r>
  <r>
    <s v="TX502314"/>
    <x v="4"/>
    <x v="27"/>
    <n v="21.3"/>
    <n v="340.8"/>
    <x v="84"/>
    <d v="2025-03-30T00:00:00"/>
    <x v="2"/>
    <x v="3"/>
    <x v="3"/>
    <x v="0"/>
    <x v="3"/>
    <x v="5"/>
    <x v="12"/>
    <x v="2"/>
  </r>
  <r>
    <s v="TX502315"/>
    <x v="16"/>
    <x v="0"/>
    <n v="52.5"/>
    <n v="52.5"/>
    <x v="84"/>
    <d v="2025-03-27T00:00:00"/>
    <x v="2"/>
    <x v="0"/>
    <x v="0"/>
    <x v="0"/>
    <x v="3"/>
    <x v="3"/>
    <x v="12"/>
    <x v="2"/>
  </r>
  <r>
    <s v="TX502316"/>
    <x v="1"/>
    <x v="1"/>
    <n v="92.4"/>
    <n v="184.8"/>
    <x v="84"/>
    <d v="2025-04-01T00:00:00"/>
    <x v="2"/>
    <x v="0"/>
    <x v="2"/>
    <x v="0"/>
    <x v="3"/>
    <x v="4"/>
    <x v="12"/>
    <x v="2"/>
  </r>
  <r>
    <s v="TX502317"/>
    <x v="4"/>
    <x v="5"/>
    <n v="58.3"/>
    <n v="641.29999999999995"/>
    <x v="84"/>
    <d v="2025-03-28T00:00:00"/>
    <x v="1"/>
    <x v="1"/>
    <x v="2"/>
    <x v="0"/>
    <x v="3"/>
    <x v="1"/>
    <x v="12"/>
    <x v="1"/>
  </r>
  <r>
    <s v="TX502318"/>
    <x v="6"/>
    <x v="44"/>
    <n v="152.6"/>
    <n v="3509.7999999999997"/>
    <x v="85"/>
    <d v="2025-03-29T00:00:00"/>
    <x v="0"/>
    <x v="0"/>
    <x v="0"/>
    <x v="0"/>
    <x v="3"/>
    <x v="1"/>
    <x v="12"/>
    <x v="0"/>
  </r>
  <r>
    <s v="TX502319"/>
    <x v="8"/>
    <x v="1"/>
    <n v="26"/>
    <n v="52"/>
    <x v="85"/>
    <d v="2025-03-27T00:00:00"/>
    <x v="0"/>
    <x v="0"/>
    <x v="1"/>
    <x v="0"/>
    <x v="3"/>
    <x v="7"/>
    <x v="12"/>
    <x v="0"/>
  </r>
  <r>
    <s v="TX502320"/>
    <x v="1"/>
    <x v="12"/>
    <n v="33.1"/>
    <n v="132.4"/>
    <x v="85"/>
    <d v="2025-03-27T00:00:00"/>
    <x v="1"/>
    <x v="2"/>
    <x v="4"/>
    <x v="0"/>
    <x v="5"/>
    <x v="7"/>
    <x v="12"/>
    <x v="1"/>
  </r>
  <r>
    <s v="TX502321"/>
    <x v="18"/>
    <x v="0"/>
    <n v="51.4"/>
    <n v="51.4"/>
    <x v="85"/>
    <d v="2025-03-29T00:00:00"/>
    <x v="2"/>
    <x v="1"/>
    <x v="1"/>
    <x v="0"/>
    <x v="5"/>
    <x v="1"/>
    <x v="12"/>
    <x v="2"/>
  </r>
  <r>
    <s v="TX502322"/>
    <x v="8"/>
    <x v="1"/>
    <n v="30.2"/>
    <n v="60.4"/>
    <x v="85"/>
    <d v="2025-03-28T00:00:00"/>
    <x v="2"/>
    <x v="2"/>
    <x v="2"/>
    <x v="0"/>
    <x v="6"/>
    <x v="3"/>
    <x v="12"/>
    <x v="2"/>
  </r>
  <r>
    <s v="TX502323"/>
    <x v="2"/>
    <x v="13"/>
    <n v="97"/>
    <n v="582"/>
    <x v="85"/>
    <d v="2025-03-31T00:00:00"/>
    <x v="2"/>
    <x v="0"/>
    <x v="2"/>
    <x v="0"/>
    <x v="7"/>
    <x v="5"/>
    <x v="12"/>
    <x v="2"/>
  </r>
  <r>
    <s v="TX502324"/>
    <x v="2"/>
    <x v="0"/>
    <n v="76.900000000000006"/>
    <n v="76.900000000000006"/>
    <x v="85"/>
    <d v="2025-03-28T00:00:00"/>
    <x v="1"/>
    <x v="1"/>
    <x v="2"/>
    <x v="0"/>
    <x v="8"/>
    <x v="3"/>
    <x v="12"/>
    <x v="1"/>
  </r>
  <r>
    <s v="TX502325"/>
    <x v="7"/>
    <x v="13"/>
    <n v="36.1"/>
    <n v="216.60000000000002"/>
    <x v="85"/>
    <d v="2025-03-31T00:00:00"/>
    <x v="2"/>
    <x v="0"/>
    <x v="0"/>
    <x v="0"/>
    <x v="8"/>
    <x v="5"/>
    <x v="12"/>
    <x v="2"/>
  </r>
  <r>
    <s v="TX502326"/>
    <x v="1"/>
    <x v="3"/>
    <n v="34.4"/>
    <n v="240.79999999999998"/>
    <x v="85"/>
    <d v="2025-03-27T00:00:00"/>
    <x v="2"/>
    <x v="2"/>
    <x v="1"/>
    <x v="0"/>
    <x v="11"/>
    <x v="7"/>
    <x v="12"/>
    <x v="2"/>
  </r>
  <r>
    <s v="TX502327"/>
    <x v="1"/>
    <x v="31"/>
    <n v="53.4"/>
    <n v="1495.2"/>
    <x v="85"/>
    <d v="2025-03-29T00:00:00"/>
    <x v="2"/>
    <x v="1"/>
    <x v="0"/>
    <x v="0"/>
    <x v="18"/>
    <x v="1"/>
    <x v="12"/>
    <x v="2"/>
  </r>
  <r>
    <s v="TX502328"/>
    <x v="2"/>
    <x v="0"/>
    <n v="77.599999999999994"/>
    <n v="77.599999999999994"/>
    <x v="85"/>
    <d v="2025-03-28T00:00:00"/>
    <x v="2"/>
    <x v="0"/>
    <x v="1"/>
    <x v="0"/>
    <x v="19"/>
    <x v="3"/>
    <x v="12"/>
    <x v="2"/>
  </r>
  <r>
    <s v="TX502329"/>
    <x v="1"/>
    <x v="2"/>
    <n v="71.7"/>
    <n v="215.10000000000002"/>
    <x v="85"/>
    <d v="2025-03-30T00:00:00"/>
    <x v="2"/>
    <x v="1"/>
    <x v="0"/>
    <x v="0"/>
    <x v="19"/>
    <x v="2"/>
    <x v="12"/>
    <x v="2"/>
  </r>
  <r>
    <s v="TX502330"/>
    <x v="3"/>
    <x v="2"/>
    <n v="80.599999999999994"/>
    <n v="241.79999999999998"/>
    <x v="85"/>
    <d v="2025-03-28T00:00:00"/>
    <x v="1"/>
    <x v="4"/>
    <x v="1"/>
    <x v="0"/>
    <x v="19"/>
    <x v="3"/>
    <x v="12"/>
    <x v="1"/>
  </r>
  <r>
    <s v="TX502331"/>
    <x v="1"/>
    <x v="20"/>
    <n v="70"/>
    <n v="1050"/>
    <x v="85"/>
    <d v="2025-03-29T00:00:00"/>
    <x v="1"/>
    <x v="0"/>
    <x v="0"/>
    <x v="0"/>
    <x v="20"/>
    <x v="1"/>
    <x v="12"/>
    <x v="1"/>
  </r>
  <r>
    <s v="TX502332"/>
    <x v="4"/>
    <x v="13"/>
    <n v="27.3"/>
    <n v="163.80000000000001"/>
    <x v="85"/>
    <d v="2025-03-29T00:00:00"/>
    <x v="2"/>
    <x v="1"/>
    <x v="1"/>
    <x v="0"/>
    <x v="2"/>
    <x v="1"/>
    <x v="12"/>
    <x v="2"/>
  </r>
  <r>
    <s v="TX502333"/>
    <x v="8"/>
    <x v="21"/>
    <n v="37.6"/>
    <n v="526.4"/>
    <x v="85"/>
    <d v="2025-03-29T00:00:00"/>
    <x v="1"/>
    <x v="1"/>
    <x v="0"/>
    <x v="0"/>
    <x v="3"/>
    <x v="1"/>
    <x v="12"/>
    <x v="1"/>
  </r>
  <r>
    <s v="TX502334"/>
    <x v="5"/>
    <x v="2"/>
    <n v="36.6"/>
    <n v="109.80000000000001"/>
    <x v="85"/>
    <d v="2025-03-29T00:00:00"/>
    <x v="2"/>
    <x v="4"/>
    <x v="0"/>
    <x v="0"/>
    <x v="3"/>
    <x v="1"/>
    <x v="12"/>
    <x v="2"/>
  </r>
  <r>
    <s v="TX502335"/>
    <x v="13"/>
    <x v="0"/>
    <n v="55.2"/>
    <n v="55.2"/>
    <x v="85"/>
    <d v="2025-03-29T00:00:00"/>
    <x v="1"/>
    <x v="3"/>
    <x v="0"/>
    <x v="0"/>
    <x v="3"/>
    <x v="1"/>
    <x v="12"/>
    <x v="1"/>
  </r>
  <r>
    <s v="TX502336"/>
    <x v="6"/>
    <x v="9"/>
    <n v="59.9"/>
    <n v="299.5"/>
    <x v="85"/>
    <d v="2025-03-29T00:00:00"/>
    <x v="1"/>
    <x v="0"/>
    <x v="0"/>
    <x v="0"/>
    <x v="3"/>
    <x v="1"/>
    <x v="12"/>
    <x v="1"/>
  </r>
  <r>
    <s v="TX502337"/>
    <x v="6"/>
    <x v="0"/>
    <n v="44"/>
    <n v="44"/>
    <x v="85"/>
    <d v="2025-03-28T00:00:00"/>
    <x v="2"/>
    <x v="2"/>
    <x v="2"/>
    <x v="0"/>
    <x v="3"/>
    <x v="3"/>
    <x v="12"/>
    <x v="2"/>
  </r>
  <r>
    <s v="TX502338"/>
    <x v="9"/>
    <x v="1"/>
    <n v="68.7"/>
    <n v="137.4"/>
    <x v="85"/>
    <d v="2025-03-27T00:00:00"/>
    <x v="1"/>
    <x v="0"/>
    <x v="0"/>
    <x v="0"/>
    <x v="3"/>
    <x v="7"/>
    <x v="12"/>
    <x v="1"/>
  </r>
  <r>
    <s v="TX502339"/>
    <x v="5"/>
    <x v="1"/>
    <n v="61.6"/>
    <n v="123.2"/>
    <x v="85"/>
    <d v="2025-03-31T00:00:00"/>
    <x v="1"/>
    <x v="3"/>
    <x v="1"/>
    <x v="0"/>
    <x v="3"/>
    <x v="5"/>
    <x v="12"/>
    <x v="1"/>
  </r>
  <r>
    <s v="TX502340"/>
    <x v="7"/>
    <x v="3"/>
    <n v="51.8"/>
    <n v="362.59999999999997"/>
    <x v="85"/>
    <d v="2025-03-28T00:00:00"/>
    <x v="1"/>
    <x v="0"/>
    <x v="0"/>
    <x v="0"/>
    <x v="3"/>
    <x v="3"/>
    <x v="12"/>
    <x v="1"/>
  </r>
  <r>
    <s v="TX502341"/>
    <x v="8"/>
    <x v="7"/>
    <n v="46.2"/>
    <n v="462"/>
    <x v="85"/>
    <d v="2025-03-29T00:00:00"/>
    <x v="1"/>
    <x v="1"/>
    <x v="2"/>
    <x v="0"/>
    <x v="3"/>
    <x v="1"/>
    <x v="12"/>
    <x v="1"/>
  </r>
  <r>
    <s v="TX502342"/>
    <x v="0"/>
    <x v="1"/>
    <n v="19.399999999999999"/>
    <n v="38.799999999999997"/>
    <x v="85"/>
    <d v="2025-03-29T00:00:00"/>
    <x v="2"/>
    <x v="1"/>
    <x v="2"/>
    <x v="0"/>
    <x v="6"/>
    <x v="1"/>
    <x v="12"/>
    <x v="2"/>
  </r>
  <r>
    <s v="TX502343"/>
    <x v="11"/>
    <x v="2"/>
    <n v="52.1"/>
    <n v="156.30000000000001"/>
    <x v="85"/>
    <d v="2025-03-30T00:00:00"/>
    <x v="1"/>
    <x v="3"/>
    <x v="3"/>
    <x v="0"/>
    <x v="6"/>
    <x v="2"/>
    <x v="12"/>
    <x v="1"/>
  </r>
  <r>
    <s v="TX502344"/>
    <x v="6"/>
    <x v="0"/>
    <n v="74.900000000000006"/>
    <n v="74.900000000000006"/>
    <x v="85"/>
    <d v="2025-03-29T00:00:00"/>
    <x v="3"/>
    <x v="0"/>
    <x v="0"/>
    <x v="0"/>
    <x v="7"/>
    <x v="1"/>
    <x v="12"/>
    <x v="3"/>
  </r>
  <r>
    <s v="TX502345"/>
    <x v="9"/>
    <x v="3"/>
    <n v="49.6"/>
    <n v="347.2"/>
    <x v="85"/>
    <d v="2025-03-30T00:00:00"/>
    <x v="2"/>
    <x v="4"/>
    <x v="0"/>
    <x v="0"/>
    <x v="8"/>
    <x v="2"/>
    <x v="12"/>
    <x v="2"/>
  </r>
  <r>
    <s v="TX502346"/>
    <x v="16"/>
    <x v="12"/>
    <n v="82.8"/>
    <n v="331.2"/>
    <x v="86"/>
    <d v="2025-03-31T00:00:00"/>
    <x v="2"/>
    <x v="4"/>
    <x v="0"/>
    <x v="0"/>
    <x v="8"/>
    <x v="2"/>
    <x v="12"/>
    <x v="2"/>
  </r>
  <r>
    <s v="TX502347"/>
    <x v="2"/>
    <x v="0"/>
    <n v="97.7"/>
    <n v="97.7"/>
    <x v="86"/>
    <d v="2025-03-29T00:00:00"/>
    <x v="2"/>
    <x v="1"/>
    <x v="0"/>
    <x v="0"/>
    <x v="8"/>
    <x v="3"/>
    <x v="12"/>
    <x v="2"/>
  </r>
  <r>
    <s v="TX502348"/>
    <x v="6"/>
    <x v="9"/>
    <n v="83.6"/>
    <n v="418"/>
    <x v="86"/>
    <d v="2025-03-29T00:00:00"/>
    <x v="2"/>
    <x v="4"/>
    <x v="0"/>
    <x v="0"/>
    <x v="8"/>
    <x v="3"/>
    <x v="12"/>
    <x v="2"/>
  </r>
  <r>
    <s v="TX502349"/>
    <x v="8"/>
    <x v="9"/>
    <n v="23.5"/>
    <n v="117.5"/>
    <x v="86"/>
    <d v="2025-04-01T00:00:00"/>
    <x v="3"/>
    <x v="0"/>
    <x v="0"/>
    <x v="0"/>
    <x v="8"/>
    <x v="5"/>
    <x v="12"/>
    <x v="3"/>
  </r>
  <r>
    <s v="TX502350"/>
    <x v="9"/>
    <x v="2"/>
    <n v="44.6"/>
    <n v="133.80000000000001"/>
    <x v="86"/>
    <d v="2025-03-31T00:00:00"/>
    <x v="2"/>
    <x v="4"/>
    <x v="1"/>
    <x v="0"/>
    <x v="26"/>
    <x v="2"/>
    <x v="12"/>
    <x v="2"/>
  </r>
  <r>
    <s v="TX502351"/>
    <x v="0"/>
    <x v="2"/>
    <n v="20.100000000000001"/>
    <n v="60.300000000000004"/>
    <x v="86"/>
    <d v="2025-03-30T00:00:00"/>
    <x v="2"/>
    <x v="3"/>
    <x v="4"/>
    <x v="0"/>
    <x v="11"/>
    <x v="1"/>
    <x v="12"/>
    <x v="2"/>
  </r>
  <r>
    <s v="TX502352"/>
    <x v="2"/>
    <x v="9"/>
    <n v="153.6"/>
    <n v="768"/>
    <x v="86"/>
    <d v="2025-03-29T00:00:00"/>
    <x v="2"/>
    <x v="1"/>
    <x v="2"/>
    <x v="0"/>
    <x v="53"/>
    <x v="3"/>
    <x v="12"/>
    <x v="2"/>
  </r>
  <r>
    <s v="TX502353"/>
    <x v="1"/>
    <x v="1"/>
    <n v="71.8"/>
    <n v="143.6"/>
    <x v="86"/>
    <d v="2025-04-01T00:00:00"/>
    <x v="2"/>
    <x v="1"/>
    <x v="0"/>
    <x v="0"/>
    <x v="1"/>
    <x v="5"/>
    <x v="12"/>
    <x v="2"/>
  </r>
  <r>
    <s v="TX502354"/>
    <x v="10"/>
    <x v="0"/>
    <n v="64.7"/>
    <n v="64.7"/>
    <x v="86"/>
    <d v="2025-03-30T00:00:00"/>
    <x v="0"/>
    <x v="0"/>
    <x v="1"/>
    <x v="0"/>
    <x v="1"/>
    <x v="1"/>
    <x v="12"/>
    <x v="0"/>
  </r>
  <r>
    <s v="TX502355"/>
    <x v="9"/>
    <x v="8"/>
    <n v="60.4"/>
    <n v="483.2"/>
    <x v="86"/>
    <d v="2025-03-30T00:00:00"/>
    <x v="2"/>
    <x v="3"/>
    <x v="2"/>
    <x v="0"/>
    <x v="2"/>
    <x v="1"/>
    <x v="12"/>
    <x v="2"/>
  </r>
  <r>
    <s v="TX502356"/>
    <x v="6"/>
    <x v="12"/>
    <n v="86"/>
    <n v="344"/>
    <x v="86"/>
    <d v="2025-03-31T00:00:00"/>
    <x v="2"/>
    <x v="2"/>
    <x v="2"/>
    <x v="0"/>
    <x v="22"/>
    <x v="2"/>
    <x v="12"/>
    <x v="2"/>
  </r>
  <r>
    <s v="TX502357"/>
    <x v="12"/>
    <x v="1"/>
    <n v="42.1"/>
    <n v="84.2"/>
    <x v="86"/>
    <d v="2025-03-29T00:00:00"/>
    <x v="2"/>
    <x v="4"/>
    <x v="1"/>
    <x v="0"/>
    <x v="34"/>
    <x v="3"/>
    <x v="12"/>
    <x v="2"/>
  </r>
  <r>
    <s v="TX502358"/>
    <x v="16"/>
    <x v="11"/>
    <n v="51.1"/>
    <n v="459.90000000000003"/>
    <x v="86"/>
    <d v="2025-03-29T00:00:00"/>
    <x v="1"/>
    <x v="2"/>
    <x v="1"/>
    <x v="0"/>
    <x v="3"/>
    <x v="3"/>
    <x v="12"/>
    <x v="1"/>
  </r>
  <r>
    <s v="TX502359"/>
    <x v="9"/>
    <x v="12"/>
    <n v="73.8"/>
    <n v="295.2"/>
    <x v="86"/>
    <d v="2025-03-29T00:00:00"/>
    <x v="1"/>
    <x v="4"/>
    <x v="0"/>
    <x v="0"/>
    <x v="3"/>
    <x v="3"/>
    <x v="12"/>
    <x v="1"/>
  </r>
  <r>
    <s v="TX502360"/>
    <x v="8"/>
    <x v="9"/>
    <n v="27"/>
    <n v="135"/>
    <x v="86"/>
    <d v="2025-03-31T00:00:00"/>
    <x v="2"/>
    <x v="2"/>
    <x v="2"/>
    <x v="0"/>
    <x v="3"/>
    <x v="2"/>
    <x v="12"/>
    <x v="2"/>
  </r>
  <r>
    <s v="TX502361"/>
    <x v="8"/>
    <x v="13"/>
    <n v="60.1"/>
    <n v="360.6"/>
    <x v="86"/>
    <d v="2025-03-29T00:00:00"/>
    <x v="1"/>
    <x v="3"/>
    <x v="0"/>
    <x v="0"/>
    <x v="3"/>
    <x v="3"/>
    <x v="12"/>
    <x v="1"/>
  </r>
  <r>
    <s v="TX502362"/>
    <x v="2"/>
    <x v="3"/>
    <n v="94.1"/>
    <n v="658.69999999999993"/>
    <x v="86"/>
    <d v="2025-03-30T00:00:00"/>
    <x v="2"/>
    <x v="4"/>
    <x v="1"/>
    <x v="0"/>
    <x v="3"/>
    <x v="1"/>
    <x v="12"/>
    <x v="2"/>
  </r>
  <r>
    <s v="TX502363"/>
    <x v="2"/>
    <x v="1"/>
    <n v="124.1"/>
    <n v="248.2"/>
    <x v="86"/>
    <d v="2025-03-28T00:00:00"/>
    <x v="2"/>
    <x v="2"/>
    <x v="3"/>
    <x v="0"/>
    <x v="43"/>
    <x v="7"/>
    <x v="12"/>
    <x v="2"/>
  </r>
  <r>
    <s v="TX502364"/>
    <x v="8"/>
    <x v="12"/>
    <n v="16.899999999999999"/>
    <n v="67.599999999999994"/>
    <x v="86"/>
    <d v="2025-03-31T00:00:00"/>
    <x v="1"/>
    <x v="3"/>
    <x v="0"/>
    <x v="0"/>
    <x v="6"/>
    <x v="2"/>
    <x v="12"/>
    <x v="1"/>
  </r>
  <r>
    <s v="TX502365"/>
    <x v="1"/>
    <x v="0"/>
    <n v="36.9"/>
    <n v="36.9"/>
    <x v="86"/>
    <d v="2025-03-29T00:00:00"/>
    <x v="1"/>
    <x v="0"/>
    <x v="0"/>
    <x v="0"/>
    <x v="6"/>
    <x v="3"/>
    <x v="12"/>
    <x v="1"/>
  </r>
  <r>
    <s v="TX502366"/>
    <x v="9"/>
    <x v="1"/>
    <n v="22.6"/>
    <n v="45.2"/>
    <x v="86"/>
    <d v="2025-04-10T00:00:00"/>
    <x v="2"/>
    <x v="2"/>
    <x v="1"/>
    <x v="0"/>
    <x v="8"/>
    <x v="10"/>
    <x v="12"/>
    <x v="2"/>
  </r>
  <r>
    <s v="TX502367"/>
    <x v="7"/>
    <x v="12"/>
    <n v="35"/>
    <n v="140"/>
    <x v="86"/>
    <d v="2025-04-02T00:00:00"/>
    <x v="1"/>
    <x v="3"/>
    <x v="1"/>
    <x v="0"/>
    <x v="8"/>
    <x v="0"/>
    <x v="12"/>
    <x v="1"/>
  </r>
  <r>
    <s v="TX502368"/>
    <x v="9"/>
    <x v="13"/>
    <n v="63.6"/>
    <n v="381.6"/>
    <x v="86"/>
    <d v="2025-04-04T00:00:00"/>
    <x v="0"/>
    <x v="1"/>
    <x v="2"/>
    <x v="0"/>
    <x v="8"/>
    <x v="6"/>
    <x v="12"/>
    <x v="0"/>
  </r>
  <r>
    <s v="TX502369"/>
    <x v="15"/>
    <x v="12"/>
    <n v="78.599999999999994"/>
    <n v="314.39999999999998"/>
    <x v="86"/>
    <d v="2025-03-29T00:00:00"/>
    <x v="1"/>
    <x v="4"/>
    <x v="1"/>
    <x v="0"/>
    <x v="8"/>
    <x v="3"/>
    <x v="12"/>
    <x v="1"/>
  </r>
  <r>
    <s v="TX502370"/>
    <x v="3"/>
    <x v="1"/>
    <n v="38.5"/>
    <n v="77"/>
    <x v="86"/>
    <d v="2025-03-29T00:00:00"/>
    <x v="1"/>
    <x v="0"/>
    <x v="2"/>
    <x v="0"/>
    <x v="8"/>
    <x v="3"/>
    <x v="12"/>
    <x v="1"/>
  </r>
  <r>
    <s v="TX502371"/>
    <x v="8"/>
    <x v="5"/>
    <n v="71.5"/>
    <n v="786.5"/>
    <x v="86"/>
    <d v="2025-03-29T00:00:00"/>
    <x v="2"/>
    <x v="1"/>
    <x v="4"/>
    <x v="0"/>
    <x v="8"/>
    <x v="3"/>
    <x v="12"/>
    <x v="2"/>
  </r>
  <r>
    <s v="TX502372"/>
    <x v="6"/>
    <x v="12"/>
    <n v="121.4"/>
    <n v="485.6"/>
    <x v="86"/>
    <d v="2025-04-01T00:00:00"/>
    <x v="1"/>
    <x v="1"/>
    <x v="2"/>
    <x v="0"/>
    <x v="17"/>
    <x v="5"/>
    <x v="12"/>
    <x v="1"/>
  </r>
  <r>
    <s v="TX502373"/>
    <x v="11"/>
    <x v="0"/>
    <n v="40.200000000000003"/>
    <n v="40.200000000000003"/>
    <x v="86"/>
    <d v="2025-03-31T00:00:00"/>
    <x v="2"/>
    <x v="0"/>
    <x v="2"/>
    <x v="0"/>
    <x v="11"/>
    <x v="2"/>
    <x v="12"/>
    <x v="2"/>
  </r>
  <r>
    <s v="TX502374"/>
    <x v="5"/>
    <x v="9"/>
    <n v="31.9"/>
    <n v="159.5"/>
    <x v="86"/>
    <d v="2025-03-30T00:00:00"/>
    <x v="2"/>
    <x v="2"/>
    <x v="2"/>
    <x v="0"/>
    <x v="28"/>
    <x v="1"/>
    <x v="12"/>
    <x v="2"/>
  </r>
  <r>
    <s v="TX502375"/>
    <x v="14"/>
    <x v="9"/>
    <n v="15.8"/>
    <n v="79"/>
    <x v="87"/>
    <d v="2025-03-30T00:00:00"/>
    <x v="1"/>
    <x v="3"/>
    <x v="2"/>
    <x v="0"/>
    <x v="21"/>
    <x v="3"/>
    <x v="12"/>
    <x v="1"/>
  </r>
  <r>
    <s v="TX502376"/>
    <x v="10"/>
    <x v="1"/>
    <n v="25.1"/>
    <n v="50.2"/>
    <x v="87"/>
    <d v="2025-03-31T00:00:00"/>
    <x v="0"/>
    <x v="1"/>
    <x v="0"/>
    <x v="0"/>
    <x v="21"/>
    <x v="1"/>
    <x v="12"/>
    <x v="0"/>
  </r>
  <r>
    <s v="TX502377"/>
    <x v="1"/>
    <x v="44"/>
    <n v="38.1"/>
    <n v="876.30000000000007"/>
    <x v="87"/>
    <d v="2025-03-30T00:00:00"/>
    <x v="2"/>
    <x v="4"/>
    <x v="0"/>
    <x v="0"/>
    <x v="1"/>
    <x v="3"/>
    <x v="12"/>
    <x v="2"/>
  </r>
  <r>
    <s v="TX502378"/>
    <x v="3"/>
    <x v="1"/>
    <n v="42.2"/>
    <n v="84.4"/>
    <x v="87"/>
    <d v="2025-03-31T00:00:00"/>
    <x v="2"/>
    <x v="0"/>
    <x v="2"/>
    <x v="0"/>
    <x v="1"/>
    <x v="1"/>
    <x v="12"/>
    <x v="2"/>
  </r>
  <r>
    <s v="TX502379"/>
    <x v="0"/>
    <x v="7"/>
    <n v="12.3"/>
    <n v="123"/>
    <x v="87"/>
    <d v="2025-03-30T00:00:00"/>
    <x v="2"/>
    <x v="4"/>
    <x v="0"/>
    <x v="0"/>
    <x v="2"/>
    <x v="3"/>
    <x v="12"/>
    <x v="2"/>
  </r>
  <r>
    <s v="TX502380"/>
    <x v="7"/>
    <x v="0"/>
    <n v="30.2"/>
    <n v="30.2"/>
    <x v="87"/>
    <d v="2025-03-31T00:00:00"/>
    <x v="2"/>
    <x v="1"/>
    <x v="2"/>
    <x v="0"/>
    <x v="34"/>
    <x v="1"/>
    <x v="12"/>
    <x v="2"/>
  </r>
  <r>
    <s v="TX502381"/>
    <x v="5"/>
    <x v="2"/>
    <n v="25.3"/>
    <n v="75.900000000000006"/>
    <x v="87"/>
    <d v="2025-04-01T00:00:00"/>
    <x v="2"/>
    <x v="2"/>
    <x v="0"/>
    <x v="0"/>
    <x v="3"/>
    <x v="2"/>
    <x v="12"/>
    <x v="2"/>
  </r>
  <r>
    <s v="TX502382"/>
    <x v="8"/>
    <x v="9"/>
    <n v="29.7"/>
    <n v="148.5"/>
    <x v="87"/>
    <d v="2025-03-31T00:00:00"/>
    <x v="1"/>
    <x v="3"/>
    <x v="0"/>
    <x v="0"/>
    <x v="3"/>
    <x v="1"/>
    <x v="12"/>
    <x v="1"/>
  </r>
  <r>
    <s v="TX502383"/>
    <x v="9"/>
    <x v="8"/>
    <n v="32.9"/>
    <n v="263.2"/>
    <x v="87"/>
    <d v="2025-03-30T00:00:00"/>
    <x v="0"/>
    <x v="3"/>
    <x v="2"/>
    <x v="0"/>
    <x v="3"/>
    <x v="3"/>
    <x v="12"/>
    <x v="0"/>
  </r>
  <r>
    <s v="TX502384"/>
    <x v="10"/>
    <x v="1"/>
    <n v="43.6"/>
    <n v="87.2"/>
    <x v="87"/>
    <d v="2025-03-30T00:00:00"/>
    <x v="1"/>
    <x v="1"/>
    <x v="2"/>
    <x v="0"/>
    <x v="3"/>
    <x v="3"/>
    <x v="12"/>
    <x v="1"/>
  </r>
  <r>
    <s v="TX502385"/>
    <x v="15"/>
    <x v="12"/>
    <n v="78.400000000000006"/>
    <n v="313.60000000000002"/>
    <x v="87"/>
    <d v="2025-03-30T00:00:00"/>
    <x v="1"/>
    <x v="2"/>
    <x v="0"/>
    <x v="0"/>
    <x v="3"/>
    <x v="3"/>
    <x v="12"/>
    <x v="1"/>
  </r>
  <r>
    <s v="TX502386"/>
    <x v="6"/>
    <x v="1"/>
    <n v="56.5"/>
    <n v="113"/>
    <x v="87"/>
    <d v="2025-04-02T00:00:00"/>
    <x v="1"/>
    <x v="1"/>
    <x v="1"/>
    <x v="0"/>
    <x v="3"/>
    <x v="5"/>
    <x v="12"/>
    <x v="1"/>
  </r>
  <r>
    <s v="TX502387"/>
    <x v="16"/>
    <x v="0"/>
    <n v="36.700000000000003"/>
    <n v="36.700000000000003"/>
    <x v="87"/>
    <d v="2025-03-30T00:00:00"/>
    <x v="2"/>
    <x v="0"/>
    <x v="2"/>
    <x v="0"/>
    <x v="3"/>
    <x v="3"/>
    <x v="12"/>
    <x v="2"/>
  </r>
  <r>
    <s v="TX502388"/>
    <x v="2"/>
    <x v="12"/>
    <n v="103.6"/>
    <n v="414.4"/>
    <x v="87"/>
    <d v="2025-04-09T00:00:00"/>
    <x v="1"/>
    <x v="4"/>
    <x v="2"/>
    <x v="0"/>
    <x v="3"/>
    <x v="11"/>
    <x v="12"/>
    <x v="1"/>
  </r>
  <r>
    <s v="TX502389"/>
    <x v="8"/>
    <x v="13"/>
    <n v="16.2"/>
    <n v="97.199999999999989"/>
    <x v="87"/>
    <d v="2025-04-02T00:00:00"/>
    <x v="1"/>
    <x v="1"/>
    <x v="2"/>
    <x v="0"/>
    <x v="6"/>
    <x v="5"/>
    <x v="12"/>
    <x v="1"/>
  </r>
  <r>
    <s v="TX502390"/>
    <x v="8"/>
    <x v="1"/>
    <n v="20.2"/>
    <n v="40.4"/>
    <x v="87"/>
    <d v="2025-03-30T00:00:00"/>
    <x v="2"/>
    <x v="0"/>
    <x v="0"/>
    <x v="0"/>
    <x v="6"/>
    <x v="3"/>
    <x v="12"/>
    <x v="2"/>
  </r>
  <r>
    <s v="TX502391"/>
    <x v="11"/>
    <x v="1"/>
    <n v="26.9"/>
    <n v="53.8"/>
    <x v="87"/>
    <d v="2025-03-31T00:00:00"/>
    <x v="2"/>
    <x v="2"/>
    <x v="0"/>
    <x v="0"/>
    <x v="6"/>
    <x v="1"/>
    <x v="12"/>
    <x v="2"/>
  </r>
  <r>
    <s v="TX502392"/>
    <x v="1"/>
    <x v="1"/>
    <n v="82.4"/>
    <n v="164.8"/>
    <x v="87"/>
    <d v="2025-04-01T00:00:00"/>
    <x v="0"/>
    <x v="0"/>
    <x v="0"/>
    <x v="0"/>
    <x v="7"/>
    <x v="2"/>
    <x v="12"/>
    <x v="0"/>
  </r>
  <r>
    <s v="TX502393"/>
    <x v="2"/>
    <x v="1"/>
    <n v="117.8"/>
    <n v="235.6"/>
    <x v="87"/>
    <d v="2025-03-31T00:00:00"/>
    <x v="1"/>
    <x v="1"/>
    <x v="2"/>
    <x v="0"/>
    <x v="8"/>
    <x v="1"/>
    <x v="12"/>
    <x v="1"/>
  </r>
  <r>
    <s v="TX502394"/>
    <x v="11"/>
    <x v="12"/>
    <n v="36.700000000000003"/>
    <n v="146.80000000000001"/>
    <x v="87"/>
    <d v="2025-03-30T00:00:00"/>
    <x v="1"/>
    <x v="1"/>
    <x v="0"/>
    <x v="0"/>
    <x v="8"/>
    <x v="3"/>
    <x v="12"/>
    <x v="1"/>
  </r>
  <r>
    <s v="TX502395"/>
    <x v="17"/>
    <x v="2"/>
    <n v="46.8"/>
    <n v="140.39999999999998"/>
    <x v="87"/>
    <d v="2025-03-30T00:00:00"/>
    <x v="1"/>
    <x v="4"/>
    <x v="2"/>
    <x v="0"/>
    <x v="10"/>
    <x v="3"/>
    <x v="12"/>
    <x v="1"/>
  </r>
  <r>
    <s v="TX502396"/>
    <x v="3"/>
    <x v="0"/>
    <n v="61.4"/>
    <n v="61.4"/>
    <x v="87"/>
    <d v="2025-03-30T00:00:00"/>
    <x v="1"/>
    <x v="1"/>
    <x v="0"/>
    <x v="0"/>
    <x v="10"/>
    <x v="3"/>
    <x v="12"/>
    <x v="1"/>
  </r>
  <r>
    <s v="TX502397"/>
    <x v="15"/>
    <x v="1"/>
    <n v="22.9"/>
    <n v="45.8"/>
    <x v="87"/>
    <d v="2025-03-30T00:00:00"/>
    <x v="1"/>
    <x v="0"/>
    <x v="0"/>
    <x v="0"/>
    <x v="11"/>
    <x v="3"/>
    <x v="12"/>
    <x v="1"/>
  </r>
  <r>
    <s v="TX502398"/>
    <x v="10"/>
    <x v="1"/>
    <n v="22.1"/>
    <n v="44.2"/>
    <x v="87"/>
    <d v="2025-03-30T00:00:00"/>
    <x v="2"/>
    <x v="4"/>
    <x v="0"/>
    <x v="0"/>
    <x v="11"/>
    <x v="3"/>
    <x v="12"/>
    <x v="2"/>
  </r>
  <r>
    <s v="TX502399"/>
    <x v="12"/>
    <x v="1"/>
    <n v="31"/>
    <n v="62"/>
    <x v="87"/>
    <d v="2025-03-31T00:00:00"/>
    <x v="2"/>
    <x v="2"/>
    <x v="0"/>
    <x v="0"/>
    <x v="18"/>
    <x v="1"/>
    <x v="12"/>
    <x v="2"/>
  </r>
  <r>
    <s v="TX502400"/>
    <x v="18"/>
    <x v="1"/>
    <n v="84.2"/>
    <n v="168.4"/>
    <x v="87"/>
    <d v="2025-03-31T00:00:00"/>
    <x v="1"/>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3689E6-BE9F-4E93-BDE3-665397CE085D}" name="KPI card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E4" firstHeaderRow="0" firstDataRow="1" firstDataCol="0"/>
  <pivotFields count="18">
    <pivotField dataField="1" compact="0" outline="0" showAll="0"/>
    <pivotField compact="0" outline="0" showAll="0"/>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dataField="1"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pivotField compact="0" outline="0" showAll="0">
      <items count="6">
        <item x="0"/>
        <item h="1" x="3"/>
        <item h="1" x="4"/>
        <item h="1" x="2"/>
        <item h="1" x="1"/>
        <item t="default"/>
      </items>
    </pivotField>
    <pivotField dataField="1" compact="0" outline="0" showAll="0"/>
    <pivotField compact="0" outline="0" showAll="0"/>
    <pivotField compact="0" outline="0" showAll="0"/>
    <pivotField dataField="1" compact="0" outline="0" showAll="0"/>
    <pivotField compact="0" outline="0" showAll="0"/>
    <pivotField compact="0" outline="0" showAll="0">
      <items count="5">
        <item x="2"/>
        <item x="1"/>
        <item x="3"/>
        <item x="0"/>
        <item t="default"/>
      </items>
    </pivotField>
    <pivotField compact="0" outline="0" subtotalTop="0" showAll="0">
      <items count="8">
        <item x="0"/>
        <item x="1"/>
        <item x="2"/>
        <item x="4"/>
        <item x="3"/>
        <item x="5"/>
        <item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1" numFmtId="2"/>
    <dataField name="Average of Days to Deliver" fld="12" subtotal="average" baseField="0"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3DA21F-4004-41CB-8F3A-61BB39F11A9B}" name="KPI card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E4" firstHeaderRow="0" firstDataRow="1" firstDataCol="0"/>
  <pivotFields count="18">
    <pivotField dataField="1" compact="0" outline="0" showAll="0"/>
    <pivotField compact="0" outline="0" showAll="0"/>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dataField="1"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pivotField compact="0" outline="0" showAll="0">
      <items count="6">
        <item x="0"/>
        <item x="3"/>
        <item x="4"/>
        <item x="2"/>
        <item x="1"/>
        <item t="default"/>
      </items>
    </pivotField>
    <pivotField dataField="1" compact="0" outline="0" showAll="0"/>
    <pivotField compact="0" outline="0" showAll="0"/>
    <pivotField compact="0" outline="0" showAll="0"/>
    <pivotField dataField="1" compact="0" outline="0" showAll="0"/>
    <pivotField compact="0" outline="0" showAll="0"/>
    <pivotField compact="0" outline="0" showAll="0">
      <items count="5">
        <item x="2"/>
        <item x="1"/>
        <item x="3"/>
        <item x="0"/>
        <item t="default"/>
      </items>
    </pivotField>
    <pivotField compact="0" outline="0" subtotalTop="0" showAll="0">
      <items count="8">
        <item x="0"/>
        <item x="1"/>
        <item x="2"/>
        <item x="4"/>
        <item x="3"/>
        <item x="5"/>
        <item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1" numFmtId="2"/>
    <dataField name="Average of Days to Deliver" fld="12" subtotal="average" baseField="0"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FE80B8-42B3-4461-8AC6-6EB9E1C9CAAA}" name="Trend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1">
  <location ref="A3:C17" firstHeaderRow="0" firstDataRow="1" firstDataCol="1"/>
  <pivotFields count="18">
    <pivotField compact="0" outline="0" showAll="0"/>
    <pivotField compact="0" outline="0" showAll="0"/>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dataField="1"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pivotField compact="0" outline="0" showAll="0">
      <items count="6">
        <item x="0"/>
        <item x="3"/>
        <item x="4"/>
        <item x="2"/>
        <item x="1"/>
        <item t="default"/>
      </items>
    </pivotField>
    <pivotField compact="0" outline="0" showAll="0"/>
    <pivotField compact="0" outline="0" showAll="0"/>
    <pivotField compact="0" outline="0" showAll="0"/>
    <pivotField compact="0" outline="0" showAll="0"/>
    <pivotField axis="axisRow" compact="0" outline="0" showAll="0">
      <items count="14">
        <item x="0"/>
        <item x="1"/>
        <item x="2"/>
        <item x="3"/>
        <item x="4"/>
        <item x="5"/>
        <item x="6"/>
        <item x="7"/>
        <item x="8"/>
        <item x="9"/>
        <item x="10"/>
        <item x="11"/>
        <item x="12"/>
        <item t="default"/>
      </items>
    </pivotField>
    <pivotField compact="0" outline="0" showAll="0">
      <items count="5">
        <item x="2"/>
        <item x="1"/>
        <item x="3"/>
        <item x="0"/>
        <item t="default"/>
      </items>
    </pivotField>
    <pivotField compact="0" outline="0" subtotalTop="0" showAll="0">
      <items count="8">
        <item x="0"/>
        <item x="1"/>
        <item x="2"/>
        <item x="4"/>
        <item x="3"/>
        <item x="5"/>
        <item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9A6F03-283C-41E3-A517-9BF260F26376}" name="Customer preferance"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F10" firstHeaderRow="1" firstDataRow="2" firstDataCol="1"/>
  <pivotFields count="18">
    <pivotField compact="0" outline="0" showAll="0"/>
    <pivotField compact="0" outline="0" showAll="0"/>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axis="axisRow" compact="0" outline="0" showAll="0">
      <items count="6">
        <item x="0"/>
        <item x="3"/>
        <item x="4"/>
        <item x="2"/>
        <item x="1"/>
        <item t="default"/>
      </items>
    </pivotField>
    <pivotField compact="0" outline="0" showAll="0"/>
    <pivotField compact="0" outline="0" showAll="0"/>
    <pivotField compact="0" outline="0" showAll="0"/>
    <pivotField compact="0" outline="0" showAll="0"/>
    <pivotField compact="0" outline="0" showAll="0">
      <items count="14">
        <item x="0"/>
        <item x="1"/>
        <item x="2"/>
        <item x="3"/>
        <item x="4"/>
        <item x="5"/>
        <item x="6"/>
        <item x="7"/>
        <item x="8"/>
        <item x="9"/>
        <item x="10"/>
        <item x="11"/>
        <item x="12"/>
        <item t="default"/>
      </items>
    </pivotField>
    <pivotField axis="axisCol" compact="0" outline="0" showAll="0">
      <items count="5">
        <item x="2"/>
        <item x="1"/>
        <item x="3"/>
        <item x="0"/>
        <item t="default"/>
      </items>
    </pivotField>
    <pivotField compact="0" outline="0" subtotalTop="0" showAll="0">
      <items count="8">
        <item x="0"/>
        <item x="1"/>
        <item x="2"/>
        <item x="4"/>
        <item x="3"/>
        <item x="5"/>
        <item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Quantity" fld="2" showDataAs="percentOfTotal" baseField="0" baseItem="0" numFmtId="1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B81D4B-9AB8-499C-9C7A-A3DC9971A0E5}" name="How many bought"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6">
  <location ref="A3:B11" firstHeaderRow="1" firstDataRow="1" firstDataCol="1"/>
  <pivotFields count="18">
    <pivotField dataField="1" compact="0" outline="0" showAll="0"/>
    <pivotField compact="0" outline="0" showAll="0"/>
    <pivotField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compact="0" outline="0" showAll="0">
      <items count="6">
        <item x="0"/>
        <item x="3"/>
        <item x="4"/>
        <item x="2"/>
        <item x="1"/>
        <item t="default"/>
      </items>
    </pivotField>
    <pivotField compact="0" outline="0" showAll="0"/>
    <pivotField compact="0" outline="0" showAll="0"/>
    <pivotField compact="0" outline="0" showAll="0"/>
    <pivotField compact="0" outline="0" showAll="0"/>
    <pivotField compact="0" outline="0" showAll="0">
      <items count="14">
        <item x="0"/>
        <item x="1"/>
        <item x="2"/>
        <item x="3"/>
        <item x="4"/>
        <item x="5"/>
        <item x="6"/>
        <item x="7"/>
        <item x="8"/>
        <item x="9"/>
        <item x="10"/>
        <item x="11"/>
        <item x="12"/>
        <item t="default"/>
      </items>
    </pivotField>
    <pivotField compact="0" outline="0" showAll="0">
      <items count="5">
        <item x="2"/>
        <item x="1"/>
        <item x="3"/>
        <item x="0"/>
        <item t="default"/>
      </items>
    </pivotField>
    <pivotField axis="axisRow" compact="0" outline="0" subtotalTop="0" showAll="0">
      <items count="8">
        <item x="0"/>
        <item x="1"/>
        <item x="2"/>
        <item x="4"/>
        <item x="3"/>
        <item n="6 To 10" sd="0" x="5"/>
        <item n="More than 10"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2">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D45F682-0AAF-4B51-98AB-A4ED9C4A9042}" name="Popular prod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4">
  <location ref="A3:F25" firstHeaderRow="1" firstDataRow="2" firstDataCol="1"/>
  <pivotFields count="18">
    <pivotField compact="0" outline="0" showAll="0"/>
    <pivotField axis="axisRow" compact="0" outline="0"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2">
            <reference field="4294967294" count="1" selected="0">
              <x v="0"/>
            </reference>
            <reference field="14" count="1" selected="0">
              <x v="0"/>
            </reference>
          </references>
        </pivotArea>
      </autoSortScope>
    </pivotField>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compact="0" outline="0" showAll="0">
      <items count="6">
        <item x="0"/>
        <item x="3"/>
        <item x="4"/>
        <item x="2"/>
        <item x="1"/>
        <item t="default"/>
      </items>
    </pivotField>
    <pivotField compact="0" outline="0" showAll="0"/>
    <pivotField compact="0" outline="0" showAll="0"/>
    <pivotField compact="0" outline="0" showAll="0"/>
    <pivotField compact="0" outline="0" showAll="0"/>
    <pivotField compact="0" outline="0" showAll="0">
      <items count="14">
        <item x="0"/>
        <item x="1"/>
        <item x="2"/>
        <item x="3"/>
        <item x="4"/>
        <item x="5"/>
        <item x="6"/>
        <item x="7"/>
        <item x="8"/>
        <item x="9"/>
        <item x="10"/>
        <item x="11"/>
        <item x="12"/>
        <item t="default"/>
      </items>
    </pivotField>
    <pivotField axis="axisCol" compact="0" outline="0" showAll="0">
      <items count="5">
        <item x="2"/>
        <item x="1"/>
        <item x="3"/>
        <item x="0"/>
        <item t="default"/>
      </items>
    </pivotField>
    <pivotField compact="0" outline="0" subtotalTop="0" showAll="0">
      <items count="8">
        <item x="0"/>
        <item x="1"/>
        <item x="2"/>
        <item x="4"/>
        <item x="3"/>
        <item n="6 To 10" sd="0" x="5"/>
        <item n="More than 10"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1"/>
  </rowFields>
  <rowItems count="21">
    <i>
      <x v="18"/>
    </i>
    <i>
      <x v="6"/>
    </i>
    <i>
      <x v="13"/>
    </i>
    <i>
      <x v="16"/>
    </i>
    <i>
      <x v="1"/>
    </i>
    <i>
      <x v="14"/>
    </i>
    <i>
      <x v="4"/>
    </i>
    <i>
      <x v="12"/>
    </i>
    <i>
      <x v="11"/>
    </i>
    <i>
      <x v="5"/>
    </i>
    <i>
      <x v="2"/>
    </i>
    <i>
      <x v="8"/>
    </i>
    <i>
      <x v="9"/>
    </i>
    <i>
      <x v="3"/>
    </i>
    <i>
      <x v="19"/>
    </i>
    <i>
      <x v="10"/>
    </i>
    <i>
      <x v="15"/>
    </i>
    <i>
      <x v="17"/>
    </i>
    <i>
      <x/>
    </i>
    <i>
      <x v="7"/>
    </i>
    <i t="grand">
      <x/>
    </i>
  </rowItems>
  <colFields count="1">
    <field x="14"/>
  </colFields>
  <colItems count="5">
    <i>
      <x/>
    </i>
    <i>
      <x v="1"/>
    </i>
    <i>
      <x v="2"/>
    </i>
    <i>
      <x v="3"/>
    </i>
    <i t="grand">
      <x/>
    </i>
  </colItems>
  <dataFields count="1">
    <dataField name="Sum of Quantity" fld="2" baseField="0" baseItem="0"/>
  </dataFields>
  <chartFormats count="9">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2">
          <reference field="4294967294" count="1" selected="0">
            <x v="0"/>
          </reference>
          <reference field="14" count="1" selected="0">
            <x v="1"/>
          </reference>
        </references>
      </pivotArea>
    </chartFormat>
    <chartFormat chart="14" format="4" series="1">
      <pivotArea type="data" outline="0" fieldPosition="0">
        <references count="2">
          <reference field="4294967294" count="1" selected="0">
            <x v="0"/>
          </reference>
          <reference field="14" count="1" selected="0">
            <x v="2"/>
          </reference>
        </references>
      </pivotArea>
    </chartFormat>
    <chartFormat chart="14" format="5" series="1">
      <pivotArea type="data" outline="0" fieldPosition="0">
        <references count="2">
          <reference field="4294967294" count="1" selected="0">
            <x v="0"/>
          </reference>
          <reference field="14" count="1" selected="0">
            <x v="3"/>
          </reference>
        </references>
      </pivotArea>
    </chartFormat>
    <chartFormat chart="19" format="10" series="1">
      <pivotArea type="data" outline="0" fieldPosition="0">
        <references count="2">
          <reference field="4294967294" count="1" selected="0">
            <x v="0"/>
          </reference>
          <reference field="14" count="1" selected="0">
            <x v="0"/>
          </reference>
        </references>
      </pivotArea>
    </chartFormat>
    <chartFormat chart="19" format="11" series="1">
      <pivotArea type="data" outline="0" fieldPosition="0">
        <references count="2">
          <reference field="4294967294" count="1" selected="0">
            <x v="0"/>
          </reference>
          <reference field="14" count="1" selected="0">
            <x v="1"/>
          </reference>
        </references>
      </pivotArea>
    </chartFormat>
    <chartFormat chart="19" format="12" series="1">
      <pivotArea type="data" outline="0" fieldPosition="0">
        <references count="2">
          <reference field="4294967294" count="1" selected="0">
            <x v="0"/>
          </reference>
          <reference field="14" count="1" selected="0">
            <x v="2"/>
          </reference>
        </references>
      </pivotArea>
    </chartFormat>
    <chartFormat chart="19" format="13" series="1">
      <pivotArea type="data" outline="0" fieldPosition="0">
        <references count="2">
          <reference field="4294967294" count="1" selected="0">
            <x v="0"/>
          </reference>
          <reference field="14" count="1" selected="0">
            <x v="3"/>
          </reference>
        </references>
      </pivotArea>
    </chartFormat>
    <chartFormat chart="14" format="7" series="1">
      <pivotArea type="data" outline="0" fieldPosition="0">
        <references count="2">
          <reference field="4294967294" count="1" selected="0">
            <x v="0"/>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7F715C-BB65-41F4-90CC-495E2A5FCF80}" name="Gender split"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2">
  <location ref="A3:B8" firstHeaderRow="1" firstDataRow="1" firstDataCol="1"/>
  <pivotFields count="18">
    <pivotField compact="0" outline="0" showAll="0"/>
    <pivotField compact="0" outline="0"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2">
            <reference field="4294967294" count="1" selected="0">
              <x v="0"/>
            </reference>
            <reference field="14" count="1" selected="0">
              <x v="0"/>
            </reference>
          </references>
        </pivotArea>
      </autoSortScope>
    </pivotField>
    <pivotField dataField="1"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compact="0" outline="0" showAll="0">
      <items count="6">
        <item x="0"/>
        <item x="3"/>
        <item x="4"/>
        <item x="2"/>
        <item x="1"/>
        <item t="default"/>
      </items>
    </pivotField>
    <pivotField compact="0" outline="0" showAll="0"/>
    <pivotField compact="0" outline="0" showAll="0"/>
    <pivotField compact="0" outline="0" showAll="0"/>
    <pivotField compact="0" outline="0" showAll="0"/>
    <pivotField compact="0" outline="0" showAll="0">
      <items count="14">
        <item x="0"/>
        <item x="1"/>
        <item x="2"/>
        <item x="3"/>
        <item x="4"/>
        <item x="5"/>
        <item x="6"/>
        <item x="7"/>
        <item x="8"/>
        <item x="9"/>
        <item x="10"/>
        <item x="11"/>
        <item x="12"/>
        <item t="default"/>
      </items>
    </pivotField>
    <pivotField axis="axisRow" compact="0" outline="0" showAll="0">
      <items count="5">
        <item x="2"/>
        <item x="1"/>
        <item x="3"/>
        <item x="0"/>
        <item t="default"/>
      </items>
    </pivotField>
    <pivotField compact="0" outline="0" subtotalTop="0" showAll="0">
      <items count="8">
        <item x="0"/>
        <item x="1"/>
        <item x="2"/>
        <item x="4"/>
        <item x="3"/>
        <item n="6 To 10" sd="0" x="5"/>
        <item n="More than 10"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14"/>
  </rowFields>
  <rowItems count="5">
    <i>
      <x/>
    </i>
    <i>
      <x v="1"/>
    </i>
    <i>
      <x v="2"/>
    </i>
    <i>
      <x v="3"/>
    </i>
    <i t="grand">
      <x/>
    </i>
  </rowItems>
  <colItems count="1">
    <i/>
  </colItems>
  <dataFields count="1">
    <dataField name="Sum of Quantity" fld="2" baseField="0" baseItem="0"/>
  </dataFields>
  <chartFormats count="26">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2">
          <reference field="4294967294" count="1" selected="0">
            <x v="0"/>
          </reference>
          <reference field="14" count="1" selected="0">
            <x v="1"/>
          </reference>
        </references>
      </pivotArea>
    </chartFormat>
    <chartFormat chart="14" format="4" series="1">
      <pivotArea type="data" outline="0" fieldPosition="0">
        <references count="2">
          <reference field="4294967294" count="1" selected="0">
            <x v="0"/>
          </reference>
          <reference field="14" count="1" selected="0">
            <x v="2"/>
          </reference>
        </references>
      </pivotArea>
    </chartFormat>
    <chartFormat chart="14" format="5" series="1">
      <pivotArea type="data" outline="0" fieldPosition="0">
        <references count="2">
          <reference field="4294967294" count="1" selected="0">
            <x v="0"/>
          </reference>
          <reference field="14" count="1" selected="0">
            <x v="3"/>
          </reference>
        </references>
      </pivotArea>
    </chartFormat>
    <chartFormat chart="18" format="6" series="1">
      <pivotArea type="data" outline="0" fieldPosition="0">
        <references count="2">
          <reference field="4294967294" count="1" selected="0">
            <x v="0"/>
          </reference>
          <reference field="14" count="1" selected="0">
            <x v="0"/>
          </reference>
        </references>
      </pivotArea>
    </chartFormat>
    <chartFormat chart="18" format="7" series="1">
      <pivotArea type="data" outline="0" fieldPosition="0">
        <references count="2">
          <reference field="4294967294" count="1" selected="0">
            <x v="0"/>
          </reference>
          <reference field="14" count="1" selected="0">
            <x v="1"/>
          </reference>
        </references>
      </pivotArea>
    </chartFormat>
    <chartFormat chart="18" format="8" series="1">
      <pivotArea type="data" outline="0" fieldPosition="0">
        <references count="2">
          <reference field="4294967294" count="1" selected="0">
            <x v="0"/>
          </reference>
          <reference field="14" count="1" selected="0">
            <x v="2"/>
          </reference>
        </references>
      </pivotArea>
    </chartFormat>
    <chartFormat chart="18" format="9" series="1">
      <pivotArea type="data" outline="0" fieldPosition="0">
        <references count="2">
          <reference field="4294967294" count="1" selected="0">
            <x v="0"/>
          </reference>
          <reference field="14" count="1" selected="0">
            <x v="3"/>
          </reference>
        </references>
      </pivotArea>
    </chartFormat>
    <chartFormat chart="19" format="10" series="1">
      <pivotArea type="data" outline="0" fieldPosition="0">
        <references count="2">
          <reference field="4294967294" count="1" selected="0">
            <x v="0"/>
          </reference>
          <reference field="14" count="1" selected="0">
            <x v="0"/>
          </reference>
        </references>
      </pivotArea>
    </chartFormat>
    <chartFormat chart="19" format="11" series="1">
      <pivotArea type="data" outline="0" fieldPosition="0">
        <references count="2">
          <reference field="4294967294" count="1" selected="0">
            <x v="0"/>
          </reference>
          <reference field="14" count="1" selected="0">
            <x v="1"/>
          </reference>
        </references>
      </pivotArea>
    </chartFormat>
    <chartFormat chart="19" format="12" series="1">
      <pivotArea type="data" outline="0" fieldPosition="0">
        <references count="2">
          <reference field="4294967294" count="1" selected="0">
            <x v="0"/>
          </reference>
          <reference field="14" count="1" selected="0">
            <x v="2"/>
          </reference>
        </references>
      </pivotArea>
    </chartFormat>
    <chartFormat chart="19" format="13" series="1">
      <pivotArea type="data" outline="0" fieldPosition="0">
        <references count="2">
          <reference field="4294967294" count="1" selected="0">
            <x v="0"/>
          </reference>
          <reference field="14" count="1" selected="0">
            <x v="3"/>
          </reference>
        </references>
      </pivotArea>
    </chartFormat>
    <chartFormat chart="22" format="0" series="1">
      <pivotArea type="data" outline="0" fieldPosition="0">
        <references count="2">
          <reference field="4294967294" count="1" selected="0">
            <x v="0"/>
          </reference>
          <reference field="14" count="1" selected="0">
            <x v="0"/>
          </reference>
        </references>
      </pivotArea>
    </chartFormat>
    <chartFormat chart="22" format="1" series="1">
      <pivotArea type="data" outline="0" fieldPosition="0">
        <references count="2">
          <reference field="4294967294" count="1" selected="0">
            <x v="0"/>
          </reference>
          <reference field="14" count="1" selected="0">
            <x v="1"/>
          </reference>
        </references>
      </pivotArea>
    </chartFormat>
    <chartFormat chart="22" format="2" series="1">
      <pivotArea type="data" outline="0" fieldPosition="0">
        <references count="2">
          <reference field="4294967294" count="1" selected="0">
            <x v="0"/>
          </reference>
          <reference field="14" count="1" selected="0">
            <x v="2"/>
          </reference>
        </references>
      </pivotArea>
    </chartFormat>
    <chartFormat chart="22" format="3" series="1">
      <pivotArea type="data" outline="0" fieldPosition="0">
        <references count="2">
          <reference field="4294967294" count="1" selected="0">
            <x v="0"/>
          </reference>
          <reference field="14" count="1" selected="0">
            <x v="3"/>
          </reference>
        </references>
      </pivotArea>
    </chartFormat>
    <chartFormat chart="27" format="0" series="1">
      <pivotArea type="data" outline="0" fieldPosition="0">
        <references count="1">
          <reference field="4294967294" count="1" selected="0">
            <x v="0"/>
          </reference>
        </references>
      </pivotArea>
    </chartFormat>
    <chartFormat chart="27" format="1">
      <pivotArea type="data" outline="0" fieldPosition="0">
        <references count="2">
          <reference field="4294967294" count="1" selected="0">
            <x v="0"/>
          </reference>
          <reference field="14" count="1" selected="0">
            <x v="0"/>
          </reference>
        </references>
      </pivotArea>
    </chartFormat>
    <chartFormat chart="27" format="2">
      <pivotArea type="data" outline="0" fieldPosition="0">
        <references count="2">
          <reference field="4294967294" count="1" selected="0">
            <x v="0"/>
          </reference>
          <reference field="14" count="1" selected="0">
            <x v="3"/>
          </reference>
        </references>
      </pivotArea>
    </chartFormat>
    <chartFormat chart="27" format="3">
      <pivotArea type="data" outline="0" fieldPosition="0">
        <references count="2">
          <reference field="4294967294" count="1" selected="0">
            <x v="0"/>
          </reference>
          <reference field="14" count="1" selected="0">
            <x v="2"/>
          </reference>
        </references>
      </pivotArea>
    </chartFormat>
    <chartFormat chart="27" format="4">
      <pivotArea type="data" outline="0" fieldPosition="0">
        <references count="2">
          <reference field="4294967294" count="1" selected="0">
            <x v="0"/>
          </reference>
          <reference field="14" count="1" selected="0">
            <x v="1"/>
          </reference>
        </references>
      </pivotArea>
    </chartFormat>
    <chartFormat chart="29" format="10" series="1">
      <pivotArea type="data" outline="0" fieldPosition="0">
        <references count="1">
          <reference field="4294967294" count="1" selected="0">
            <x v="0"/>
          </reference>
        </references>
      </pivotArea>
    </chartFormat>
    <chartFormat chart="29" format="11">
      <pivotArea type="data" outline="0" fieldPosition="0">
        <references count="2">
          <reference field="4294967294" count="1" selected="0">
            <x v="0"/>
          </reference>
          <reference field="14" count="1" selected="0">
            <x v="0"/>
          </reference>
        </references>
      </pivotArea>
    </chartFormat>
    <chartFormat chart="29" format="12">
      <pivotArea type="data" outline="0" fieldPosition="0">
        <references count="2">
          <reference field="4294967294" count="1" selected="0">
            <x v="0"/>
          </reference>
          <reference field="14" count="1" selected="0">
            <x v="1"/>
          </reference>
        </references>
      </pivotArea>
    </chartFormat>
    <chartFormat chart="29" format="13">
      <pivotArea type="data" outline="0" fieldPosition="0">
        <references count="2">
          <reference field="4294967294" count="1" selected="0">
            <x v="0"/>
          </reference>
          <reference field="14" count="1" selected="0">
            <x v="2"/>
          </reference>
        </references>
      </pivotArea>
    </chartFormat>
    <chartFormat chart="29" format="1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F8EBDF-916D-4C12-9B87-BE3690AAA76E}" name="Map Qt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33">
  <location ref="A3:D61"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sortType="descending" defaultSubtotal="0">
      <items count="20">
        <item x="14"/>
        <item x="10"/>
        <item x="12"/>
        <item x="15"/>
        <item x="4"/>
        <item x="7"/>
        <item x="6"/>
        <item x="19"/>
        <item x="18"/>
        <item x="11"/>
        <item x="17"/>
        <item x="5"/>
        <item x="0"/>
        <item x="2"/>
        <item x="9"/>
        <item x="16"/>
        <item x="1"/>
        <item x="13"/>
        <item x="8"/>
        <item x="3"/>
      </items>
      <autoSortScope>
        <pivotArea dataOnly="0" outline="0" fieldPosition="0">
          <references count="2">
            <reference field="4294967294" count="1" selected="0">
              <x v="0"/>
            </reference>
            <reference field="14" count="1" selected="0">
              <x v="0"/>
            </reference>
          </references>
        </pivotArea>
      </autoSortScope>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items count="4">
        <item x="0"/>
        <item x="2"/>
        <item x="1"/>
        <item x="3"/>
      </items>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3">
        <item x="0"/>
        <item x="1"/>
        <item x="2"/>
        <item x="3"/>
        <item x="4"/>
        <item x="5"/>
        <item x="6"/>
        <item x="7"/>
        <item x="8"/>
        <item x="9"/>
        <item x="10"/>
        <item x="11"/>
        <item x="12"/>
      </items>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ubtotalTop="0" showAll="0" defaultSubtotal="0">
      <items count="7">
        <item x="0"/>
        <item x="1"/>
        <item x="2"/>
        <item x="4"/>
        <item x="3"/>
        <item n="6 To 10" sd="0" x="5"/>
        <item n="More than 10"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2">
    <field x="10"/>
    <field x="11"/>
  </rowFields>
  <rowItems count="5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rowItems>
  <colFields count="1">
    <field x="-2"/>
  </colFields>
  <colItems count="2">
    <i>
      <x/>
    </i>
    <i i="1">
      <x v="1"/>
    </i>
  </colItems>
  <dataFields count="2">
    <dataField name="Sum of Quantity" fld="2" baseField="0" baseItem="0"/>
    <dataField name="Sum of Amount" fld="4" baseField="0" baseItem="0"/>
  </dataFields>
  <chartFormats count="4">
    <chartFormat chart="14"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0"/>
          </reference>
        </references>
      </pivotArea>
    </chartFormat>
    <chartFormat chart="29"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20B222-D82D-4BDD-AAA8-601D52AF2CE8}" name="Time to ship"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3">
  <location ref="A3:B19" firstHeaderRow="1" firstDataRow="1" firstDataCol="1"/>
  <pivotFields count="18">
    <pivotField dataField="1" compact="0" outline="0" showAll="0"/>
    <pivotField compact="0" outline="0" showAll="0">
      <items count="21">
        <item x="14"/>
        <item x="10"/>
        <item x="12"/>
        <item x="15"/>
        <item x="4"/>
        <item x="7"/>
        <item x="6"/>
        <item x="19"/>
        <item x="18"/>
        <item x="11"/>
        <item x="17"/>
        <item x="5"/>
        <item x="0"/>
        <item x="2"/>
        <item x="9"/>
        <item x="16"/>
        <item x="1"/>
        <item x="13"/>
        <item x="8"/>
        <item x="3"/>
        <item t="default"/>
      </items>
    </pivotField>
    <pivotField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compact="0" outline="0" showAll="0">
      <items count="6">
        <item x="0"/>
        <item x="3"/>
        <item x="4"/>
        <item x="2"/>
        <item x="1"/>
        <item t="default"/>
      </items>
    </pivotField>
    <pivotField compact="0" outline="0" showAll="0"/>
    <pivotField compact="0" outline="0" showAll="0"/>
    <pivotField compact="0" outline="0" showAll="0"/>
    <pivotField axis="axisRow" compact="0" outline="0" showAll="0">
      <items count="16">
        <item x="7"/>
        <item x="3"/>
        <item x="1"/>
        <item x="2"/>
        <item x="5"/>
        <item x="0"/>
        <item x="4"/>
        <item x="6"/>
        <item x="9"/>
        <item x="8"/>
        <item x="14"/>
        <item x="11"/>
        <item x="13"/>
        <item x="10"/>
        <item x="12"/>
        <item t="default"/>
      </items>
    </pivotField>
    <pivotField compact="0" outline="0" showAll="0">
      <items count="14">
        <item x="0"/>
        <item x="1"/>
        <item x="2"/>
        <item x="3"/>
        <item x="4"/>
        <item x="5"/>
        <item x="6"/>
        <item x="7"/>
        <item x="8"/>
        <item x="9"/>
        <item x="10"/>
        <item x="11"/>
        <item x="12"/>
        <item t="default"/>
      </items>
    </pivotField>
    <pivotField compact="0" outline="0" showAll="0">
      <items count="5">
        <item x="2"/>
        <item x="1"/>
        <item x="3"/>
        <item x="0"/>
        <item t="default"/>
      </items>
    </pivotField>
    <pivotField compact="0" outline="0" subtotalTop="0" showAll="0">
      <items count="8">
        <item x="0"/>
        <item x="1"/>
        <item x="2"/>
        <item x="4"/>
        <item x="3"/>
        <item n="6 To 10" sd="0" x="5"/>
        <item n="More than 10" x="6"/>
        <item t="default"/>
      </items>
    </pivotField>
    <pivotField compact="0" outline="0" subtotalTop="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ubtotalTop="0" showAll="0">
      <items count="15">
        <item x="0"/>
        <item x="1"/>
        <item x="2"/>
        <item x="3"/>
        <item x="4"/>
        <item x="5"/>
        <item x="6"/>
        <item x="7"/>
        <item x="8"/>
        <item x="9"/>
        <item x="10"/>
        <item x="11"/>
        <item x="12"/>
        <item x="13"/>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2">
    <chartFormat chart="26"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BDCC82-BE24-47B6-9CA4-663F441C2214}" name="cust satisfa"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3">
  <location ref="A3:G8" firstHeaderRow="1" firstDataRow="2" firstDataCol="1"/>
  <pivotFields count="18">
    <pivotField dataField="1" compact="0" outline="0" showAll="0"/>
    <pivotField compact="0" outline="0" showAll="0">
      <items count="21">
        <item x="14"/>
        <item x="10"/>
        <item x="12"/>
        <item x="15"/>
        <item x="4"/>
        <item x="7"/>
        <item x="6"/>
        <item x="19"/>
        <item x="18"/>
        <item x="11"/>
        <item x="17"/>
        <item x="5"/>
        <item x="0"/>
        <item x="2"/>
        <item x="9"/>
        <item x="16"/>
        <item x="1"/>
        <item x="13"/>
        <item x="8"/>
        <item x="3"/>
        <item t="default"/>
      </items>
    </pivotField>
    <pivotField compact="0" outline="0"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compact="0" outline="0" showAll="0"/>
    <pivotField compact="0" outline="0" showAll="0"/>
    <pivotField compact="0" numFmtId="15" outline="0"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compact="0" numFmtId="15" outline="0" showAll="0"/>
    <pivotField compact="0" outline="0" showAll="0">
      <items count="5">
        <item x="0"/>
        <item x="2"/>
        <item x="1"/>
        <item x="3"/>
        <item t="default"/>
      </items>
    </pivotField>
    <pivotField compact="0" outline="0" showAll="0">
      <items count="6">
        <item x="0"/>
        <item x="3"/>
        <item x="4"/>
        <item x="2"/>
        <item x="1"/>
        <item t="default"/>
      </items>
    </pivotField>
    <pivotField axis="axisCol" compact="0" outline="0" showAll="0">
      <items count="6">
        <item x="3"/>
        <item x="4"/>
        <item x="1"/>
        <item x="0"/>
        <item x="2"/>
        <item t="default"/>
      </items>
    </pivotField>
    <pivotField compact="0" outline="0" showAll="0"/>
    <pivotField compact="0" outline="0" showAll="0"/>
    <pivotField compact="0" outline="0" showAll="0">
      <items count="16">
        <item x="7"/>
        <item x="3"/>
        <item x="1"/>
        <item x="2"/>
        <item x="5"/>
        <item x="0"/>
        <item x="4"/>
        <item x="6"/>
        <item x="9"/>
        <item x="8"/>
        <item x="14"/>
        <item x="11"/>
        <item x="13"/>
        <item x="10"/>
        <item x="12"/>
        <item t="default"/>
      </items>
    </pivotField>
    <pivotField compact="0" outline="0" showAll="0">
      <items count="14">
        <item x="0"/>
        <item x="1"/>
        <item x="2"/>
        <item x="3"/>
        <item x="4"/>
        <item x="5"/>
        <item x="6"/>
        <item x="7"/>
        <item x="8"/>
        <item x="9"/>
        <item x="10"/>
        <item x="11"/>
        <item x="12"/>
        <item t="default"/>
      </items>
    </pivotField>
    <pivotField compact="0" outline="0" showAll="0">
      <items count="5">
        <item x="2"/>
        <item x="1"/>
        <item x="3"/>
        <item x="0"/>
        <item t="default"/>
      </items>
    </pivotField>
    <pivotField compact="0" outline="0" subtotalTop="0" showAll="0">
      <items count="8">
        <item x="0"/>
        <item x="1"/>
        <item x="2"/>
        <item x="4"/>
        <item x="3"/>
        <item n="6 To 10" sd="0" x="5"/>
        <item n="More than 10" x="6"/>
        <item t="default"/>
      </items>
    </pivotField>
    <pivotField compact="0" outline="0" subtotalTop="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compact="0" outline="0" subtotalTop="0"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13">
    <chartFormat chart="24" format="12"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8" format="89" series="1">
      <pivotArea type="data" outline="0" fieldPosition="0">
        <references count="2">
          <reference field="4294967294" count="1" selected="0">
            <x v="0"/>
          </reference>
          <reference field="9" count="1" selected="0">
            <x v="1"/>
          </reference>
        </references>
      </pivotArea>
    </chartFormat>
    <chartFormat chart="28" format="90" series="1">
      <pivotArea type="data" outline="0" fieldPosition="0">
        <references count="2">
          <reference field="4294967294" count="1" selected="0">
            <x v="0"/>
          </reference>
          <reference field="9" count="1" selected="0">
            <x v="2"/>
          </reference>
        </references>
      </pivotArea>
    </chartFormat>
    <chartFormat chart="28" format="91" series="1">
      <pivotArea type="data" outline="0" fieldPosition="0">
        <references count="2">
          <reference field="4294967294" count="1" selected="0">
            <x v="0"/>
          </reference>
          <reference field="9" count="1" selected="0">
            <x v="3"/>
          </reference>
        </references>
      </pivotArea>
    </chartFormat>
    <chartFormat chart="28" format="92" series="1">
      <pivotArea type="data" outline="0" fieldPosition="0">
        <references count="2">
          <reference field="4294967294" count="1" selected="0">
            <x v="0"/>
          </reference>
          <reference field="9" count="1" selected="0">
            <x v="4"/>
          </reference>
        </references>
      </pivotArea>
    </chartFormat>
    <chartFormat chart="31" format="3" series="1">
      <pivotArea type="data" outline="0" fieldPosition="0">
        <references count="2">
          <reference field="4294967294" count="1" selected="0">
            <x v="0"/>
          </reference>
          <reference field="9" count="1" selected="0">
            <x v="0"/>
          </reference>
        </references>
      </pivotArea>
    </chartFormat>
    <chartFormat chart="31" format="4" series="1">
      <pivotArea type="data" outline="0" fieldPosition="0">
        <references count="2">
          <reference field="4294967294" count="1" selected="0">
            <x v="0"/>
          </reference>
          <reference field="9" count="1" selected="0">
            <x v="1"/>
          </reference>
        </references>
      </pivotArea>
    </chartFormat>
    <chartFormat chart="31" format="5" series="1">
      <pivotArea type="data" outline="0" fieldPosition="0">
        <references count="2">
          <reference field="4294967294" count="1" selected="0">
            <x v="0"/>
          </reference>
          <reference field="9" count="1" selected="0">
            <x v="2"/>
          </reference>
        </references>
      </pivotArea>
    </chartFormat>
    <chartFormat chart="31" format="6" series="1">
      <pivotArea type="data" outline="0" fieldPosition="0">
        <references count="2">
          <reference field="4294967294" count="1" selected="0">
            <x v="0"/>
          </reference>
          <reference field="9" count="1" selected="0">
            <x v="3"/>
          </reference>
        </references>
      </pivotArea>
    </chartFormat>
    <chartFormat chart="31" format="7" series="1">
      <pivotArea type="data" outline="0" fieldPosition="0">
        <references count="2">
          <reference field="4294967294" count="1" selected="0">
            <x v="0"/>
          </reference>
          <reference field="9" count="1" selected="0">
            <x v="4"/>
          </reference>
        </references>
      </pivotArea>
    </chartFormat>
    <chartFormat chart="28" format="94" series="1">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9F4D6911-3DEF-4054-A6C0-171BEA5B808D}" sourceName="Order Mode">
  <pivotTables>
    <pivotTable tabId="14" name="cust satisfa"/>
    <pivotTable tabId="11" name="Gender split"/>
    <pivotTable tabId="9" name="How many bought"/>
    <pivotTable tabId="12" name="Map Qty"/>
    <pivotTable tabId="10" name="Popular prods"/>
    <pivotTable tabId="13" name="Time to ship"/>
    <pivotTable tabId="7" name="Trends"/>
    <pivotTable tabId="16" name="KPI cards"/>
  </pivotTables>
  <data>
    <tabular pivotCacheId="80415231">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FC75DE4F-2F09-4976-869B-4B949DE73033}" sourceName="Gender Value">
  <pivotTables>
    <pivotTable tabId="14" name="cust satisfa"/>
    <pivotTable tabId="9" name="How many bought"/>
    <pivotTable tabId="12" name="Map Qty"/>
    <pivotTable tabId="13" name="Time to ship"/>
    <pivotTable tabId="7" name="Trends"/>
    <pivotTable tabId="16" name="KPI cards"/>
  </pivotTables>
  <data>
    <tabular pivotCacheId="80415231">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B8F52F25-8C17-41AA-9440-3583D35D39AC}" cache="Slicer_Order_Mode" caption="Order Mode" style="Greeb Slicer" rowHeight="247650"/>
  <slicer name="Gender Value" xr10:uid="{B1C9E421-0693-404A-8DB9-EB573AA022F7}" cache="Slicer_Gender_Value" caption="Gender Value" style="Greeb Slic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4"/>
    <tableColumn id="7" xr3:uid="{43BB5DBF-46E1-4185-80C0-4361F55A385C}" name="Ship Date" dataDxfId="3"/>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2">
      <calculatedColumnFormula>orders[[#This Row],[Ship Date]]-orders[[#This Row],[Order Date]]</calculatedColumnFormula>
    </tableColumn>
    <tableColumn id="12" xr3:uid="{B071C0DA-87A9-4516-B4D9-4F5B7D3FF44A}" name="Weeknum" dataDxfId="1">
      <calculatedColumnFormula>WEEKNUM(orders[[#This Row],[Order Date]])</calculatedColumnFormula>
    </tableColumn>
    <tableColumn id="13" xr3:uid="{B8EA9E28-7541-4E76-9935-C26438661A18}" name="Gender Value" dataDxfId="0">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Custom 2">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717F-6ABE-4365-946F-1B589D5E79EE}">
  <sheetPr>
    <tabColor rgb="FF92D050"/>
  </sheetPr>
  <dimension ref="A1"/>
  <sheetViews>
    <sheetView showGridLines="0" showRowColHeaders="0" tabSelected="1" zoomScale="90" zoomScaleNormal="90" workbookViewId="0">
      <selection activeCell="V28" sqref="V28"/>
    </sheetView>
  </sheetViews>
  <sheetFormatPr defaultRowHeight="14.4" x14ac:dyDescent="0.3"/>
  <cols>
    <col min="1" max="1" width="3.77734375" customWidth="1"/>
    <col min="2" max="2" width="22.77734375" customWidth="1"/>
    <col min="3" max="3" width="3.7773437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sheetPr>
    <tabColor rgb="FF92D050"/>
  </sheetPr>
  <dimension ref="A1:O2401"/>
  <sheetViews>
    <sheetView topLeftCell="D1" workbookViewId="0">
      <selection activeCell="E23" sqref="E23"/>
    </sheetView>
  </sheetViews>
  <sheetFormatPr defaultRowHeight="14.4" x14ac:dyDescent="0.3"/>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s>
  <sheetData>
    <row r="1" spans="1:15" x14ac:dyDescent="0.3">
      <c r="A1" t="s">
        <v>0</v>
      </c>
      <c r="B1" t="s">
        <v>1</v>
      </c>
      <c r="C1" t="s">
        <v>2</v>
      </c>
      <c r="D1" t="s">
        <v>3</v>
      </c>
      <c r="E1" t="s">
        <v>4</v>
      </c>
      <c r="F1" t="s">
        <v>5</v>
      </c>
      <c r="G1" t="s">
        <v>6</v>
      </c>
      <c r="H1" t="s">
        <v>7</v>
      </c>
      <c r="I1" t="s">
        <v>8</v>
      </c>
      <c r="J1" t="s">
        <v>9</v>
      </c>
      <c r="K1" t="s">
        <v>10</v>
      </c>
      <c r="L1" t="s">
        <v>11</v>
      </c>
      <c r="M1" s="2" t="s">
        <v>12</v>
      </c>
      <c r="N1" s="2" t="s">
        <v>13</v>
      </c>
      <c r="O1" s="2" t="s">
        <v>14</v>
      </c>
    </row>
    <row r="2" spans="1:15" x14ac:dyDescent="0.3">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D9D5F-CD2B-4684-ADD3-9E11C2E1BF45}">
  <sheetPr>
    <tabColor rgb="FF92D050"/>
  </sheetPr>
  <dimension ref="A1"/>
  <sheetViews>
    <sheetView showGridLines="0" zoomScale="85" zoomScaleNormal="85" workbookViewId="0">
      <selection activeCell="Z13" sqref="Z13"/>
    </sheetView>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DCCB5-CBE8-4AEF-821D-450C1071C335}">
  <dimension ref="A3:E7"/>
  <sheetViews>
    <sheetView workbookViewId="0">
      <selection activeCell="A3" sqref="A3"/>
    </sheetView>
  </sheetViews>
  <sheetFormatPr defaultRowHeight="14.4" x14ac:dyDescent="0.3"/>
  <cols>
    <col min="1" max="1" width="12.21875" bestFit="1" customWidth="1"/>
    <col min="2" max="2" width="14.21875" bestFit="1" customWidth="1"/>
    <col min="3" max="3" width="13.5546875" bestFit="1" customWidth="1"/>
    <col min="4" max="4" width="16.6640625" bestFit="1" customWidth="1"/>
    <col min="5" max="5" width="22.33203125" bestFit="1" customWidth="1"/>
  </cols>
  <sheetData>
    <row r="3" spans="1:5" x14ac:dyDescent="0.3">
      <c r="A3" t="s">
        <v>2547</v>
      </c>
      <c r="B3" t="s">
        <v>2548</v>
      </c>
      <c r="C3" t="s">
        <v>2549</v>
      </c>
      <c r="D3" t="s">
        <v>2550</v>
      </c>
      <c r="E3" t="s">
        <v>2551</v>
      </c>
    </row>
    <row r="4" spans="1:5" x14ac:dyDescent="0.3">
      <c r="A4">
        <v>2400</v>
      </c>
      <c r="B4">
        <v>11997</v>
      </c>
      <c r="C4">
        <v>649019.80000000144</v>
      </c>
      <c r="D4" s="12">
        <v>3.9620833333333332</v>
      </c>
      <c r="E4" s="12">
        <v>2.3424999999999998</v>
      </c>
    </row>
    <row r="6" spans="1:5" x14ac:dyDescent="0.3">
      <c r="A6" s="13" t="str">
        <f>TEXT(A4,"#,##")</f>
        <v>2,400</v>
      </c>
      <c r="B6" s="13" t="str">
        <f t="shared" ref="B6" si="0">TEXT(B4,"#,##")</f>
        <v>11,997</v>
      </c>
      <c r="C6" s="13" t="str">
        <f>TEXT(C4,"$#,##,.0k")</f>
        <v>$649.0k</v>
      </c>
      <c r="D6" s="13" t="str">
        <f>TEXT(D4,0)</f>
        <v>4</v>
      </c>
      <c r="E6" s="13" t="str">
        <f>TEXT(E4,0)</f>
        <v>2</v>
      </c>
    </row>
    <row r="7" spans="1:5" x14ac:dyDescent="0.3">
      <c r="A7" s="14" t="s">
        <v>2537</v>
      </c>
      <c r="B7" s="14" t="s">
        <v>2</v>
      </c>
      <c r="C7" s="14" t="s">
        <v>2506</v>
      </c>
      <c r="D7" s="14" t="s">
        <v>2552</v>
      </c>
      <c r="E7" s="14" t="s">
        <v>2553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4F2CD-E232-4EF0-9C8A-FF1C56FE1C0D}">
  <dimension ref="A3:E7"/>
  <sheetViews>
    <sheetView workbookViewId="0">
      <selection activeCell="A3" sqref="A3"/>
    </sheetView>
  </sheetViews>
  <sheetFormatPr defaultRowHeight="14.4" x14ac:dyDescent="0.3"/>
  <cols>
    <col min="1" max="1" width="12.21875" bestFit="1" customWidth="1"/>
    <col min="2" max="2" width="14.21875" bestFit="1" customWidth="1"/>
    <col min="3" max="3" width="13.5546875" bestFit="1" customWidth="1"/>
    <col min="4" max="4" width="16.6640625" bestFit="1" customWidth="1"/>
    <col min="5" max="5" width="22.33203125" bestFit="1" customWidth="1"/>
  </cols>
  <sheetData>
    <row r="3" spans="1:5" x14ac:dyDescent="0.3">
      <c r="A3" t="s">
        <v>2547</v>
      </c>
      <c r="B3" t="s">
        <v>2548</v>
      </c>
      <c r="C3" t="s">
        <v>2549</v>
      </c>
      <c r="D3" t="s">
        <v>2550</v>
      </c>
      <c r="E3" t="s">
        <v>2551</v>
      </c>
    </row>
    <row r="4" spans="1:5" x14ac:dyDescent="0.3">
      <c r="A4">
        <v>2400</v>
      </c>
      <c r="B4">
        <v>11997</v>
      </c>
      <c r="C4">
        <v>649019.80000000144</v>
      </c>
      <c r="D4" s="12">
        <v>3.9620833333333332</v>
      </c>
      <c r="E4" s="12">
        <v>2.3424999999999998</v>
      </c>
    </row>
    <row r="6" spans="1:5" x14ac:dyDescent="0.3">
      <c r="A6" s="13" t="str">
        <f>TEXT(A4,"#,##")</f>
        <v>2,400</v>
      </c>
      <c r="B6" s="13" t="str">
        <f t="shared" ref="B6" si="0">TEXT(B4,"#,##")</f>
        <v>11,997</v>
      </c>
      <c r="C6" s="13" t="str">
        <f>TEXT(C4,"$#,##,.0k")</f>
        <v>$649.0k</v>
      </c>
      <c r="D6" s="13" t="str">
        <f>TEXT(D4,0)</f>
        <v>4</v>
      </c>
      <c r="E6" s="13" t="str">
        <f>TEXT(E4,0)</f>
        <v>2</v>
      </c>
    </row>
    <row r="7" spans="1:5" x14ac:dyDescent="0.3">
      <c r="A7" s="14" t="s">
        <v>2537</v>
      </c>
      <c r="B7" s="14" t="s">
        <v>2</v>
      </c>
      <c r="C7" s="14" t="s">
        <v>2506</v>
      </c>
      <c r="D7" s="14" t="s">
        <v>2552</v>
      </c>
      <c r="E7" s="14" t="s">
        <v>2553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9CB49-AFD8-4FE8-846B-E029FD326C6E}">
  <dimension ref="A3:E17"/>
  <sheetViews>
    <sheetView workbookViewId="0">
      <selection activeCell="A3" sqref="A3"/>
    </sheetView>
  </sheetViews>
  <sheetFormatPr defaultRowHeight="14.4" x14ac:dyDescent="0.3"/>
  <cols>
    <col min="1" max="1" width="11.5546875" bestFit="1" customWidth="1"/>
    <col min="2" max="2" width="14.21875" bestFit="1" customWidth="1"/>
    <col min="3" max="3" width="13.5546875" bestFit="1" customWidth="1"/>
    <col min="4" max="5" width="22.33203125" bestFit="1" customWidth="1"/>
  </cols>
  <sheetData>
    <row r="3" spans="1:5" x14ac:dyDescent="0.3">
      <c r="A3" s="16" t="s">
        <v>13</v>
      </c>
      <c r="B3" t="s">
        <v>2548</v>
      </c>
      <c r="C3" t="s">
        <v>2549</v>
      </c>
    </row>
    <row r="4" spans="1:5" x14ac:dyDescent="0.3">
      <c r="A4">
        <v>1</v>
      </c>
      <c r="B4">
        <v>546</v>
      </c>
      <c r="C4" s="17">
        <v>32413.300000000003</v>
      </c>
    </row>
    <row r="5" spans="1:5" x14ac:dyDescent="0.3">
      <c r="A5">
        <v>2</v>
      </c>
      <c r="B5">
        <v>905</v>
      </c>
      <c r="C5" s="17">
        <v>49562.999999999993</v>
      </c>
    </row>
    <row r="6" spans="1:5" x14ac:dyDescent="0.3">
      <c r="A6">
        <v>3</v>
      </c>
      <c r="B6">
        <v>796</v>
      </c>
      <c r="C6" s="17">
        <v>41700.400000000016</v>
      </c>
    </row>
    <row r="7" spans="1:5" x14ac:dyDescent="0.3">
      <c r="A7">
        <v>4</v>
      </c>
      <c r="B7">
        <v>913</v>
      </c>
      <c r="C7" s="17">
        <v>46782.599999999984</v>
      </c>
      <c r="D7" s="15"/>
      <c r="E7" s="15"/>
    </row>
    <row r="8" spans="1:5" x14ac:dyDescent="0.3">
      <c r="A8">
        <v>5</v>
      </c>
      <c r="B8">
        <v>844</v>
      </c>
      <c r="C8" s="17">
        <v>42676.100000000006</v>
      </c>
    </row>
    <row r="9" spans="1:5" x14ac:dyDescent="0.3">
      <c r="A9">
        <v>6</v>
      </c>
      <c r="B9">
        <v>1202</v>
      </c>
      <c r="C9" s="17">
        <v>62910.7</v>
      </c>
    </row>
    <row r="10" spans="1:5" x14ac:dyDescent="0.3">
      <c r="A10">
        <v>7</v>
      </c>
      <c r="B10">
        <v>935</v>
      </c>
      <c r="C10" s="17">
        <v>50332.200000000004</v>
      </c>
    </row>
    <row r="11" spans="1:5" x14ac:dyDescent="0.3">
      <c r="A11">
        <v>8</v>
      </c>
      <c r="B11">
        <v>1128</v>
      </c>
      <c r="C11" s="17">
        <v>58760.599999999977</v>
      </c>
    </row>
    <row r="12" spans="1:5" x14ac:dyDescent="0.3">
      <c r="A12">
        <v>9</v>
      </c>
      <c r="B12">
        <v>1007</v>
      </c>
      <c r="C12" s="17">
        <v>52017.299999999996</v>
      </c>
    </row>
    <row r="13" spans="1:5" x14ac:dyDescent="0.3">
      <c r="A13">
        <v>10</v>
      </c>
      <c r="B13">
        <v>1128</v>
      </c>
      <c r="C13" s="17">
        <v>64915.700000000033</v>
      </c>
    </row>
    <row r="14" spans="1:5" x14ac:dyDescent="0.3">
      <c r="A14">
        <v>11</v>
      </c>
      <c r="B14">
        <v>861</v>
      </c>
      <c r="C14" s="17">
        <v>45943.80000000001</v>
      </c>
    </row>
    <row r="15" spans="1:5" x14ac:dyDescent="0.3">
      <c r="A15">
        <v>12</v>
      </c>
      <c r="B15">
        <v>944</v>
      </c>
      <c r="C15" s="17">
        <v>55077.900000000031</v>
      </c>
    </row>
    <row r="16" spans="1:5" x14ac:dyDescent="0.3">
      <c r="A16">
        <v>13</v>
      </c>
      <c r="B16">
        <v>788</v>
      </c>
      <c r="C16" s="17">
        <v>45926.19999999999</v>
      </c>
    </row>
    <row r="17" spans="1:3" x14ac:dyDescent="0.3">
      <c r="A17" t="s">
        <v>2554</v>
      </c>
      <c r="B17">
        <v>11997</v>
      </c>
      <c r="C17" s="17">
        <v>649019.79999999993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8DD6D-5092-4C04-9574-CE8D4926180A}">
  <dimension ref="A2:L10"/>
  <sheetViews>
    <sheetView showGridLines="0" workbookViewId="0">
      <selection activeCell="A3" sqref="A3"/>
    </sheetView>
  </sheetViews>
  <sheetFormatPr defaultRowHeight="14.4" x14ac:dyDescent="0.3"/>
  <cols>
    <col min="1" max="1" width="14.21875" bestFit="1" customWidth="1"/>
    <col min="2" max="5" width="14.33203125" bestFit="1" customWidth="1"/>
    <col min="6" max="7" width="10.5546875" bestFit="1" customWidth="1"/>
    <col min="8" max="8" width="10.44140625" bestFit="1" customWidth="1"/>
    <col min="9" max="12" width="8.44140625" customWidth="1"/>
  </cols>
  <sheetData>
    <row r="2" spans="1:12" x14ac:dyDescent="0.3">
      <c r="H2" t="s">
        <v>2555</v>
      </c>
    </row>
    <row r="3" spans="1:12" x14ac:dyDescent="0.3">
      <c r="A3" s="16" t="s">
        <v>2548</v>
      </c>
      <c r="B3" s="16" t="s">
        <v>14</v>
      </c>
    </row>
    <row r="4" spans="1:12" x14ac:dyDescent="0.3">
      <c r="A4" s="16" t="s">
        <v>8</v>
      </c>
      <c r="B4" t="s">
        <v>2556</v>
      </c>
      <c r="C4" t="s">
        <v>2557</v>
      </c>
      <c r="D4" t="s">
        <v>2558</v>
      </c>
      <c r="E4" t="s">
        <v>2559</v>
      </c>
      <c r="F4" t="s">
        <v>2554</v>
      </c>
    </row>
    <row r="5" spans="1:12" x14ac:dyDescent="0.3">
      <c r="A5" t="s">
        <v>18</v>
      </c>
      <c r="B5" s="18">
        <v>0.18671334500291739</v>
      </c>
      <c r="C5" s="18">
        <v>0.13378344586146537</v>
      </c>
      <c r="D5" s="18">
        <v>9.5023755938984742E-3</v>
      </c>
      <c r="E5" s="18">
        <v>2.175543885971493E-2</v>
      </c>
      <c r="F5" s="18">
        <v>0.35175460531799618</v>
      </c>
      <c r="I5" t="str">
        <f t="shared" ref="I5:L10" si="0">B4</f>
        <v>Female</v>
      </c>
      <c r="J5" t="str">
        <f t="shared" si="0"/>
        <v>Male</v>
      </c>
      <c r="K5" t="str">
        <f t="shared" si="0"/>
        <v>Other</v>
      </c>
      <c r="L5" t="str">
        <f t="shared" si="0"/>
        <v>Unknown</v>
      </c>
    </row>
    <row r="6" spans="1:12" ht="18" customHeight="1" x14ac:dyDescent="0.3">
      <c r="A6" t="s">
        <v>51</v>
      </c>
      <c r="B6" s="18">
        <v>6.1098607985329664E-2</v>
      </c>
      <c r="C6" s="18">
        <v>3.9926648328748857E-2</v>
      </c>
      <c r="D6" s="18">
        <v>1.417020921897141E-3</v>
      </c>
      <c r="E6" s="18">
        <v>1.5503875968992248E-2</v>
      </c>
      <c r="F6" s="18">
        <v>0.1179461532049679</v>
      </c>
      <c r="H6" t="str">
        <f>A5</f>
        <v>App</v>
      </c>
      <c r="I6" s="19">
        <f t="shared" si="0"/>
        <v>0.18671334500291739</v>
      </c>
      <c r="J6" s="19">
        <f t="shared" si="0"/>
        <v>0.13378344586146537</v>
      </c>
      <c r="K6" s="19">
        <f t="shared" si="0"/>
        <v>9.5023755938984742E-3</v>
      </c>
      <c r="L6" s="19">
        <f t="shared" si="0"/>
        <v>2.175543885971493E-2</v>
      </c>
    </row>
    <row r="7" spans="1:12" ht="18" customHeight="1" x14ac:dyDescent="0.3">
      <c r="A7" t="s">
        <v>70</v>
      </c>
      <c r="B7" s="18">
        <v>6.5766441610402598E-2</v>
      </c>
      <c r="C7" s="18">
        <v>4.2510627656914227E-2</v>
      </c>
      <c r="D7" s="18">
        <v>3.3341668750520963E-3</v>
      </c>
      <c r="E7" s="18">
        <v>4.0843544219388182E-3</v>
      </c>
      <c r="F7" s="18">
        <v>0.11569559056430774</v>
      </c>
      <c r="H7" t="str">
        <f>A6</f>
        <v>Instagram</v>
      </c>
      <c r="I7" s="19">
        <f t="shared" si="0"/>
        <v>6.1098607985329664E-2</v>
      </c>
      <c r="J7" s="19">
        <f t="shared" si="0"/>
        <v>3.9926648328748857E-2</v>
      </c>
      <c r="K7" s="19">
        <f t="shared" si="0"/>
        <v>1.417020921897141E-3</v>
      </c>
      <c r="L7" s="19">
        <f t="shared" si="0"/>
        <v>1.5503875968992248E-2</v>
      </c>
    </row>
    <row r="8" spans="1:12" ht="18" customHeight="1" x14ac:dyDescent="0.3">
      <c r="A8" t="s">
        <v>40</v>
      </c>
      <c r="B8" s="18">
        <v>9.9858297907810284E-2</v>
      </c>
      <c r="C8" s="18">
        <v>7.7519379844961239E-2</v>
      </c>
      <c r="D8" s="18">
        <v>6.1682087188463779E-3</v>
      </c>
      <c r="E8" s="18">
        <v>8.8355422188880553E-3</v>
      </c>
      <c r="F8" s="18">
        <v>0.19238142869050595</v>
      </c>
      <c r="H8" t="str">
        <f>A7</f>
        <v>Partner App</v>
      </c>
      <c r="I8" s="19">
        <f t="shared" si="0"/>
        <v>6.5766441610402598E-2</v>
      </c>
      <c r="J8" s="19">
        <f t="shared" si="0"/>
        <v>4.2510627656914227E-2</v>
      </c>
      <c r="K8" s="19">
        <f t="shared" si="0"/>
        <v>3.3341668750520963E-3</v>
      </c>
      <c r="L8" s="19">
        <f t="shared" si="0"/>
        <v>4.0843544219388182E-3</v>
      </c>
    </row>
    <row r="9" spans="1:12" ht="18" customHeight="1" x14ac:dyDescent="0.3">
      <c r="A9" t="s">
        <v>35</v>
      </c>
      <c r="B9" s="18">
        <v>0.10936067350170876</v>
      </c>
      <c r="C9" s="18">
        <v>9.569058931399517E-2</v>
      </c>
      <c r="D9" s="18">
        <v>6.0015003750937736E-3</v>
      </c>
      <c r="E9" s="18">
        <v>1.1169459031424522E-2</v>
      </c>
      <c r="F9" s="18">
        <v>0.22222222222222221</v>
      </c>
      <c r="H9" t="str">
        <f>A8</f>
        <v>Target.com</v>
      </c>
      <c r="I9" s="19">
        <f t="shared" si="0"/>
        <v>9.9858297907810284E-2</v>
      </c>
      <c r="J9" s="19">
        <f t="shared" si="0"/>
        <v>7.7519379844961239E-2</v>
      </c>
      <c r="K9" s="19">
        <f t="shared" si="0"/>
        <v>6.1682087188463779E-3</v>
      </c>
      <c r="L9" s="19">
        <f t="shared" si="0"/>
        <v>8.8355422188880553E-3</v>
      </c>
    </row>
    <row r="10" spans="1:12" ht="18" customHeight="1" x14ac:dyDescent="0.3">
      <c r="A10" t="s">
        <v>2554</v>
      </c>
      <c r="B10" s="18">
        <v>0.52279736600816873</v>
      </c>
      <c r="C10" s="18">
        <v>0.38943069100608485</v>
      </c>
      <c r="D10" s="18">
        <v>2.6423272484787864E-2</v>
      </c>
      <c r="E10" s="18">
        <v>6.1348670500958574E-2</v>
      </c>
      <c r="F10" s="18">
        <v>1</v>
      </c>
      <c r="H10" t="str">
        <f>A9</f>
        <v>Website</v>
      </c>
      <c r="I10" s="19">
        <f t="shared" si="0"/>
        <v>0.10936067350170876</v>
      </c>
      <c r="J10" s="19">
        <f t="shared" si="0"/>
        <v>9.569058931399517E-2</v>
      </c>
      <c r="K10" s="19">
        <f t="shared" si="0"/>
        <v>6.0015003750937736E-3</v>
      </c>
      <c r="L10" s="19">
        <f t="shared" si="0"/>
        <v>1.1169459031424522E-2</v>
      </c>
    </row>
  </sheetData>
  <conditionalFormatting sqref="I6:L10">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4668A-A6E1-499E-8BCA-E3AA494298F2}">
  <dimension ref="A3:L11"/>
  <sheetViews>
    <sheetView showGridLines="0" workbookViewId="0">
      <selection activeCell="A3" sqref="A3"/>
    </sheetView>
  </sheetViews>
  <sheetFormatPr defaultRowHeight="14.4" x14ac:dyDescent="0.3"/>
  <cols>
    <col min="1" max="1" width="11.33203125" bestFit="1" customWidth="1"/>
    <col min="2" max="3" width="12.21875" bestFit="1" customWidth="1"/>
    <col min="4" max="5" width="14.33203125" bestFit="1" customWidth="1"/>
    <col min="6" max="7" width="10.5546875" bestFit="1" customWidth="1"/>
    <col min="8" max="8" width="10.44140625" bestFit="1" customWidth="1"/>
    <col min="9" max="12" width="8.44140625" customWidth="1"/>
  </cols>
  <sheetData>
    <row r="3" spans="1:12" x14ac:dyDescent="0.3">
      <c r="A3" s="16" t="s">
        <v>2560</v>
      </c>
      <c r="B3" t="s">
        <v>2547</v>
      </c>
    </row>
    <row r="4" spans="1:12" x14ac:dyDescent="0.3">
      <c r="A4">
        <v>1</v>
      </c>
      <c r="B4">
        <v>397</v>
      </c>
    </row>
    <row r="5" spans="1:12" x14ac:dyDescent="0.3">
      <c r="A5">
        <v>2</v>
      </c>
      <c r="B5">
        <v>540</v>
      </c>
    </row>
    <row r="6" spans="1:12" ht="18" customHeight="1" x14ac:dyDescent="0.3">
      <c r="A6">
        <v>3</v>
      </c>
      <c r="B6">
        <v>375</v>
      </c>
      <c r="I6" s="19"/>
      <c r="J6" s="19"/>
      <c r="K6" s="19"/>
      <c r="L6" s="19"/>
    </row>
    <row r="7" spans="1:12" ht="18" customHeight="1" x14ac:dyDescent="0.3">
      <c r="A7">
        <v>4</v>
      </c>
      <c r="B7">
        <v>246</v>
      </c>
      <c r="I7" s="19"/>
      <c r="J7" s="19"/>
      <c r="K7" s="19"/>
      <c r="L7" s="19"/>
    </row>
    <row r="8" spans="1:12" ht="18" customHeight="1" x14ac:dyDescent="0.3">
      <c r="A8">
        <v>5</v>
      </c>
      <c r="B8">
        <v>195</v>
      </c>
      <c r="I8" s="19"/>
      <c r="J8" s="19"/>
      <c r="K8" s="19"/>
      <c r="L8" s="19"/>
    </row>
    <row r="9" spans="1:12" ht="18" customHeight="1" x14ac:dyDescent="0.3">
      <c r="A9" t="s">
        <v>2561</v>
      </c>
      <c r="B9">
        <v>414</v>
      </c>
      <c r="I9" s="19"/>
      <c r="J9" s="19"/>
      <c r="K9" s="19"/>
      <c r="L9" s="19"/>
    </row>
    <row r="10" spans="1:12" ht="18" customHeight="1" x14ac:dyDescent="0.3">
      <c r="A10" t="s">
        <v>2562</v>
      </c>
      <c r="B10">
        <v>233</v>
      </c>
      <c r="I10" s="19"/>
      <c r="J10" s="19"/>
      <c r="K10" s="19"/>
      <c r="L10" s="19"/>
    </row>
    <row r="11" spans="1:12" x14ac:dyDescent="0.3">
      <c r="A11" t="s">
        <v>2554</v>
      </c>
      <c r="B11">
        <v>2400</v>
      </c>
    </row>
  </sheetData>
  <conditionalFormatting sqref="I6:L10">
    <cfRule type="colorScale" priority="1">
      <colorScale>
        <cfvo type="min"/>
        <cfvo type="percentile" val="50"/>
        <cfvo type="max"/>
        <color rgb="FFF8696B"/>
        <color rgb="FFFCFCFF"/>
        <color rgb="FF5A8AC6"/>
      </colorScale>
    </cfRule>
  </conditionalFormatting>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EA5D4-E8A8-4913-842B-F04501974BE9}">
  <dimension ref="A3:L25"/>
  <sheetViews>
    <sheetView showGridLines="0" workbookViewId="0">
      <selection activeCell="A8" sqref="A8:F8"/>
    </sheetView>
  </sheetViews>
  <sheetFormatPr defaultRowHeight="14.4" x14ac:dyDescent="0.3"/>
  <cols>
    <col min="1" max="1" width="19.109375" bestFit="1" customWidth="1"/>
    <col min="2" max="5" width="14.33203125" bestFit="1" customWidth="1"/>
    <col min="6" max="7" width="10.5546875" bestFit="1" customWidth="1"/>
    <col min="8" max="8" width="10.44140625" bestFit="1" customWidth="1"/>
    <col min="9" max="12" width="8.44140625" customWidth="1"/>
  </cols>
  <sheetData>
    <row r="3" spans="1:12" x14ac:dyDescent="0.3">
      <c r="A3" s="16" t="s">
        <v>2548</v>
      </c>
      <c r="B3" s="16" t="s">
        <v>14</v>
      </c>
    </row>
    <row r="4" spans="1:12" x14ac:dyDescent="0.3">
      <c r="A4" s="16" t="s">
        <v>1</v>
      </c>
      <c r="B4" t="s">
        <v>2556</v>
      </c>
      <c r="C4" t="s">
        <v>2557</v>
      </c>
      <c r="D4" t="s">
        <v>2558</v>
      </c>
      <c r="E4" t="s">
        <v>2559</v>
      </c>
      <c r="F4" t="s">
        <v>2554</v>
      </c>
    </row>
    <row r="5" spans="1:12" x14ac:dyDescent="0.3">
      <c r="A5" t="s">
        <v>44</v>
      </c>
      <c r="B5">
        <v>744</v>
      </c>
      <c r="C5">
        <v>713</v>
      </c>
      <c r="D5">
        <v>90</v>
      </c>
      <c r="E5">
        <v>98</v>
      </c>
      <c r="F5">
        <v>1645</v>
      </c>
    </row>
    <row r="6" spans="1:12" ht="18" customHeight="1" x14ac:dyDescent="0.3">
      <c r="A6" t="s">
        <v>39</v>
      </c>
      <c r="B6">
        <v>716</v>
      </c>
      <c r="C6">
        <v>598</v>
      </c>
      <c r="D6">
        <v>18</v>
      </c>
      <c r="E6">
        <v>214</v>
      </c>
      <c r="F6">
        <v>1546</v>
      </c>
      <c r="I6" s="19"/>
      <c r="J6" s="19"/>
      <c r="K6" s="19"/>
      <c r="L6" s="19"/>
    </row>
    <row r="7" spans="1:12" ht="18" customHeight="1" x14ac:dyDescent="0.3">
      <c r="A7" t="s">
        <v>26</v>
      </c>
      <c r="B7">
        <v>627</v>
      </c>
      <c r="C7">
        <v>393</v>
      </c>
      <c r="D7">
        <v>29</v>
      </c>
      <c r="E7">
        <v>137</v>
      </c>
      <c r="F7">
        <v>1186</v>
      </c>
      <c r="I7" s="19"/>
      <c r="J7" s="19"/>
      <c r="K7" s="19"/>
      <c r="L7" s="19"/>
    </row>
    <row r="8" spans="1:12" ht="18" customHeight="1" x14ac:dyDescent="0.3">
      <c r="A8" t="s">
        <v>22</v>
      </c>
      <c r="B8">
        <v>568</v>
      </c>
      <c r="C8">
        <v>306</v>
      </c>
      <c r="D8">
        <v>22</v>
      </c>
      <c r="E8">
        <v>16</v>
      </c>
      <c r="F8">
        <v>912</v>
      </c>
      <c r="I8" s="19"/>
      <c r="J8" s="19"/>
      <c r="K8" s="19"/>
      <c r="L8" s="19"/>
    </row>
    <row r="9" spans="1:12" ht="18" customHeight="1" x14ac:dyDescent="0.3">
      <c r="A9" t="s">
        <v>54</v>
      </c>
      <c r="B9">
        <v>482</v>
      </c>
      <c r="C9">
        <v>295</v>
      </c>
      <c r="D9">
        <v>8</v>
      </c>
      <c r="E9">
        <v>22</v>
      </c>
      <c r="F9">
        <v>807</v>
      </c>
      <c r="I9" s="19"/>
      <c r="J9" s="19"/>
      <c r="K9" s="19"/>
      <c r="L9" s="19"/>
    </row>
    <row r="10" spans="1:12" ht="18" customHeight="1" x14ac:dyDescent="0.3">
      <c r="A10" t="s">
        <v>46</v>
      </c>
      <c r="B10">
        <v>445</v>
      </c>
      <c r="C10">
        <v>202</v>
      </c>
      <c r="D10">
        <v>14</v>
      </c>
      <c r="E10">
        <v>39</v>
      </c>
      <c r="F10">
        <v>700</v>
      </c>
      <c r="I10" s="19"/>
      <c r="J10" s="19"/>
      <c r="K10" s="19"/>
      <c r="L10" s="19"/>
    </row>
    <row r="11" spans="1:12" x14ac:dyDescent="0.3">
      <c r="A11" t="s">
        <v>32</v>
      </c>
      <c r="B11">
        <v>431</v>
      </c>
      <c r="C11">
        <v>187</v>
      </c>
      <c r="D11">
        <v>14</v>
      </c>
      <c r="E11">
        <v>15</v>
      </c>
      <c r="F11">
        <v>647</v>
      </c>
    </row>
    <row r="12" spans="1:12" x14ac:dyDescent="0.3">
      <c r="A12" t="s">
        <v>16</v>
      </c>
      <c r="B12">
        <v>428</v>
      </c>
      <c r="C12">
        <v>293</v>
      </c>
      <c r="E12">
        <v>24</v>
      </c>
      <c r="F12">
        <v>745</v>
      </c>
    </row>
    <row r="13" spans="1:12" x14ac:dyDescent="0.3">
      <c r="A13" t="s">
        <v>37</v>
      </c>
      <c r="B13">
        <v>296</v>
      </c>
      <c r="C13">
        <v>275</v>
      </c>
      <c r="D13">
        <v>9</v>
      </c>
      <c r="E13">
        <v>23</v>
      </c>
      <c r="F13">
        <v>603</v>
      </c>
    </row>
    <row r="14" spans="1:12" x14ac:dyDescent="0.3">
      <c r="A14" t="s">
        <v>42</v>
      </c>
      <c r="B14">
        <v>264</v>
      </c>
      <c r="C14">
        <v>318</v>
      </c>
      <c r="D14">
        <v>15</v>
      </c>
      <c r="E14">
        <v>9</v>
      </c>
      <c r="F14">
        <v>606</v>
      </c>
    </row>
    <row r="15" spans="1:12" x14ac:dyDescent="0.3">
      <c r="A15" t="s">
        <v>69</v>
      </c>
      <c r="B15">
        <v>234</v>
      </c>
      <c r="C15">
        <v>93</v>
      </c>
      <c r="D15">
        <v>19</v>
      </c>
      <c r="E15">
        <v>24</v>
      </c>
      <c r="F15">
        <v>370</v>
      </c>
    </row>
    <row r="16" spans="1:12" x14ac:dyDescent="0.3">
      <c r="A16" t="s">
        <v>146</v>
      </c>
      <c r="B16">
        <v>189</v>
      </c>
      <c r="C16">
        <v>168</v>
      </c>
      <c r="D16">
        <v>10</v>
      </c>
      <c r="E16">
        <v>31</v>
      </c>
      <c r="F16">
        <v>398</v>
      </c>
    </row>
    <row r="17" spans="1:6" x14ac:dyDescent="0.3">
      <c r="A17" t="s">
        <v>67</v>
      </c>
      <c r="B17">
        <v>179</v>
      </c>
      <c r="C17">
        <v>76</v>
      </c>
      <c r="D17">
        <v>3</v>
      </c>
      <c r="F17">
        <v>258</v>
      </c>
    </row>
    <row r="18" spans="1:6" x14ac:dyDescent="0.3">
      <c r="A18" t="s">
        <v>123</v>
      </c>
      <c r="B18">
        <v>153</v>
      </c>
      <c r="C18">
        <v>246</v>
      </c>
      <c r="D18">
        <v>30</v>
      </c>
      <c r="E18">
        <v>8</v>
      </c>
      <c r="F18">
        <v>437</v>
      </c>
    </row>
    <row r="19" spans="1:6" x14ac:dyDescent="0.3">
      <c r="A19" t="s">
        <v>30</v>
      </c>
      <c r="B19">
        <v>146</v>
      </c>
      <c r="C19">
        <v>94</v>
      </c>
      <c r="D19">
        <v>4</v>
      </c>
      <c r="E19">
        <v>28</v>
      </c>
      <c r="F19">
        <v>272</v>
      </c>
    </row>
    <row r="20" spans="1:6" x14ac:dyDescent="0.3">
      <c r="A20" t="s">
        <v>135</v>
      </c>
      <c r="B20">
        <v>127</v>
      </c>
      <c r="C20">
        <v>118</v>
      </c>
      <c r="D20">
        <v>13</v>
      </c>
      <c r="E20">
        <v>12</v>
      </c>
      <c r="F20">
        <v>270</v>
      </c>
    </row>
    <row r="21" spans="1:6" x14ac:dyDescent="0.3">
      <c r="A21" t="s">
        <v>128</v>
      </c>
      <c r="B21">
        <v>99</v>
      </c>
      <c r="C21">
        <v>69</v>
      </c>
      <c r="D21">
        <v>3</v>
      </c>
      <c r="E21">
        <v>24</v>
      </c>
      <c r="F21">
        <v>195</v>
      </c>
    </row>
    <row r="22" spans="1:6" x14ac:dyDescent="0.3">
      <c r="A22" t="s">
        <v>76</v>
      </c>
      <c r="B22">
        <v>75</v>
      </c>
      <c r="C22">
        <v>103</v>
      </c>
      <c r="D22">
        <v>4</v>
      </c>
      <c r="E22">
        <v>6</v>
      </c>
      <c r="F22">
        <v>188</v>
      </c>
    </row>
    <row r="23" spans="1:6" x14ac:dyDescent="0.3">
      <c r="A23" t="s">
        <v>81</v>
      </c>
      <c r="B23">
        <v>43</v>
      </c>
      <c r="C23">
        <v>90</v>
      </c>
      <c r="D23">
        <v>8</v>
      </c>
      <c r="E23">
        <v>6</v>
      </c>
      <c r="F23">
        <v>147</v>
      </c>
    </row>
    <row r="24" spans="1:6" x14ac:dyDescent="0.3">
      <c r="A24" t="s">
        <v>171</v>
      </c>
      <c r="B24">
        <v>26</v>
      </c>
      <c r="C24">
        <v>35</v>
      </c>
      <c r="D24">
        <v>4</v>
      </c>
      <c r="F24">
        <v>65</v>
      </c>
    </row>
    <row r="25" spans="1:6" x14ac:dyDescent="0.3">
      <c r="A25" t="s">
        <v>2554</v>
      </c>
      <c r="B25">
        <v>6272</v>
      </c>
      <c r="C25">
        <v>4672</v>
      </c>
      <c r="D25">
        <v>317</v>
      </c>
      <c r="E25">
        <v>736</v>
      </c>
      <c r="F25">
        <v>11997</v>
      </c>
    </row>
  </sheetData>
  <conditionalFormatting sqref="I6:L10">
    <cfRule type="colorScale" priority="1">
      <colorScale>
        <cfvo type="min"/>
        <cfvo type="percentile" val="50"/>
        <cfvo type="max"/>
        <color rgb="FFF8696B"/>
        <color rgb="FFFCFCFF"/>
        <color rgb="FF5A8AC6"/>
      </colorScale>
    </cfRule>
  </conditionalFormatting>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C2C6A-A6FB-4900-9CEC-26FE752C092E}">
  <dimension ref="A3:L10"/>
  <sheetViews>
    <sheetView showGridLines="0" workbookViewId="0">
      <selection activeCell="A8" sqref="A8:F8"/>
    </sheetView>
  </sheetViews>
  <sheetFormatPr defaultRowHeight="14.4" x14ac:dyDescent="0.3"/>
  <cols>
    <col min="1" max="1" width="14.33203125" bestFit="1" customWidth="1"/>
    <col min="2" max="2" width="14.21875" bestFit="1" customWidth="1"/>
    <col min="3" max="5" width="14.33203125" bestFit="1" customWidth="1"/>
    <col min="6" max="7" width="10.5546875" bestFit="1" customWidth="1"/>
    <col min="8" max="8" width="10.44140625" bestFit="1" customWidth="1"/>
    <col min="9" max="12" width="8.44140625" customWidth="1"/>
  </cols>
  <sheetData>
    <row r="3" spans="1:12" x14ac:dyDescent="0.3">
      <c r="A3" s="16" t="s">
        <v>14</v>
      </c>
      <c r="B3" t="s">
        <v>2548</v>
      </c>
    </row>
    <row r="4" spans="1:12" x14ac:dyDescent="0.3">
      <c r="A4" t="s">
        <v>2556</v>
      </c>
      <c r="B4">
        <v>6272</v>
      </c>
    </row>
    <row r="5" spans="1:12" x14ac:dyDescent="0.3">
      <c r="A5" t="s">
        <v>2557</v>
      </c>
      <c r="B5">
        <v>4672</v>
      </c>
    </row>
    <row r="6" spans="1:12" ht="18" customHeight="1" x14ac:dyDescent="0.3">
      <c r="A6" t="s">
        <v>2558</v>
      </c>
      <c r="B6">
        <v>317</v>
      </c>
      <c r="I6" s="19"/>
      <c r="J6" s="19"/>
      <c r="K6" s="19"/>
      <c r="L6" s="19"/>
    </row>
    <row r="7" spans="1:12" ht="18" customHeight="1" x14ac:dyDescent="0.3">
      <c r="A7" t="s">
        <v>2559</v>
      </c>
      <c r="B7">
        <v>736</v>
      </c>
      <c r="I7" s="19"/>
      <c r="J7" s="19"/>
      <c r="K7" s="19"/>
      <c r="L7" s="19"/>
    </row>
    <row r="8" spans="1:12" ht="18" customHeight="1" x14ac:dyDescent="0.3">
      <c r="A8" t="s">
        <v>2554</v>
      </c>
      <c r="B8">
        <v>11997</v>
      </c>
      <c r="I8" s="19"/>
      <c r="J8" s="19"/>
      <c r="K8" s="19"/>
      <c r="L8" s="19"/>
    </row>
    <row r="9" spans="1:12" ht="18" customHeight="1" x14ac:dyDescent="0.3">
      <c r="I9" s="19"/>
      <c r="J9" s="19"/>
      <c r="K9" s="19"/>
      <c r="L9" s="19"/>
    </row>
    <row r="10" spans="1:12" ht="18" customHeight="1" x14ac:dyDescent="0.3">
      <c r="I10" s="19"/>
      <c r="J10" s="19"/>
      <c r="K10" s="19"/>
      <c r="L10" s="19"/>
    </row>
  </sheetData>
  <conditionalFormatting sqref="I6:L10">
    <cfRule type="colorScale" priority="1">
      <colorScale>
        <cfvo type="min"/>
        <cfvo type="percentile" val="50"/>
        <cfvo type="max"/>
        <color rgb="FFF8696B"/>
        <color rgb="FFFCFCFF"/>
        <color rgb="FF5A8AC6"/>
      </colorScale>
    </cfRule>
  </conditionalFormatting>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921D5-B1EB-491C-81B8-0722D4F3D45B}">
  <dimension ref="A2:L61"/>
  <sheetViews>
    <sheetView workbookViewId="0">
      <selection activeCell="A8" sqref="A8:F8"/>
    </sheetView>
  </sheetViews>
  <sheetFormatPr defaultRowHeight="14.4" x14ac:dyDescent="0.3"/>
  <cols>
    <col min="1" max="1" width="10.5546875" bestFit="1" customWidth="1"/>
    <col min="2" max="2" width="19.6640625" bestFit="1" customWidth="1"/>
    <col min="3" max="3" width="14.21875" bestFit="1" customWidth="1"/>
    <col min="4" max="4" width="13.5546875" bestFit="1" customWidth="1"/>
    <col min="5" max="5" width="14.33203125" bestFit="1" customWidth="1"/>
    <col min="6" max="6" width="10.5546875" bestFit="1" customWidth="1"/>
    <col min="7" max="7" width="14.109375" bestFit="1" customWidth="1"/>
    <col min="8" max="8" width="13.109375" bestFit="1" customWidth="1"/>
    <col min="9" max="10" width="8.44140625" customWidth="1"/>
    <col min="11" max="11" width="19.6640625" bestFit="1" customWidth="1"/>
    <col min="12" max="12" width="13.109375" bestFit="1" customWidth="1"/>
  </cols>
  <sheetData>
    <row r="2" spans="1:12" x14ac:dyDescent="0.3">
      <c r="F2" t="s">
        <v>2563</v>
      </c>
      <c r="J2" t="s">
        <v>2564</v>
      </c>
    </row>
    <row r="3" spans="1:12" x14ac:dyDescent="0.3">
      <c r="A3" s="16" t="s">
        <v>10</v>
      </c>
      <c r="B3" s="16" t="s">
        <v>11</v>
      </c>
      <c r="C3" t="s">
        <v>2548</v>
      </c>
      <c r="D3" t="s">
        <v>2549</v>
      </c>
      <c r="F3" t="str">
        <f>A3</f>
        <v>State</v>
      </c>
      <c r="G3" t="str">
        <f t="shared" ref="G3" si="0">B3</f>
        <v>County</v>
      </c>
      <c r="H3" t="s">
        <v>2565</v>
      </c>
      <c r="J3" t="str">
        <f>A3</f>
        <v>State</v>
      </c>
      <c r="K3" t="str">
        <f>B3</f>
        <v>County</v>
      </c>
      <c r="L3" t="s">
        <v>4</v>
      </c>
    </row>
    <row r="4" spans="1:12" x14ac:dyDescent="0.3">
      <c r="A4" t="s">
        <v>19</v>
      </c>
      <c r="B4" t="s">
        <v>115</v>
      </c>
      <c r="C4">
        <v>579</v>
      </c>
      <c r="D4">
        <v>31884.999999999996</v>
      </c>
      <c r="F4" t="str">
        <f>IF(A4="","",A4)</f>
        <v>California</v>
      </c>
      <c r="G4" t="str">
        <f t="shared" ref="G4:H4" si="1">IF(B4="","",B4)</f>
        <v>Alameda County</v>
      </c>
      <c r="H4">
        <f t="shared" si="1"/>
        <v>579</v>
      </c>
      <c r="J4" t="str">
        <f>IF(A4="","",A4)</f>
        <v>California</v>
      </c>
      <c r="K4" t="str">
        <f>IF(B4="","",B4)</f>
        <v>Alameda County</v>
      </c>
      <c r="L4">
        <f>IF(D4="","",D4)</f>
        <v>31884.999999999996</v>
      </c>
    </row>
    <row r="5" spans="1:12" x14ac:dyDescent="0.3">
      <c r="A5" t="s">
        <v>19</v>
      </c>
      <c r="B5" t="s">
        <v>20</v>
      </c>
      <c r="C5">
        <v>1</v>
      </c>
      <c r="D5">
        <v>10.9</v>
      </c>
      <c r="F5" t="str">
        <f t="shared" ref="F5:F61" si="2">IF(A5="","",A5)</f>
        <v>California</v>
      </c>
      <c r="G5" t="str">
        <f t="shared" ref="G5:G61" si="3">IF(B5="","",B5)</f>
        <v>Alpine County</v>
      </c>
      <c r="H5">
        <f t="shared" ref="H5:H61" si="4">IF(C5="","",C5)</f>
        <v>1</v>
      </c>
      <c r="J5" t="str">
        <f t="shared" ref="J5:J61" si="5">IF(A5="","",A5)</f>
        <v>California</v>
      </c>
      <c r="K5" t="str">
        <f t="shared" ref="K5:K61" si="6">IF(B5="","",B5)</f>
        <v>Alpine County</v>
      </c>
      <c r="L5">
        <f t="shared" ref="L5:L61" si="7">IF(D5="","",D5)</f>
        <v>10.9</v>
      </c>
    </row>
    <row r="6" spans="1:12" ht="18" customHeight="1" x14ac:dyDescent="0.3">
      <c r="A6" t="s">
        <v>19</v>
      </c>
      <c r="B6" t="s">
        <v>641</v>
      </c>
      <c r="C6">
        <v>9</v>
      </c>
      <c r="D6">
        <v>800.3</v>
      </c>
      <c r="F6" t="str">
        <f t="shared" si="2"/>
        <v>California</v>
      </c>
      <c r="G6" t="str">
        <f t="shared" si="3"/>
        <v>Amador County</v>
      </c>
      <c r="H6">
        <f t="shared" si="4"/>
        <v>9</v>
      </c>
      <c r="I6" s="19"/>
      <c r="J6" t="str">
        <f t="shared" si="5"/>
        <v>California</v>
      </c>
      <c r="K6" t="str">
        <f t="shared" si="6"/>
        <v>Amador County</v>
      </c>
      <c r="L6">
        <f t="shared" si="7"/>
        <v>800.3</v>
      </c>
    </row>
    <row r="7" spans="1:12" ht="18" customHeight="1" x14ac:dyDescent="0.3">
      <c r="A7" t="s">
        <v>19</v>
      </c>
      <c r="B7" t="s">
        <v>967</v>
      </c>
      <c r="C7">
        <v>35</v>
      </c>
      <c r="D7">
        <v>1062.5999999999999</v>
      </c>
      <c r="F7" t="str">
        <f t="shared" si="2"/>
        <v>California</v>
      </c>
      <c r="G7" t="str">
        <f t="shared" si="3"/>
        <v>Butte County</v>
      </c>
      <c r="H7">
        <f t="shared" si="4"/>
        <v>35</v>
      </c>
      <c r="I7" s="19"/>
      <c r="J7" t="str">
        <f t="shared" si="5"/>
        <v>California</v>
      </c>
      <c r="K7" t="str">
        <f t="shared" si="6"/>
        <v>Butte County</v>
      </c>
      <c r="L7">
        <f t="shared" si="7"/>
        <v>1062.5999999999999</v>
      </c>
    </row>
    <row r="8" spans="1:12" ht="18" customHeight="1" x14ac:dyDescent="0.3">
      <c r="A8" t="s">
        <v>19</v>
      </c>
      <c r="B8" t="s">
        <v>84</v>
      </c>
      <c r="C8">
        <v>12</v>
      </c>
      <c r="D8">
        <v>326.20000000000005</v>
      </c>
      <c r="F8" t="str">
        <f t="shared" si="2"/>
        <v>California</v>
      </c>
      <c r="G8" t="str">
        <f t="shared" si="3"/>
        <v>Calaveras County</v>
      </c>
      <c r="H8">
        <f t="shared" si="4"/>
        <v>12</v>
      </c>
      <c r="I8" s="19"/>
      <c r="J8" t="str">
        <f t="shared" si="5"/>
        <v>California</v>
      </c>
      <c r="K8" t="str">
        <f t="shared" si="6"/>
        <v>Calaveras County</v>
      </c>
      <c r="L8">
        <f>IF(D8="","",D8)</f>
        <v>326.20000000000005</v>
      </c>
    </row>
    <row r="9" spans="1:12" ht="18" customHeight="1" x14ac:dyDescent="0.3">
      <c r="A9" t="s">
        <v>19</v>
      </c>
      <c r="B9" t="s">
        <v>1383</v>
      </c>
      <c r="C9">
        <v>4</v>
      </c>
      <c r="D9">
        <v>167.5</v>
      </c>
      <c r="F9" t="str">
        <f t="shared" si="2"/>
        <v>California</v>
      </c>
      <c r="G9" t="str">
        <f t="shared" si="3"/>
        <v>Colusa County</v>
      </c>
      <c r="H9">
        <f t="shared" si="4"/>
        <v>4</v>
      </c>
      <c r="I9" s="19"/>
      <c r="J9" t="str">
        <f t="shared" si="5"/>
        <v>California</v>
      </c>
      <c r="K9" t="str">
        <f t="shared" si="6"/>
        <v>Colusa County</v>
      </c>
      <c r="L9">
        <f t="shared" si="7"/>
        <v>167.5</v>
      </c>
    </row>
    <row r="10" spans="1:12" ht="18" customHeight="1" x14ac:dyDescent="0.3">
      <c r="A10" t="s">
        <v>19</v>
      </c>
      <c r="B10" t="s">
        <v>24</v>
      </c>
      <c r="C10">
        <v>341</v>
      </c>
      <c r="D10">
        <v>16168.7</v>
      </c>
      <c r="F10" t="str">
        <f t="shared" si="2"/>
        <v>California</v>
      </c>
      <c r="G10" t="str">
        <f t="shared" si="3"/>
        <v>Contra Costa County</v>
      </c>
      <c r="H10">
        <f t="shared" si="4"/>
        <v>341</v>
      </c>
      <c r="I10" s="19"/>
      <c r="J10" t="str">
        <f t="shared" si="5"/>
        <v>California</v>
      </c>
      <c r="K10" t="str">
        <f t="shared" si="6"/>
        <v>Contra Costa County</v>
      </c>
      <c r="L10">
        <f t="shared" si="7"/>
        <v>16168.7</v>
      </c>
    </row>
    <row r="11" spans="1:12" x14ac:dyDescent="0.3">
      <c r="A11" t="s">
        <v>19</v>
      </c>
      <c r="B11" t="s">
        <v>2204</v>
      </c>
      <c r="C11">
        <v>13</v>
      </c>
      <c r="D11">
        <v>322.40000000000003</v>
      </c>
      <c r="F11" t="str">
        <f t="shared" si="2"/>
        <v>California</v>
      </c>
      <c r="G11" t="str">
        <f t="shared" si="3"/>
        <v>Del Norte County</v>
      </c>
      <c r="H11">
        <f t="shared" si="4"/>
        <v>13</v>
      </c>
      <c r="J11" t="str">
        <f t="shared" si="5"/>
        <v>California</v>
      </c>
      <c r="K11" t="str">
        <f t="shared" si="6"/>
        <v>Del Norte County</v>
      </c>
      <c r="L11">
        <f t="shared" si="7"/>
        <v>322.40000000000003</v>
      </c>
    </row>
    <row r="12" spans="1:12" x14ac:dyDescent="0.3">
      <c r="A12" t="s">
        <v>19</v>
      </c>
      <c r="B12" t="s">
        <v>437</v>
      </c>
      <c r="C12">
        <v>31</v>
      </c>
      <c r="D12">
        <v>2092.8000000000002</v>
      </c>
      <c r="F12" t="str">
        <f t="shared" si="2"/>
        <v>California</v>
      </c>
      <c r="G12" t="str">
        <f t="shared" si="3"/>
        <v>El Dorado County</v>
      </c>
      <c r="H12">
        <f t="shared" si="4"/>
        <v>31</v>
      </c>
      <c r="J12" t="str">
        <f t="shared" si="5"/>
        <v>California</v>
      </c>
      <c r="K12" t="str">
        <f t="shared" si="6"/>
        <v>El Dorado County</v>
      </c>
      <c r="L12">
        <f t="shared" si="7"/>
        <v>2092.8000000000002</v>
      </c>
    </row>
    <row r="13" spans="1:12" x14ac:dyDescent="0.3">
      <c r="A13" t="s">
        <v>19</v>
      </c>
      <c r="B13" t="s">
        <v>28</v>
      </c>
      <c r="C13">
        <v>279</v>
      </c>
      <c r="D13">
        <v>12662.500000000002</v>
      </c>
      <c r="F13" t="str">
        <f t="shared" si="2"/>
        <v>California</v>
      </c>
      <c r="G13" t="str">
        <f t="shared" si="3"/>
        <v>Fresno County</v>
      </c>
      <c r="H13">
        <f t="shared" si="4"/>
        <v>279</v>
      </c>
      <c r="J13" t="str">
        <f t="shared" si="5"/>
        <v>California</v>
      </c>
      <c r="K13" t="str">
        <f t="shared" si="6"/>
        <v>Fresno County</v>
      </c>
      <c r="L13">
        <f t="shared" si="7"/>
        <v>12662.500000000002</v>
      </c>
    </row>
    <row r="14" spans="1:12" x14ac:dyDescent="0.3">
      <c r="A14" t="s">
        <v>19</v>
      </c>
      <c r="B14" t="s">
        <v>208</v>
      </c>
      <c r="C14">
        <v>9</v>
      </c>
      <c r="D14">
        <v>343.2</v>
      </c>
      <c r="F14" t="str">
        <f t="shared" si="2"/>
        <v>California</v>
      </c>
      <c r="G14" t="str">
        <f t="shared" si="3"/>
        <v>Glenn County</v>
      </c>
      <c r="H14">
        <f t="shared" si="4"/>
        <v>9</v>
      </c>
      <c r="J14" t="str">
        <f t="shared" si="5"/>
        <v>California</v>
      </c>
      <c r="K14" t="str">
        <f t="shared" si="6"/>
        <v>Glenn County</v>
      </c>
      <c r="L14">
        <f t="shared" si="7"/>
        <v>343.2</v>
      </c>
    </row>
    <row r="15" spans="1:12" x14ac:dyDescent="0.3">
      <c r="A15" t="s">
        <v>19</v>
      </c>
      <c r="B15" t="s">
        <v>587</v>
      </c>
      <c r="C15">
        <v>49</v>
      </c>
      <c r="D15">
        <v>2188.2999999999997</v>
      </c>
      <c r="F15" t="str">
        <f t="shared" si="2"/>
        <v>California</v>
      </c>
      <c r="G15" t="str">
        <f t="shared" si="3"/>
        <v>Humboldt County</v>
      </c>
      <c r="H15">
        <f t="shared" si="4"/>
        <v>49</v>
      </c>
      <c r="J15" t="str">
        <f t="shared" si="5"/>
        <v>California</v>
      </c>
      <c r="K15" t="str">
        <f t="shared" si="6"/>
        <v>Humboldt County</v>
      </c>
      <c r="L15">
        <f t="shared" si="7"/>
        <v>2188.2999999999997</v>
      </c>
    </row>
    <row r="16" spans="1:12" x14ac:dyDescent="0.3">
      <c r="A16" t="s">
        <v>19</v>
      </c>
      <c r="B16" t="s">
        <v>331</v>
      </c>
      <c r="C16">
        <v>59</v>
      </c>
      <c r="D16">
        <v>2661.5999999999995</v>
      </c>
      <c r="F16" t="str">
        <f t="shared" si="2"/>
        <v>California</v>
      </c>
      <c r="G16" t="str">
        <f t="shared" si="3"/>
        <v>Imperial County</v>
      </c>
      <c r="H16">
        <f t="shared" si="4"/>
        <v>59</v>
      </c>
      <c r="J16" t="str">
        <f t="shared" si="5"/>
        <v>California</v>
      </c>
      <c r="K16" t="str">
        <f t="shared" si="6"/>
        <v>Imperial County</v>
      </c>
      <c r="L16">
        <f t="shared" si="7"/>
        <v>2661.5999999999995</v>
      </c>
    </row>
    <row r="17" spans="1:12" x14ac:dyDescent="0.3">
      <c r="A17" t="s">
        <v>19</v>
      </c>
      <c r="B17" t="s">
        <v>86</v>
      </c>
      <c r="C17">
        <v>8</v>
      </c>
      <c r="D17">
        <v>887.5</v>
      </c>
      <c r="F17" t="str">
        <f t="shared" si="2"/>
        <v>California</v>
      </c>
      <c r="G17" t="str">
        <f t="shared" si="3"/>
        <v>Inyo County</v>
      </c>
      <c r="H17">
        <f t="shared" si="4"/>
        <v>8</v>
      </c>
      <c r="J17" t="str">
        <f t="shared" si="5"/>
        <v>California</v>
      </c>
      <c r="K17" t="str">
        <f t="shared" si="6"/>
        <v>Inyo County</v>
      </c>
      <c r="L17">
        <f t="shared" si="7"/>
        <v>887.5</v>
      </c>
    </row>
    <row r="18" spans="1:12" x14ac:dyDescent="0.3">
      <c r="A18" t="s">
        <v>19</v>
      </c>
      <c r="B18" t="s">
        <v>147</v>
      </c>
      <c r="C18">
        <v>222</v>
      </c>
      <c r="D18">
        <v>11354.199999999993</v>
      </c>
      <c r="F18" t="str">
        <f t="shared" si="2"/>
        <v>California</v>
      </c>
      <c r="G18" t="str">
        <f t="shared" si="3"/>
        <v>Kern County</v>
      </c>
      <c r="H18">
        <f t="shared" si="4"/>
        <v>222</v>
      </c>
      <c r="J18" t="str">
        <f t="shared" si="5"/>
        <v>California</v>
      </c>
      <c r="K18" t="str">
        <f t="shared" si="6"/>
        <v>Kern County</v>
      </c>
      <c r="L18">
        <f t="shared" si="7"/>
        <v>11354.199999999993</v>
      </c>
    </row>
    <row r="19" spans="1:12" x14ac:dyDescent="0.3">
      <c r="A19" t="s">
        <v>19</v>
      </c>
      <c r="B19" t="s">
        <v>334</v>
      </c>
      <c r="C19">
        <v>36</v>
      </c>
      <c r="D19">
        <v>1558.4</v>
      </c>
      <c r="F19" t="str">
        <f t="shared" si="2"/>
        <v>California</v>
      </c>
      <c r="G19" t="str">
        <f t="shared" si="3"/>
        <v>Kings County</v>
      </c>
      <c r="H19">
        <f t="shared" si="4"/>
        <v>36</v>
      </c>
      <c r="J19" t="str">
        <f t="shared" si="5"/>
        <v>California</v>
      </c>
      <c r="K19" t="str">
        <f t="shared" si="6"/>
        <v>Kings County</v>
      </c>
      <c r="L19">
        <f t="shared" si="7"/>
        <v>1558.4</v>
      </c>
    </row>
    <row r="20" spans="1:12" x14ac:dyDescent="0.3">
      <c r="A20" t="s">
        <v>19</v>
      </c>
      <c r="B20" t="s">
        <v>949</v>
      </c>
      <c r="C20">
        <v>30</v>
      </c>
      <c r="D20">
        <v>2223.9</v>
      </c>
      <c r="F20" t="str">
        <f t="shared" si="2"/>
        <v>California</v>
      </c>
      <c r="G20" t="str">
        <f t="shared" si="3"/>
        <v>Lake County</v>
      </c>
      <c r="H20">
        <f t="shared" si="4"/>
        <v>30</v>
      </c>
      <c r="J20" t="str">
        <f t="shared" si="5"/>
        <v>California</v>
      </c>
      <c r="K20" t="str">
        <f t="shared" si="6"/>
        <v>Lake County</v>
      </c>
      <c r="L20">
        <f t="shared" si="7"/>
        <v>2223.9</v>
      </c>
    </row>
    <row r="21" spans="1:12" x14ac:dyDescent="0.3">
      <c r="A21" t="s">
        <v>19</v>
      </c>
      <c r="B21" t="s">
        <v>1426</v>
      </c>
      <c r="C21">
        <v>1</v>
      </c>
      <c r="D21">
        <v>26.2</v>
      </c>
      <c r="F21" t="str">
        <f t="shared" si="2"/>
        <v>California</v>
      </c>
      <c r="G21" t="str">
        <f t="shared" si="3"/>
        <v>Lassen County</v>
      </c>
      <c r="H21">
        <f t="shared" si="4"/>
        <v>1</v>
      </c>
      <c r="J21" t="str">
        <f t="shared" si="5"/>
        <v>California</v>
      </c>
      <c r="K21" t="str">
        <f t="shared" si="6"/>
        <v>Lassen County</v>
      </c>
      <c r="L21">
        <f t="shared" si="7"/>
        <v>26.2</v>
      </c>
    </row>
    <row r="22" spans="1:12" x14ac:dyDescent="0.3">
      <c r="A22" t="s">
        <v>19</v>
      </c>
      <c r="B22" t="s">
        <v>33</v>
      </c>
      <c r="C22">
        <v>3991</v>
      </c>
      <c r="D22">
        <v>215551.19999999981</v>
      </c>
      <c r="F22" t="str">
        <f t="shared" si="2"/>
        <v>California</v>
      </c>
      <c r="G22" t="str">
        <f t="shared" si="3"/>
        <v>Los Angeles County</v>
      </c>
      <c r="H22">
        <f t="shared" si="4"/>
        <v>3991</v>
      </c>
      <c r="J22" t="str">
        <f t="shared" si="5"/>
        <v>California</v>
      </c>
      <c r="K22" t="str">
        <f t="shared" si="6"/>
        <v>Los Angeles County</v>
      </c>
      <c r="L22">
        <f t="shared" si="7"/>
        <v>215551.19999999981</v>
      </c>
    </row>
    <row r="23" spans="1:12" x14ac:dyDescent="0.3">
      <c r="A23" t="s">
        <v>19</v>
      </c>
      <c r="B23" t="s">
        <v>364</v>
      </c>
      <c r="C23">
        <v>45</v>
      </c>
      <c r="D23">
        <v>2687.3999999999996</v>
      </c>
      <c r="F23" t="str">
        <f t="shared" si="2"/>
        <v>California</v>
      </c>
      <c r="G23" t="str">
        <f t="shared" si="3"/>
        <v>Madera County</v>
      </c>
      <c r="H23">
        <f t="shared" si="4"/>
        <v>45</v>
      </c>
      <c r="J23" t="str">
        <f t="shared" si="5"/>
        <v>California</v>
      </c>
      <c r="K23" t="str">
        <f t="shared" si="6"/>
        <v>Madera County</v>
      </c>
      <c r="L23">
        <f t="shared" si="7"/>
        <v>2687.3999999999996</v>
      </c>
    </row>
    <row r="24" spans="1:12" x14ac:dyDescent="0.3">
      <c r="A24" t="s">
        <v>19</v>
      </c>
      <c r="B24" t="s">
        <v>545</v>
      </c>
      <c r="C24">
        <v>39</v>
      </c>
      <c r="D24">
        <v>1463.3000000000002</v>
      </c>
      <c r="F24" t="str">
        <f t="shared" si="2"/>
        <v>California</v>
      </c>
      <c r="G24" t="str">
        <f t="shared" si="3"/>
        <v>Marin County</v>
      </c>
      <c r="H24">
        <f t="shared" si="4"/>
        <v>39</v>
      </c>
      <c r="J24" t="str">
        <f t="shared" si="5"/>
        <v>California</v>
      </c>
      <c r="K24" t="str">
        <f t="shared" si="6"/>
        <v>Marin County</v>
      </c>
      <c r="L24">
        <f t="shared" si="7"/>
        <v>1463.3000000000002</v>
      </c>
    </row>
    <row r="25" spans="1:12" x14ac:dyDescent="0.3">
      <c r="A25" t="s">
        <v>19</v>
      </c>
      <c r="B25" t="s">
        <v>416</v>
      </c>
      <c r="C25">
        <v>6</v>
      </c>
      <c r="D25">
        <v>445.79999999999995</v>
      </c>
      <c r="F25" t="str">
        <f t="shared" si="2"/>
        <v>California</v>
      </c>
      <c r="G25" t="str">
        <f t="shared" si="3"/>
        <v>Mariposa County</v>
      </c>
      <c r="H25">
        <f t="shared" si="4"/>
        <v>6</v>
      </c>
      <c r="J25" t="str">
        <f t="shared" si="5"/>
        <v>California</v>
      </c>
      <c r="K25" t="str">
        <f t="shared" si="6"/>
        <v>Mariposa County</v>
      </c>
      <c r="L25">
        <f t="shared" si="7"/>
        <v>445.79999999999995</v>
      </c>
    </row>
    <row r="26" spans="1:12" x14ac:dyDescent="0.3">
      <c r="A26" t="s">
        <v>19</v>
      </c>
      <c r="B26" t="s">
        <v>258</v>
      </c>
      <c r="C26">
        <v>9</v>
      </c>
      <c r="D26">
        <v>273.59999999999997</v>
      </c>
      <c r="F26" t="str">
        <f t="shared" si="2"/>
        <v>California</v>
      </c>
      <c r="G26" t="str">
        <f t="shared" si="3"/>
        <v>Mendocino County</v>
      </c>
      <c r="H26">
        <f t="shared" si="4"/>
        <v>9</v>
      </c>
      <c r="J26" t="str">
        <f t="shared" si="5"/>
        <v>California</v>
      </c>
      <c r="K26" t="str">
        <f t="shared" si="6"/>
        <v>Mendocino County</v>
      </c>
      <c r="L26">
        <f t="shared" si="7"/>
        <v>273.59999999999997</v>
      </c>
    </row>
    <row r="27" spans="1:12" x14ac:dyDescent="0.3">
      <c r="A27" t="s">
        <v>19</v>
      </c>
      <c r="B27" t="s">
        <v>186</v>
      </c>
      <c r="C27">
        <v>60</v>
      </c>
      <c r="D27">
        <v>2690.4</v>
      </c>
      <c r="F27" t="str">
        <f t="shared" si="2"/>
        <v>California</v>
      </c>
      <c r="G27" t="str">
        <f t="shared" si="3"/>
        <v>Merced County</v>
      </c>
      <c r="H27">
        <f t="shared" si="4"/>
        <v>60</v>
      </c>
      <c r="J27" t="str">
        <f t="shared" si="5"/>
        <v>California</v>
      </c>
      <c r="K27" t="str">
        <f t="shared" si="6"/>
        <v>Merced County</v>
      </c>
      <c r="L27">
        <f t="shared" si="7"/>
        <v>2690.4</v>
      </c>
    </row>
    <row r="28" spans="1:12" x14ac:dyDescent="0.3">
      <c r="A28" t="s">
        <v>19</v>
      </c>
      <c r="B28" t="s">
        <v>392</v>
      </c>
      <c r="C28">
        <v>2</v>
      </c>
      <c r="D28">
        <v>28.4</v>
      </c>
      <c r="F28" t="str">
        <f t="shared" si="2"/>
        <v>California</v>
      </c>
      <c r="G28" t="str">
        <f t="shared" si="3"/>
        <v>Modoc County</v>
      </c>
      <c r="H28">
        <f t="shared" si="4"/>
        <v>2</v>
      </c>
      <c r="J28" t="str">
        <f t="shared" si="5"/>
        <v>California</v>
      </c>
      <c r="K28" t="str">
        <f t="shared" si="6"/>
        <v>Modoc County</v>
      </c>
      <c r="L28">
        <f t="shared" si="7"/>
        <v>28.4</v>
      </c>
    </row>
    <row r="29" spans="1:12" x14ac:dyDescent="0.3">
      <c r="A29" t="s">
        <v>19</v>
      </c>
      <c r="B29" t="s">
        <v>670</v>
      </c>
      <c r="C29">
        <v>4</v>
      </c>
      <c r="D29">
        <v>204.8</v>
      </c>
      <c r="F29" t="str">
        <f t="shared" si="2"/>
        <v>California</v>
      </c>
      <c r="G29" t="str">
        <f t="shared" si="3"/>
        <v>Mono County</v>
      </c>
      <c r="H29">
        <f t="shared" si="4"/>
        <v>4</v>
      </c>
      <c r="J29" t="str">
        <f t="shared" si="5"/>
        <v>California</v>
      </c>
      <c r="K29" t="str">
        <f t="shared" si="6"/>
        <v>Mono County</v>
      </c>
      <c r="L29">
        <f t="shared" si="7"/>
        <v>204.8</v>
      </c>
    </row>
    <row r="30" spans="1:12" x14ac:dyDescent="0.3">
      <c r="A30" t="s">
        <v>19</v>
      </c>
      <c r="B30" t="s">
        <v>802</v>
      </c>
      <c r="C30">
        <v>31</v>
      </c>
      <c r="D30">
        <v>1607.8999999999999</v>
      </c>
      <c r="F30" t="str">
        <f t="shared" si="2"/>
        <v>California</v>
      </c>
      <c r="G30" t="str">
        <f t="shared" si="3"/>
        <v>Monterey County</v>
      </c>
      <c r="H30">
        <f t="shared" si="4"/>
        <v>31</v>
      </c>
      <c r="J30" t="str">
        <f t="shared" si="5"/>
        <v>California</v>
      </c>
      <c r="K30" t="str">
        <f t="shared" si="6"/>
        <v>Monterey County</v>
      </c>
      <c r="L30">
        <f t="shared" si="7"/>
        <v>1607.8999999999999</v>
      </c>
    </row>
    <row r="31" spans="1:12" x14ac:dyDescent="0.3">
      <c r="A31" t="s">
        <v>19</v>
      </c>
      <c r="B31" t="s">
        <v>98</v>
      </c>
      <c r="C31">
        <v>88</v>
      </c>
      <c r="D31">
        <v>6444.9</v>
      </c>
      <c r="F31" t="str">
        <f t="shared" si="2"/>
        <v>California</v>
      </c>
      <c r="G31" t="str">
        <f t="shared" si="3"/>
        <v>Napa County</v>
      </c>
      <c r="H31">
        <f t="shared" si="4"/>
        <v>88</v>
      </c>
      <c r="J31" t="str">
        <f t="shared" si="5"/>
        <v>California</v>
      </c>
      <c r="K31" t="str">
        <f t="shared" si="6"/>
        <v>Napa County</v>
      </c>
      <c r="L31">
        <f t="shared" si="7"/>
        <v>6444.9</v>
      </c>
    </row>
    <row r="32" spans="1:12" x14ac:dyDescent="0.3">
      <c r="A32" t="s">
        <v>19</v>
      </c>
      <c r="B32" t="s">
        <v>49</v>
      </c>
      <c r="C32">
        <v>25</v>
      </c>
      <c r="D32">
        <v>1809.3</v>
      </c>
      <c r="F32" t="str">
        <f t="shared" si="2"/>
        <v>California</v>
      </c>
      <c r="G32" t="str">
        <f t="shared" si="3"/>
        <v>Nevada County</v>
      </c>
      <c r="H32">
        <f t="shared" si="4"/>
        <v>25</v>
      </c>
      <c r="J32" t="str">
        <f t="shared" si="5"/>
        <v>California</v>
      </c>
      <c r="K32" t="str">
        <f t="shared" si="6"/>
        <v>Nevada County</v>
      </c>
      <c r="L32">
        <f t="shared" si="7"/>
        <v>1809.3</v>
      </c>
    </row>
    <row r="33" spans="1:12" x14ac:dyDescent="0.3">
      <c r="A33" t="s">
        <v>19</v>
      </c>
      <c r="B33" t="s">
        <v>188</v>
      </c>
      <c r="C33">
        <v>178</v>
      </c>
      <c r="D33">
        <v>9680.399999999996</v>
      </c>
      <c r="F33" t="str">
        <f t="shared" si="2"/>
        <v>California</v>
      </c>
      <c r="G33" t="str">
        <f t="shared" si="3"/>
        <v>Orange County</v>
      </c>
      <c r="H33">
        <f t="shared" si="4"/>
        <v>178</v>
      </c>
      <c r="J33" t="str">
        <f t="shared" si="5"/>
        <v>California</v>
      </c>
      <c r="K33" t="str">
        <f t="shared" si="6"/>
        <v>Orange County</v>
      </c>
      <c r="L33">
        <f t="shared" si="7"/>
        <v>9680.399999999996</v>
      </c>
    </row>
    <row r="34" spans="1:12" x14ac:dyDescent="0.3">
      <c r="A34" t="s">
        <v>19</v>
      </c>
      <c r="B34" t="s">
        <v>52</v>
      </c>
      <c r="C34">
        <v>141</v>
      </c>
      <c r="D34">
        <v>9414.7999999999993</v>
      </c>
      <c r="F34" t="str">
        <f t="shared" si="2"/>
        <v>California</v>
      </c>
      <c r="G34" t="str">
        <f t="shared" si="3"/>
        <v>Placer County</v>
      </c>
      <c r="H34">
        <f t="shared" si="4"/>
        <v>141</v>
      </c>
      <c r="J34" t="str">
        <f t="shared" si="5"/>
        <v>California</v>
      </c>
      <c r="K34" t="str">
        <f t="shared" si="6"/>
        <v>Placer County</v>
      </c>
      <c r="L34">
        <f t="shared" si="7"/>
        <v>9414.7999999999993</v>
      </c>
    </row>
    <row r="35" spans="1:12" x14ac:dyDescent="0.3">
      <c r="A35" t="s">
        <v>19</v>
      </c>
      <c r="B35" t="s">
        <v>338</v>
      </c>
      <c r="C35">
        <v>6</v>
      </c>
      <c r="D35">
        <v>206.1</v>
      </c>
      <c r="F35" t="str">
        <f t="shared" si="2"/>
        <v>California</v>
      </c>
      <c r="G35" t="str">
        <f t="shared" si="3"/>
        <v>Plumas County</v>
      </c>
      <c r="H35">
        <f t="shared" si="4"/>
        <v>6</v>
      </c>
      <c r="J35" t="str">
        <f t="shared" si="5"/>
        <v>California</v>
      </c>
      <c r="K35" t="str">
        <f t="shared" si="6"/>
        <v>Plumas County</v>
      </c>
      <c r="L35">
        <f t="shared" si="7"/>
        <v>206.1</v>
      </c>
    </row>
    <row r="36" spans="1:12" x14ac:dyDescent="0.3">
      <c r="A36" t="s">
        <v>19</v>
      </c>
      <c r="B36" t="s">
        <v>158</v>
      </c>
      <c r="C36">
        <v>178</v>
      </c>
      <c r="D36">
        <v>7691.3</v>
      </c>
      <c r="F36" t="str">
        <f t="shared" si="2"/>
        <v>California</v>
      </c>
      <c r="G36" t="str">
        <f t="shared" si="3"/>
        <v>Riverside County</v>
      </c>
      <c r="H36">
        <f t="shared" si="4"/>
        <v>178</v>
      </c>
      <c r="J36" t="str">
        <f t="shared" si="5"/>
        <v>California</v>
      </c>
      <c r="K36" t="str">
        <f t="shared" si="6"/>
        <v>Riverside County</v>
      </c>
      <c r="L36">
        <f t="shared" si="7"/>
        <v>7691.3</v>
      </c>
    </row>
    <row r="37" spans="1:12" x14ac:dyDescent="0.3">
      <c r="A37" t="s">
        <v>19</v>
      </c>
      <c r="B37" t="s">
        <v>55</v>
      </c>
      <c r="C37">
        <v>699</v>
      </c>
      <c r="D37">
        <v>37784.900000000016</v>
      </c>
      <c r="F37" t="str">
        <f t="shared" si="2"/>
        <v>California</v>
      </c>
      <c r="G37" t="str">
        <f t="shared" si="3"/>
        <v>Sacramento County</v>
      </c>
      <c r="H37">
        <f t="shared" si="4"/>
        <v>699</v>
      </c>
      <c r="J37" t="str">
        <f t="shared" si="5"/>
        <v>California</v>
      </c>
      <c r="K37" t="str">
        <f t="shared" si="6"/>
        <v>Sacramento County</v>
      </c>
      <c r="L37">
        <f t="shared" si="7"/>
        <v>37784.900000000016</v>
      </c>
    </row>
    <row r="38" spans="1:12" x14ac:dyDescent="0.3">
      <c r="A38" t="s">
        <v>19</v>
      </c>
      <c r="B38" t="s">
        <v>342</v>
      </c>
      <c r="C38">
        <v>23</v>
      </c>
      <c r="D38">
        <v>1129.7</v>
      </c>
      <c r="F38" t="str">
        <f t="shared" si="2"/>
        <v>California</v>
      </c>
      <c r="G38" t="str">
        <f t="shared" si="3"/>
        <v>San Benito County</v>
      </c>
      <c r="H38">
        <f t="shared" si="4"/>
        <v>23</v>
      </c>
      <c r="J38" t="str">
        <f t="shared" si="5"/>
        <v>California</v>
      </c>
      <c r="K38" t="str">
        <f t="shared" si="6"/>
        <v>San Benito County</v>
      </c>
      <c r="L38">
        <f t="shared" si="7"/>
        <v>1129.7</v>
      </c>
    </row>
    <row r="39" spans="1:12" x14ac:dyDescent="0.3">
      <c r="A39" t="s">
        <v>19</v>
      </c>
      <c r="B39" t="s">
        <v>59</v>
      </c>
      <c r="C39">
        <v>356</v>
      </c>
      <c r="D39">
        <v>20988.9</v>
      </c>
      <c r="F39" t="str">
        <f t="shared" si="2"/>
        <v>California</v>
      </c>
      <c r="G39" t="str">
        <f t="shared" si="3"/>
        <v>San Bernardino County</v>
      </c>
      <c r="H39">
        <f t="shared" si="4"/>
        <v>356</v>
      </c>
      <c r="J39" t="str">
        <f t="shared" si="5"/>
        <v>California</v>
      </c>
      <c r="K39" t="str">
        <f t="shared" si="6"/>
        <v>San Bernardino County</v>
      </c>
      <c r="L39">
        <f t="shared" si="7"/>
        <v>20988.9</v>
      </c>
    </row>
    <row r="40" spans="1:12" x14ac:dyDescent="0.3">
      <c r="A40" t="s">
        <v>19</v>
      </c>
      <c r="B40" t="s">
        <v>62</v>
      </c>
      <c r="C40">
        <v>1768</v>
      </c>
      <c r="D40">
        <v>98367.099999999977</v>
      </c>
      <c r="F40" t="str">
        <f t="shared" si="2"/>
        <v>California</v>
      </c>
      <c r="G40" t="str">
        <f t="shared" si="3"/>
        <v>San Diego County</v>
      </c>
      <c r="H40">
        <f t="shared" si="4"/>
        <v>1768</v>
      </c>
      <c r="J40" t="str">
        <f t="shared" si="5"/>
        <v>California</v>
      </c>
      <c r="K40" t="str">
        <f t="shared" si="6"/>
        <v>San Diego County</v>
      </c>
      <c r="L40">
        <f t="shared" si="7"/>
        <v>98367.099999999977</v>
      </c>
    </row>
    <row r="41" spans="1:12" x14ac:dyDescent="0.3">
      <c r="A41" t="s">
        <v>19</v>
      </c>
      <c r="B41" t="s">
        <v>103</v>
      </c>
      <c r="C41">
        <v>307</v>
      </c>
      <c r="D41">
        <v>21911.9</v>
      </c>
      <c r="F41" t="str">
        <f t="shared" si="2"/>
        <v>California</v>
      </c>
      <c r="G41" t="str">
        <f t="shared" si="3"/>
        <v>San Francisco</v>
      </c>
      <c r="H41">
        <f t="shared" si="4"/>
        <v>307</v>
      </c>
      <c r="J41" t="str">
        <f t="shared" si="5"/>
        <v>California</v>
      </c>
      <c r="K41" t="str">
        <f t="shared" si="6"/>
        <v>San Francisco</v>
      </c>
      <c r="L41">
        <f t="shared" si="7"/>
        <v>21911.9</v>
      </c>
    </row>
    <row r="42" spans="1:12" x14ac:dyDescent="0.3">
      <c r="A42" t="s">
        <v>19</v>
      </c>
      <c r="B42" t="s">
        <v>201</v>
      </c>
      <c r="C42">
        <v>117</v>
      </c>
      <c r="D42">
        <v>5441.2</v>
      </c>
      <c r="F42" t="str">
        <f t="shared" si="2"/>
        <v>California</v>
      </c>
      <c r="G42" t="str">
        <f t="shared" si="3"/>
        <v>San Joaquin County</v>
      </c>
      <c r="H42">
        <f t="shared" si="4"/>
        <v>117</v>
      </c>
      <c r="J42" t="str">
        <f t="shared" si="5"/>
        <v>California</v>
      </c>
      <c r="K42" t="str">
        <f t="shared" si="6"/>
        <v>San Joaquin County</v>
      </c>
      <c r="L42">
        <f t="shared" si="7"/>
        <v>5441.2</v>
      </c>
    </row>
    <row r="43" spans="1:12" x14ac:dyDescent="0.3">
      <c r="A43" t="s">
        <v>19</v>
      </c>
      <c r="B43" t="s">
        <v>429</v>
      </c>
      <c r="C43">
        <v>13</v>
      </c>
      <c r="D43">
        <v>392.8</v>
      </c>
      <c r="F43" t="str">
        <f t="shared" si="2"/>
        <v>California</v>
      </c>
      <c r="G43" t="str">
        <f t="shared" si="3"/>
        <v>San Luis Obispo County</v>
      </c>
      <c r="H43">
        <f t="shared" si="4"/>
        <v>13</v>
      </c>
      <c r="J43" t="str">
        <f t="shared" si="5"/>
        <v>California</v>
      </c>
      <c r="K43" t="str">
        <f t="shared" si="6"/>
        <v>San Luis Obispo County</v>
      </c>
      <c r="L43">
        <f t="shared" si="7"/>
        <v>392.8</v>
      </c>
    </row>
    <row r="44" spans="1:12" x14ac:dyDescent="0.3">
      <c r="A44" t="s">
        <v>19</v>
      </c>
      <c r="B44" t="s">
        <v>72</v>
      </c>
      <c r="C44">
        <v>364</v>
      </c>
      <c r="D44">
        <v>16172.000000000005</v>
      </c>
      <c r="F44" t="str">
        <f t="shared" si="2"/>
        <v>California</v>
      </c>
      <c r="G44" t="str">
        <f t="shared" si="3"/>
        <v>San Mateo County</v>
      </c>
      <c r="H44">
        <f t="shared" si="4"/>
        <v>364</v>
      </c>
      <c r="J44" t="str">
        <f t="shared" si="5"/>
        <v>California</v>
      </c>
      <c r="K44" t="str">
        <f t="shared" si="6"/>
        <v>San Mateo County</v>
      </c>
      <c r="L44">
        <f t="shared" si="7"/>
        <v>16172.000000000005</v>
      </c>
    </row>
    <row r="45" spans="1:12" x14ac:dyDescent="0.3">
      <c r="A45" t="s">
        <v>19</v>
      </c>
      <c r="B45" t="s">
        <v>74</v>
      </c>
      <c r="C45">
        <v>95</v>
      </c>
      <c r="D45">
        <v>4334.9999999999991</v>
      </c>
      <c r="F45" t="str">
        <f t="shared" si="2"/>
        <v>California</v>
      </c>
      <c r="G45" t="str">
        <f t="shared" si="3"/>
        <v>Santa Barbara County</v>
      </c>
      <c r="H45">
        <f t="shared" si="4"/>
        <v>95</v>
      </c>
      <c r="J45" t="str">
        <f t="shared" si="5"/>
        <v>California</v>
      </c>
      <c r="K45" t="str">
        <f t="shared" si="6"/>
        <v>Santa Barbara County</v>
      </c>
      <c r="L45">
        <f t="shared" si="7"/>
        <v>4334.9999999999991</v>
      </c>
    </row>
    <row r="46" spans="1:12" x14ac:dyDescent="0.3">
      <c r="A46" t="s">
        <v>19</v>
      </c>
      <c r="B46" t="s">
        <v>77</v>
      </c>
      <c r="C46">
        <v>737</v>
      </c>
      <c r="D46">
        <v>37449.000000000007</v>
      </c>
      <c r="F46" t="str">
        <f t="shared" si="2"/>
        <v>California</v>
      </c>
      <c r="G46" t="str">
        <f t="shared" si="3"/>
        <v>Santa Clara County</v>
      </c>
      <c r="H46">
        <f t="shared" si="4"/>
        <v>737</v>
      </c>
      <c r="J46" t="str">
        <f t="shared" si="5"/>
        <v>California</v>
      </c>
      <c r="K46" t="str">
        <f t="shared" si="6"/>
        <v>Santa Clara County</v>
      </c>
      <c r="L46">
        <f t="shared" si="7"/>
        <v>37449.000000000007</v>
      </c>
    </row>
    <row r="47" spans="1:12" x14ac:dyDescent="0.3">
      <c r="A47" t="s">
        <v>19</v>
      </c>
      <c r="B47" t="s">
        <v>309</v>
      </c>
      <c r="C47">
        <v>39</v>
      </c>
      <c r="D47">
        <v>2447.5</v>
      </c>
      <c r="F47" t="str">
        <f t="shared" si="2"/>
        <v>California</v>
      </c>
      <c r="G47" t="str">
        <f t="shared" si="3"/>
        <v>Santa Cruz County</v>
      </c>
      <c r="H47">
        <f t="shared" si="4"/>
        <v>39</v>
      </c>
      <c r="J47" t="str">
        <f t="shared" si="5"/>
        <v>California</v>
      </c>
      <c r="K47" t="str">
        <f t="shared" si="6"/>
        <v>Santa Cruz County</v>
      </c>
      <c r="L47">
        <f t="shared" si="7"/>
        <v>2447.5</v>
      </c>
    </row>
    <row r="48" spans="1:12" x14ac:dyDescent="0.3">
      <c r="A48" t="s">
        <v>19</v>
      </c>
      <c r="B48" t="s">
        <v>1116</v>
      </c>
      <c r="C48">
        <v>56</v>
      </c>
      <c r="D48">
        <v>3391.1</v>
      </c>
      <c r="F48" t="str">
        <f t="shared" si="2"/>
        <v>California</v>
      </c>
      <c r="G48" t="str">
        <f t="shared" si="3"/>
        <v>Shasta County</v>
      </c>
      <c r="H48">
        <f t="shared" si="4"/>
        <v>56</v>
      </c>
      <c r="J48" t="str">
        <f t="shared" si="5"/>
        <v>California</v>
      </c>
      <c r="K48" t="str">
        <f t="shared" si="6"/>
        <v>Shasta County</v>
      </c>
      <c r="L48">
        <f t="shared" si="7"/>
        <v>3391.1</v>
      </c>
    </row>
    <row r="49" spans="1:12" x14ac:dyDescent="0.3">
      <c r="A49" t="s">
        <v>19</v>
      </c>
      <c r="B49" t="s">
        <v>700</v>
      </c>
      <c r="C49">
        <v>2</v>
      </c>
      <c r="D49">
        <v>30.8</v>
      </c>
      <c r="F49" t="str">
        <f t="shared" si="2"/>
        <v>California</v>
      </c>
      <c r="G49" t="str">
        <f t="shared" si="3"/>
        <v>Sierra County</v>
      </c>
      <c r="H49">
        <f t="shared" si="4"/>
        <v>2</v>
      </c>
      <c r="J49" t="str">
        <f t="shared" si="5"/>
        <v>California</v>
      </c>
      <c r="K49" t="str">
        <f t="shared" si="6"/>
        <v>Sierra County</v>
      </c>
      <c r="L49">
        <f t="shared" si="7"/>
        <v>30.8</v>
      </c>
    </row>
    <row r="50" spans="1:12" x14ac:dyDescent="0.3">
      <c r="A50" t="s">
        <v>19</v>
      </c>
      <c r="B50" t="s">
        <v>268</v>
      </c>
      <c r="C50">
        <v>8</v>
      </c>
      <c r="D50">
        <v>332.3</v>
      </c>
      <c r="F50" t="str">
        <f t="shared" si="2"/>
        <v>California</v>
      </c>
      <c r="G50" t="str">
        <f t="shared" si="3"/>
        <v>Siskiyou County</v>
      </c>
      <c r="H50">
        <f t="shared" si="4"/>
        <v>8</v>
      </c>
      <c r="J50" t="str">
        <f t="shared" si="5"/>
        <v>California</v>
      </c>
      <c r="K50" t="str">
        <f t="shared" si="6"/>
        <v>Siskiyou County</v>
      </c>
      <c r="L50">
        <f t="shared" si="7"/>
        <v>332.3</v>
      </c>
    </row>
    <row r="51" spans="1:12" x14ac:dyDescent="0.3">
      <c r="A51" t="s">
        <v>19</v>
      </c>
      <c r="B51" t="s">
        <v>377</v>
      </c>
      <c r="C51">
        <v>52</v>
      </c>
      <c r="D51">
        <v>3175.9999999999995</v>
      </c>
      <c r="F51" t="str">
        <f t="shared" si="2"/>
        <v>California</v>
      </c>
      <c r="G51" t="str">
        <f t="shared" si="3"/>
        <v>Solano County</v>
      </c>
      <c r="H51">
        <f t="shared" si="4"/>
        <v>52</v>
      </c>
      <c r="J51" t="str">
        <f t="shared" si="5"/>
        <v>California</v>
      </c>
      <c r="K51" t="str">
        <f t="shared" si="6"/>
        <v>Solano County</v>
      </c>
      <c r="L51">
        <f t="shared" si="7"/>
        <v>3175.9999999999995</v>
      </c>
    </row>
    <row r="52" spans="1:12" x14ac:dyDescent="0.3">
      <c r="A52" t="s">
        <v>19</v>
      </c>
      <c r="B52" t="s">
        <v>108</v>
      </c>
      <c r="C52">
        <v>295</v>
      </c>
      <c r="D52">
        <v>20939.600000000002</v>
      </c>
      <c r="F52" t="str">
        <f t="shared" si="2"/>
        <v>California</v>
      </c>
      <c r="G52" t="str">
        <f t="shared" si="3"/>
        <v>Sonoma County</v>
      </c>
      <c r="H52">
        <f t="shared" si="4"/>
        <v>295</v>
      </c>
      <c r="J52" t="str">
        <f t="shared" si="5"/>
        <v>California</v>
      </c>
      <c r="K52" t="str">
        <f t="shared" si="6"/>
        <v>Sonoma County</v>
      </c>
      <c r="L52">
        <f t="shared" si="7"/>
        <v>20939.600000000002</v>
      </c>
    </row>
    <row r="53" spans="1:12" x14ac:dyDescent="0.3">
      <c r="A53" t="s">
        <v>19</v>
      </c>
      <c r="B53" t="s">
        <v>110</v>
      </c>
      <c r="C53">
        <v>195</v>
      </c>
      <c r="D53">
        <v>10185.899999999996</v>
      </c>
      <c r="F53" t="str">
        <f t="shared" si="2"/>
        <v>California</v>
      </c>
      <c r="G53" t="str">
        <f t="shared" si="3"/>
        <v>Stanislaus County</v>
      </c>
      <c r="H53">
        <f t="shared" si="4"/>
        <v>195</v>
      </c>
      <c r="J53" t="str">
        <f t="shared" si="5"/>
        <v>California</v>
      </c>
      <c r="K53" t="str">
        <f t="shared" si="6"/>
        <v>Stanislaus County</v>
      </c>
      <c r="L53">
        <f t="shared" si="7"/>
        <v>10185.899999999996</v>
      </c>
    </row>
    <row r="54" spans="1:12" x14ac:dyDescent="0.3">
      <c r="A54" t="s">
        <v>19</v>
      </c>
      <c r="B54" t="s">
        <v>292</v>
      </c>
      <c r="C54">
        <v>20</v>
      </c>
      <c r="D54">
        <v>958.7</v>
      </c>
      <c r="F54" t="str">
        <f t="shared" si="2"/>
        <v>California</v>
      </c>
      <c r="G54" t="str">
        <f t="shared" si="3"/>
        <v>Sutter County</v>
      </c>
      <c r="H54">
        <f t="shared" si="4"/>
        <v>20</v>
      </c>
      <c r="J54" t="str">
        <f t="shared" si="5"/>
        <v>California</v>
      </c>
      <c r="K54" t="str">
        <f t="shared" si="6"/>
        <v>Sutter County</v>
      </c>
      <c r="L54">
        <f t="shared" si="7"/>
        <v>958.7</v>
      </c>
    </row>
    <row r="55" spans="1:12" x14ac:dyDescent="0.3">
      <c r="A55" t="s">
        <v>19</v>
      </c>
      <c r="B55" t="s">
        <v>79</v>
      </c>
      <c r="C55">
        <v>6</v>
      </c>
      <c r="D55">
        <v>323</v>
      </c>
      <c r="F55" t="str">
        <f t="shared" si="2"/>
        <v>California</v>
      </c>
      <c r="G55" t="str">
        <f t="shared" si="3"/>
        <v>Tehama County</v>
      </c>
      <c r="H55">
        <f t="shared" si="4"/>
        <v>6</v>
      </c>
      <c r="J55" t="str">
        <f t="shared" si="5"/>
        <v>California</v>
      </c>
      <c r="K55" t="str">
        <f t="shared" si="6"/>
        <v>Tehama County</v>
      </c>
      <c r="L55">
        <f t="shared" si="7"/>
        <v>323</v>
      </c>
    </row>
    <row r="56" spans="1:12" x14ac:dyDescent="0.3">
      <c r="A56" t="s">
        <v>19</v>
      </c>
      <c r="B56" t="s">
        <v>608</v>
      </c>
      <c r="C56">
        <v>5</v>
      </c>
      <c r="D56">
        <v>167.70000000000002</v>
      </c>
      <c r="F56" t="str">
        <f t="shared" si="2"/>
        <v>California</v>
      </c>
      <c r="G56" t="str">
        <f t="shared" si="3"/>
        <v>Trinity County</v>
      </c>
      <c r="H56">
        <f t="shared" si="4"/>
        <v>5</v>
      </c>
      <c r="J56" t="str">
        <f t="shared" si="5"/>
        <v>California</v>
      </c>
      <c r="K56" t="str">
        <f t="shared" si="6"/>
        <v>Trinity County</v>
      </c>
      <c r="L56">
        <f t="shared" si="7"/>
        <v>167.70000000000002</v>
      </c>
    </row>
    <row r="57" spans="1:12" x14ac:dyDescent="0.3">
      <c r="A57" t="s">
        <v>19</v>
      </c>
      <c r="B57" t="s">
        <v>113</v>
      </c>
      <c r="C57">
        <v>94</v>
      </c>
      <c r="D57">
        <v>3978.5</v>
      </c>
      <c r="F57" t="str">
        <f t="shared" si="2"/>
        <v>California</v>
      </c>
      <c r="G57" t="str">
        <f t="shared" si="3"/>
        <v>Tulare County</v>
      </c>
      <c r="H57">
        <f t="shared" si="4"/>
        <v>94</v>
      </c>
      <c r="J57" t="str">
        <f t="shared" si="5"/>
        <v>California</v>
      </c>
      <c r="K57" t="str">
        <f t="shared" si="6"/>
        <v>Tulare County</v>
      </c>
      <c r="L57">
        <f t="shared" si="7"/>
        <v>3978.5</v>
      </c>
    </row>
    <row r="58" spans="1:12" x14ac:dyDescent="0.3">
      <c r="A58" t="s">
        <v>19</v>
      </c>
      <c r="B58" t="s">
        <v>997</v>
      </c>
      <c r="C58">
        <v>28</v>
      </c>
      <c r="D58">
        <v>1405</v>
      </c>
      <c r="F58" t="str">
        <f t="shared" si="2"/>
        <v>California</v>
      </c>
      <c r="G58" t="str">
        <f t="shared" si="3"/>
        <v>Tuolumne County</v>
      </c>
      <c r="H58">
        <f t="shared" si="4"/>
        <v>28</v>
      </c>
      <c r="J58" t="str">
        <f t="shared" si="5"/>
        <v>California</v>
      </c>
      <c r="K58" t="str">
        <f t="shared" si="6"/>
        <v>Tuolumne County</v>
      </c>
      <c r="L58">
        <f t="shared" si="7"/>
        <v>1405</v>
      </c>
    </row>
    <row r="59" spans="1:12" x14ac:dyDescent="0.3">
      <c r="A59" t="s">
        <v>19</v>
      </c>
      <c r="B59" t="s">
        <v>82</v>
      </c>
      <c r="C59">
        <v>179</v>
      </c>
      <c r="D59">
        <v>9869.0999999999985</v>
      </c>
      <c r="F59" t="str">
        <f t="shared" si="2"/>
        <v>California</v>
      </c>
      <c r="G59" t="str">
        <f t="shared" si="3"/>
        <v>Ventura County</v>
      </c>
      <c r="H59">
        <f t="shared" si="4"/>
        <v>179</v>
      </c>
      <c r="J59" t="str">
        <f t="shared" si="5"/>
        <v>California</v>
      </c>
      <c r="K59" t="str">
        <f t="shared" si="6"/>
        <v>Ventura County</v>
      </c>
      <c r="L59">
        <f t="shared" si="7"/>
        <v>9869.0999999999985</v>
      </c>
    </row>
    <row r="60" spans="1:12" x14ac:dyDescent="0.3">
      <c r="A60" t="s">
        <v>19</v>
      </c>
      <c r="B60" t="s">
        <v>243</v>
      </c>
      <c r="C60">
        <v>15</v>
      </c>
      <c r="D60">
        <v>615.29999999999995</v>
      </c>
      <c r="F60" t="str">
        <f t="shared" si="2"/>
        <v>California</v>
      </c>
      <c r="G60" t="str">
        <f t="shared" si="3"/>
        <v>Yolo County</v>
      </c>
      <c r="H60">
        <f t="shared" si="4"/>
        <v>15</v>
      </c>
      <c r="J60" t="str">
        <f t="shared" si="5"/>
        <v>California</v>
      </c>
      <c r="K60" t="str">
        <f t="shared" si="6"/>
        <v>Yolo County</v>
      </c>
      <c r="L60">
        <f t="shared" si="7"/>
        <v>615.29999999999995</v>
      </c>
    </row>
    <row r="61" spans="1:12" x14ac:dyDescent="0.3">
      <c r="A61" t="s">
        <v>19</v>
      </c>
      <c r="B61" t="s">
        <v>1911</v>
      </c>
      <c r="C61">
        <v>3</v>
      </c>
      <c r="D61">
        <v>285</v>
      </c>
      <c r="F61" t="str">
        <f t="shared" si="2"/>
        <v>California</v>
      </c>
      <c r="G61" t="str">
        <f t="shared" si="3"/>
        <v>Yuba County</v>
      </c>
      <c r="H61">
        <f t="shared" si="4"/>
        <v>3</v>
      </c>
      <c r="J61" t="str">
        <f t="shared" si="5"/>
        <v>California</v>
      </c>
      <c r="K61" t="str">
        <f t="shared" si="6"/>
        <v>Yuba County</v>
      </c>
      <c r="L61">
        <f t="shared" si="7"/>
        <v>285</v>
      </c>
    </row>
  </sheetData>
  <conditionalFormatting sqref="I6:I10">
    <cfRule type="colorScale" priority="1">
      <colorScale>
        <cfvo type="min"/>
        <cfvo type="percentile" val="50"/>
        <cfvo type="max"/>
        <color rgb="FFF8696B"/>
        <color rgb="FFFCFCFF"/>
        <color rgb="FF5A8AC6"/>
      </colorScale>
    </cfRule>
  </conditionalFormatting>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6D82C-485E-42D1-8137-4C5AB53D249C}">
  <dimension ref="A3:L19"/>
  <sheetViews>
    <sheetView showGridLines="0" workbookViewId="0">
      <selection activeCell="A8" sqref="A8:F8"/>
      <pivotSelection pane="bottomRight" showHeader="1" axis="axisRow" activeRow="5" previousRow="5" click="1" r:id="rId1">
        <pivotArea dataOnly="0" labelOnly="1" outline="0" fieldPosition="0">
          <references count="1">
            <reference field="12" count="0"/>
          </references>
        </pivotArea>
      </pivotSelection>
    </sheetView>
  </sheetViews>
  <sheetFormatPr defaultRowHeight="14.4" x14ac:dyDescent="0.3"/>
  <cols>
    <col min="1" max="1" width="15.5546875" bestFit="1" customWidth="1"/>
    <col min="2" max="3" width="12.21875" bestFit="1" customWidth="1"/>
    <col min="4" max="5" width="14.33203125" bestFit="1" customWidth="1"/>
    <col min="6" max="7" width="10.5546875" bestFit="1" customWidth="1"/>
    <col min="8" max="8" width="10.44140625" bestFit="1" customWidth="1"/>
    <col min="9" max="12" width="8.44140625" customWidth="1"/>
  </cols>
  <sheetData>
    <row r="3" spans="1:12" x14ac:dyDescent="0.3">
      <c r="A3" s="16" t="s">
        <v>12</v>
      </c>
      <c r="B3" t="s">
        <v>2547</v>
      </c>
    </row>
    <row r="4" spans="1:12" x14ac:dyDescent="0.3">
      <c r="A4">
        <v>0</v>
      </c>
      <c r="B4">
        <v>175</v>
      </c>
    </row>
    <row r="5" spans="1:12" x14ac:dyDescent="0.3">
      <c r="A5">
        <v>1</v>
      </c>
      <c r="B5">
        <v>888</v>
      </c>
    </row>
    <row r="6" spans="1:12" ht="18" customHeight="1" x14ac:dyDescent="0.3">
      <c r="A6">
        <v>2</v>
      </c>
      <c r="B6">
        <v>538</v>
      </c>
      <c r="I6" s="19"/>
      <c r="J6" s="19"/>
      <c r="K6" s="19"/>
      <c r="L6" s="19"/>
    </row>
    <row r="7" spans="1:12" ht="18" customHeight="1" x14ac:dyDescent="0.3">
      <c r="A7">
        <v>3</v>
      </c>
      <c r="B7">
        <v>344</v>
      </c>
      <c r="I7" s="19"/>
      <c r="J7" s="19"/>
      <c r="K7" s="19"/>
      <c r="L7" s="19"/>
    </row>
    <row r="8" spans="1:12" ht="18" customHeight="1" x14ac:dyDescent="0.3">
      <c r="A8">
        <v>4</v>
      </c>
      <c r="B8">
        <v>200</v>
      </c>
      <c r="I8" s="19"/>
      <c r="J8" s="19"/>
      <c r="K8" s="19"/>
      <c r="L8" s="19"/>
    </row>
    <row r="9" spans="1:12" ht="18" customHeight="1" x14ac:dyDescent="0.3">
      <c r="A9">
        <v>5</v>
      </c>
      <c r="B9">
        <v>94</v>
      </c>
      <c r="I9" s="19"/>
      <c r="J9" s="19"/>
      <c r="K9" s="19"/>
      <c r="L9" s="19"/>
    </row>
    <row r="10" spans="1:12" ht="18" customHeight="1" x14ac:dyDescent="0.3">
      <c r="A10">
        <v>6</v>
      </c>
      <c r="B10">
        <v>51</v>
      </c>
      <c r="I10" s="19"/>
      <c r="J10" s="19"/>
      <c r="K10" s="19"/>
      <c r="L10" s="19"/>
    </row>
    <row r="11" spans="1:12" x14ac:dyDescent="0.3">
      <c r="A11">
        <v>7</v>
      </c>
      <c r="B11">
        <v>32</v>
      </c>
    </row>
    <row r="12" spans="1:12" x14ac:dyDescent="0.3">
      <c r="A12">
        <v>8</v>
      </c>
      <c r="B12">
        <v>23</v>
      </c>
    </row>
    <row r="13" spans="1:12" x14ac:dyDescent="0.3">
      <c r="A13">
        <v>9</v>
      </c>
      <c r="B13">
        <v>9</v>
      </c>
    </row>
    <row r="14" spans="1:12" x14ac:dyDescent="0.3">
      <c r="A14">
        <v>10</v>
      </c>
      <c r="B14">
        <v>8</v>
      </c>
    </row>
    <row r="15" spans="1:12" x14ac:dyDescent="0.3">
      <c r="A15">
        <v>11</v>
      </c>
      <c r="B15">
        <v>11</v>
      </c>
    </row>
    <row r="16" spans="1:12" x14ac:dyDescent="0.3">
      <c r="A16">
        <v>12</v>
      </c>
      <c r="B16">
        <v>4</v>
      </c>
    </row>
    <row r="17" spans="1:2" x14ac:dyDescent="0.3">
      <c r="A17">
        <v>13</v>
      </c>
      <c r="B17">
        <v>10</v>
      </c>
    </row>
    <row r="18" spans="1:2" x14ac:dyDescent="0.3">
      <c r="A18">
        <v>14</v>
      </c>
      <c r="B18">
        <v>13</v>
      </c>
    </row>
    <row r="19" spans="1:2" x14ac:dyDescent="0.3">
      <c r="A19" t="s">
        <v>2554</v>
      </c>
      <c r="B19">
        <v>2400</v>
      </c>
    </row>
  </sheetData>
  <conditionalFormatting sqref="I6:L10">
    <cfRule type="colorScale" priority="1">
      <colorScale>
        <cfvo type="min"/>
        <cfvo type="percentile" val="50"/>
        <cfvo type="max"/>
        <color rgb="FFF8696B"/>
        <color rgb="FFFCFCFF"/>
        <color rgb="FF5A8AC6"/>
      </colorScale>
    </cfRule>
  </conditionalFormatting>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01BB9-4BDC-40F1-A8CE-23E8B27114A5}">
  <dimension ref="A3:G8"/>
  <sheetViews>
    <sheetView showGridLines="0" workbookViewId="0">
      <selection activeCell="A8" sqref="A8:F8"/>
    </sheetView>
  </sheetViews>
  <sheetFormatPr defaultRowHeight="14.4" x14ac:dyDescent="0.3"/>
  <cols>
    <col min="1" max="1" width="20.109375" bestFit="1" customWidth="1"/>
    <col min="2" max="6" width="10" bestFit="1" customWidth="1"/>
    <col min="7" max="7" width="10.5546875" bestFit="1" customWidth="1"/>
    <col min="8" max="89" width="12.21875" bestFit="1" customWidth="1"/>
    <col min="90" max="90" width="10.5546875" bestFit="1" customWidth="1"/>
  </cols>
  <sheetData>
    <row r="3" spans="1:7" x14ac:dyDescent="0.3">
      <c r="A3" s="16" t="s">
        <v>2547</v>
      </c>
      <c r="B3" s="16" t="s">
        <v>9</v>
      </c>
    </row>
    <row r="4" spans="1:7" x14ac:dyDescent="0.3">
      <c r="A4" s="16" t="s">
        <v>2566</v>
      </c>
      <c r="B4">
        <v>1</v>
      </c>
      <c r="C4">
        <v>2</v>
      </c>
      <c r="D4">
        <v>3</v>
      </c>
      <c r="E4">
        <v>4</v>
      </c>
      <c r="F4">
        <v>5</v>
      </c>
      <c r="G4" t="s">
        <v>2554</v>
      </c>
    </row>
    <row r="5" spans="1:7" x14ac:dyDescent="0.3">
      <c r="A5" t="s">
        <v>2567</v>
      </c>
      <c r="B5">
        <v>7</v>
      </c>
      <c r="C5">
        <v>37</v>
      </c>
      <c r="D5">
        <v>150</v>
      </c>
      <c r="E5">
        <v>312</v>
      </c>
      <c r="F5">
        <v>224</v>
      </c>
      <c r="G5">
        <v>730</v>
      </c>
    </row>
    <row r="6" spans="1:7" x14ac:dyDescent="0.3">
      <c r="A6" t="s">
        <v>2568</v>
      </c>
      <c r="B6">
        <v>8</v>
      </c>
      <c r="C6">
        <v>51</v>
      </c>
      <c r="D6">
        <v>182</v>
      </c>
      <c r="E6">
        <v>373</v>
      </c>
      <c r="F6">
        <v>247</v>
      </c>
      <c r="G6">
        <v>861</v>
      </c>
    </row>
    <row r="7" spans="1:7" x14ac:dyDescent="0.3">
      <c r="A7" t="s">
        <v>2569</v>
      </c>
      <c r="B7">
        <v>6</v>
      </c>
      <c r="C7">
        <v>39</v>
      </c>
      <c r="D7">
        <v>163</v>
      </c>
      <c r="E7">
        <v>351</v>
      </c>
      <c r="F7">
        <v>250</v>
      </c>
      <c r="G7">
        <v>809</v>
      </c>
    </row>
    <row r="8" spans="1:7" x14ac:dyDescent="0.3">
      <c r="A8" t="s">
        <v>2554</v>
      </c>
      <c r="B8">
        <v>21</v>
      </c>
      <c r="C8">
        <v>127</v>
      </c>
      <c r="D8">
        <v>495</v>
      </c>
      <c r="E8">
        <v>1036</v>
      </c>
      <c r="F8">
        <v>721</v>
      </c>
      <c r="G8">
        <v>2400</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B18" sqref="B11:B18"/>
    </sheetView>
  </sheetViews>
  <sheetFormatPr defaultRowHeight="14.4" x14ac:dyDescent="0.3"/>
  <cols>
    <col min="1" max="1" width="3.6640625" customWidth="1"/>
    <col min="2" max="2" width="52.77734375" customWidth="1"/>
  </cols>
  <sheetData>
    <row r="2" spans="2:2" x14ac:dyDescent="0.3">
      <c r="B2" s="3" t="s">
        <v>2503</v>
      </c>
    </row>
    <row r="3" spans="2:2" x14ac:dyDescent="0.3">
      <c r="B3" s="4" t="s">
        <v>2504</v>
      </c>
    </row>
    <row r="4" spans="2:2" x14ac:dyDescent="0.3">
      <c r="B4" s="4" t="s">
        <v>2505</v>
      </c>
    </row>
    <row r="5" spans="2:2" x14ac:dyDescent="0.3">
      <c r="B5" s="4" t="s">
        <v>2506</v>
      </c>
    </row>
    <row r="6" spans="2:2" x14ac:dyDescent="0.3">
      <c r="B6" s="4" t="s">
        <v>2507</v>
      </c>
    </row>
    <row r="7" spans="2:2" x14ac:dyDescent="0.3">
      <c r="B7" s="4" t="s">
        <v>2508</v>
      </c>
    </row>
    <row r="10" spans="2:2" x14ac:dyDescent="0.3">
      <c r="B10" s="3" t="s">
        <v>2509</v>
      </c>
    </row>
    <row r="11" spans="2:2" x14ac:dyDescent="0.3">
      <c r="B11" t="s">
        <v>2510</v>
      </c>
    </row>
    <row r="12" spans="2:2" x14ac:dyDescent="0.3">
      <c r="B12" t="s">
        <v>2511</v>
      </c>
    </row>
    <row r="13" spans="2:2" x14ac:dyDescent="0.3">
      <c r="B13" t="s">
        <v>2512</v>
      </c>
    </row>
    <row r="14" spans="2:2" x14ac:dyDescent="0.3">
      <c r="B14" t="s">
        <v>2513</v>
      </c>
    </row>
    <row r="15" spans="2:2" x14ac:dyDescent="0.3">
      <c r="B15" t="s">
        <v>2514</v>
      </c>
    </row>
    <row r="16" spans="2:2" x14ac:dyDescent="0.3">
      <c r="B16" t="s">
        <v>2515</v>
      </c>
    </row>
    <row r="17" spans="2:2" x14ac:dyDescent="0.3">
      <c r="B17" t="s">
        <v>2516</v>
      </c>
    </row>
    <row r="18" spans="2:2" x14ac:dyDescent="0.3">
      <c r="B18" t="s">
        <v>2517</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4:H24"/>
  <sheetViews>
    <sheetView workbookViewId="0">
      <selection activeCell="A8" sqref="A8:F8"/>
    </sheetView>
  </sheetViews>
  <sheetFormatPr defaultRowHeight="14.4" x14ac:dyDescent="0.3"/>
  <cols>
    <col min="1" max="1" width="3.33203125" customWidth="1"/>
    <col min="8" max="8" width="37.33203125" customWidth="1"/>
  </cols>
  <sheetData>
    <row r="4" spans="2:8" x14ac:dyDescent="0.3">
      <c r="H4" s="11"/>
    </row>
    <row r="5" spans="2:8" x14ac:dyDescent="0.3">
      <c r="B5" t="s">
        <v>2518</v>
      </c>
      <c r="H5" s="11"/>
    </row>
    <row r="6" spans="2:8" x14ac:dyDescent="0.3">
      <c r="B6" s="5"/>
      <c r="C6" t="s">
        <v>2519</v>
      </c>
      <c r="D6" t="s">
        <v>2525</v>
      </c>
    </row>
    <row r="7" spans="2:8" x14ac:dyDescent="0.3">
      <c r="B7" s="6"/>
      <c r="C7" t="s">
        <v>2520</v>
      </c>
      <c r="D7" t="s">
        <v>2526</v>
      </c>
    </row>
    <row r="8" spans="2:8" x14ac:dyDescent="0.3">
      <c r="B8" s="7"/>
      <c r="C8" t="s">
        <v>2521</v>
      </c>
      <c r="D8" t="s">
        <v>2527</v>
      </c>
    </row>
    <row r="9" spans="2:8" x14ac:dyDescent="0.3">
      <c r="B9" s="8"/>
      <c r="C9" t="s">
        <v>2522</v>
      </c>
      <c r="D9" t="s">
        <v>2528</v>
      </c>
    </row>
    <row r="10" spans="2:8" x14ac:dyDescent="0.3">
      <c r="B10" s="9"/>
      <c r="C10" t="s">
        <v>2523</v>
      </c>
      <c r="D10" t="s">
        <v>2529</v>
      </c>
    </row>
    <row r="11" spans="2:8" x14ac:dyDescent="0.3">
      <c r="B11" s="2"/>
      <c r="C11" t="s">
        <v>2524</v>
      </c>
      <c r="D11" t="s">
        <v>2530</v>
      </c>
    </row>
    <row r="13" spans="2:8" x14ac:dyDescent="0.3">
      <c r="B13" t="s">
        <v>2531</v>
      </c>
    </row>
    <row r="14" spans="2:8" x14ac:dyDescent="0.3">
      <c r="B14" t="s">
        <v>2532</v>
      </c>
      <c r="C14" t="s">
        <v>2537</v>
      </c>
    </row>
    <row r="15" spans="2:8" x14ac:dyDescent="0.3">
      <c r="B15" t="s">
        <v>2533</v>
      </c>
      <c r="C15" t="s">
        <v>2</v>
      </c>
    </row>
    <row r="16" spans="2:8" x14ac:dyDescent="0.3">
      <c r="B16" t="s">
        <v>2534</v>
      </c>
      <c r="C16" t="s">
        <v>4</v>
      </c>
    </row>
    <row r="17" spans="2:3" x14ac:dyDescent="0.3">
      <c r="B17" t="s">
        <v>2535</v>
      </c>
      <c r="C17" t="s">
        <v>2538</v>
      </c>
    </row>
    <row r="18" spans="2:3" x14ac:dyDescent="0.3">
      <c r="B18" t="s">
        <v>2536</v>
      </c>
      <c r="C18" t="s">
        <v>2539</v>
      </c>
    </row>
    <row r="21" spans="2:3" x14ac:dyDescent="0.3">
      <c r="B21" t="s">
        <v>2540</v>
      </c>
    </row>
    <row r="22" spans="2:3" x14ac:dyDescent="0.3">
      <c r="B22" t="s">
        <v>2541</v>
      </c>
      <c r="C22" t="s">
        <v>2542</v>
      </c>
    </row>
    <row r="23" spans="2:3" x14ac:dyDescent="0.3">
      <c r="B23" t="s">
        <v>2543</v>
      </c>
      <c r="C23" t="s">
        <v>2544</v>
      </c>
    </row>
    <row r="24" spans="2:3" x14ac:dyDescent="0.3">
      <c r="B24" s="10" t="s">
        <v>2545</v>
      </c>
      <c r="C24" t="s">
        <v>2546</v>
      </c>
    </row>
  </sheetData>
  <phoneticPr fontId="2"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Dashboard</vt:lpstr>
      <vt:lpstr>Data</vt:lpstr>
      <vt:lpstr>Resources</vt:lpstr>
      <vt:lpstr>KPI Cards</vt:lpstr>
      <vt:lpstr>KPI 2</vt:lpstr>
      <vt:lpstr>Trends</vt:lpstr>
      <vt:lpstr>Customer preference</vt:lpstr>
      <vt:lpstr>How Many</vt:lpstr>
      <vt:lpstr>Popular Products</vt:lpstr>
      <vt:lpstr>Gender Split</vt:lpstr>
      <vt:lpstr>Map</vt:lpstr>
      <vt:lpstr>time to ship</vt:lpstr>
      <vt:lpstr>cust satisfaction</vt:lpstr>
      <vt:lpstr>Questions &amp; KPIs</vt:lpstr>
      <vt:lpstr>Logo &amp; Colors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Vipul Sourabh</cp:lastModifiedBy>
  <dcterms:created xsi:type="dcterms:W3CDTF">2025-06-13T02:42:26Z</dcterms:created>
  <dcterms:modified xsi:type="dcterms:W3CDTF">2026-07-28T18:38:31Z</dcterms:modified>
</cp:coreProperties>
</file>