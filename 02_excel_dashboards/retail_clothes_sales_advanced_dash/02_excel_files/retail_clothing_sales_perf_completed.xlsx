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ipul\Desktop\"/>
    </mc:Choice>
  </mc:AlternateContent>
  <xr:revisionPtr revIDLastSave="0" documentId="13_ncr:1_{B0B8DC47-1063-4A00-9029-CFDEF245378B}" xr6:coauthVersionLast="47" xr6:coauthVersionMax="47" xr10:uidLastSave="{00000000-0000-0000-0000-000000000000}"/>
  <bookViews>
    <workbookView xWindow="28680" yWindow="-120" windowWidth="29040" windowHeight="15720" xr2:uid="{346724B3-1C49-40AE-AA36-C77CF5D6DD09}"/>
  </bookViews>
  <sheets>
    <sheet name="Dashboard" sheetId="6" r:id="rId1"/>
    <sheet name="Data" sheetId="1" r:id="rId2"/>
    <sheet name="Resources" sheetId="17" r:id="rId3"/>
    <sheet name="KPI Cards" sheetId="5" r:id="rId4"/>
    <sheet name="KPI 2" sheetId="16" r:id="rId5"/>
    <sheet name="Trends" sheetId="7" r:id="rId6"/>
    <sheet name="Customer preference" sheetId="8" r:id="rId7"/>
    <sheet name="How Many" sheetId="9" r:id="rId8"/>
    <sheet name="Popular Products" sheetId="10" r:id="rId9"/>
    <sheet name="Gender Split" sheetId="11" r:id="rId10"/>
    <sheet name="Map" sheetId="12" r:id="rId11"/>
    <sheet name="time to ship" sheetId="13" r:id="rId12"/>
    <sheet name="cust satisfaction" sheetId="14" r:id="rId13"/>
    <sheet name="Questions &amp; KPIs" sheetId="2" r:id="rId14"/>
    <sheet name="Logo &amp; Colors" sheetId="4" r:id="rId15"/>
  </sheets>
  <definedNames>
    <definedName name="_xlchart.v5.0" hidden="1">Map!$J$3:$K$3</definedName>
    <definedName name="_xlchart.v5.1" hidden="1">Map!$J$4:$K$61</definedName>
    <definedName name="_xlchart.v5.10" hidden="1">Map!$L$3</definedName>
    <definedName name="_xlchart.v5.11" hidden="1">Map!$L$4:$L$61</definedName>
    <definedName name="_xlchart.v5.12" hidden="1">Map!$F$3:$G$3</definedName>
    <definedName name="_xlchart.v5.13" hidden="1">Map!$F$4:$G$61</definedName>
    <definedName name="_xlchart.v5.14" hidden="1">Map!$H$3</definedName>
    <definedName name="_xlchart.v5.15" hidden="1">Map!$H$4:$H$61</definedName>
    <definedName name="_xlchart.v5.2" hidden="1">Map!$L$3</definedName>
    <definedName name="_xlchart.v5.3" hidden="1">Map!$L$4:$L$61</definedName>
    <definedName name="_xlchart.v5.4" hidden="1">Map!$F$3:$G$3</definedName>
    <definedName name="_xlchart.v5.5" hidden="1">Map!$F$4:$G$61</definedName>
    <definedName name="_xlchart.v5.6" hidden="1">Map!$H$3</definedName>
    <definedName name="_xlchart.v5.7" hidden="1">Map!$H$4:$H$61</definedName>
    <definedName name="_xlchart.v5.8" hidden="1">Map!$J$3:$K$3</definedName>
    <definedName name="_xlchart.v5.9" hidden="1">Map!$J$4:$K$61</definedName>
    <definedName name="Slicer_Gender_Value">#N/A</definedName>
    <definedName name="Slicer_Order_Mod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6" l="1"/>
  <c r="D6" i="16"/>
  <c r="C6" i="16"/>
  <c r="B6" i="16"/>
  <c r="A6" i="16"/>
  <c r="L8" i="12"/>
  <c r="L5" i="12"/>
  <c r="L6" i="12"/>
  <c r="L7"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4" i="12"/>
  <c r="J5" i="12"/>
  <c r="K5" i="12"/>
  <c r="J6" i="12"/>
  <c r="K6" i="12"/>
  <c r="J7" i="12"/>
  <c r="K7" i="12"/>
  <c r="J8" i="12"/>
  <c r="K8" i="12"/>
  <c r="J9" i="12"/>
  <c r="K9" i="12"/>
  <c r="J10" i="12"/>
  <c r="K10" i="12"/>
  <c r="J11" i="12"/>
  <c r="K11" i="12"/>
  <c r="J12" i="12"/>
  <c r="K12" i="12"/>
  <c r="J13" i="12"/>
  <c r="K13" i="12"/>
  <c r="J14" i="12"/>
  <c r="K14" i="12"/>
  <c r="J15" i="12"/>
  <c r="K15" i="12"/>
  <c r="J16" i="12"/>
  <c r="K16" i="12"/>
  <c r="J17" i="12"/>
  <c r="K17" i="12"/>
  <c r="J18" i="12"/>
  <c r="K18" i="12"/>
  <c r="J19" i="12"/>
  <c r="K19" i="12"/>
  <c r="J20" i="12"/>
  <c r="K20" i="12"/>
  <c r="J21" i="12"/>
  <c r="K21" i="12"/>
  <c r="J22" i="12"/>
  <c r="K22" i="12"/>
  <c r="J23" i="12"/>
  <c r="K23" i="12"/>
  <c r="J24" i="12"/>
  <c r="K24" i="12"/>
  <c r="J25" i="12"/>
  <c r="K25" i="12"/>
  <c r="J26" i="12"/>
  <c r="K26" i="12"/>
  <c r="J27" i="12"/>
  <c r="K27" i="12"/>
  <c r="J28" i="12"/>
  <c r="K28" i="12"/>
  <c r="J29" i="12"/>
  <c r="K29" i="12"/>
  <c r="J30" i="12"/>
  <c r="K30" i="12"/>
  <c r="J31" i="12"/>
  <c r="K31" i="12"/>
  <c r="J32" i="12"/>
  <c r="K32" i="12"/>
  <c r="J33" i="12"/>
  <c r="K33" i="12"/>
  <c r="J34" i="12"/>
  <c r="K34" i="12"/>
  <c r="J35" i="12"/>
  <c r="K35" i="12"/>
  <c r="J36" i="12"/>
  <c r="K36" i="12"/>
  <c r="J37" i="12"/>
  <c r="K37" i="12"/>
  <c r="J38" i="12"/>
  <c r="K38" i="12"/>
  <c r="J39" i="12"/>
  <c r="K39" i="12"/>
  <c r="J40" i="12"/>
  <c r="K40" i="12"/>
  <c r="J41" i="12"/>
  <c r="K41" i="12"/>
  <c r="J42" i="12"/>
  <c r="K42" i="12"/>
  <c r="J43" i="12"/>
  <c r="K43" i="12"/>
  <c r="J44" i="12"/>
  <c r="K44" i="12"/>
  <c r="J45" i="12"/>
  <c r="K45" i="12"/>
  <c r="J46" i="12"/>
  <c r="K46" i="12"/>
  <c r="J47" i="12"/>
  <c r="K47" i="12"/>
  <c r="J48" i="12"/>
  <c r="K48" i="12"/>
  <c r="J49" i="12"/>
  <c r="K49" i="12"/>
  <c r="J50" i="12"/>
  <c r="K50" i="12"/>
  <c r="J51" i="12"/>
  <c r="K51" i="12"/>
  <c r="J52" i="12"/>
  <c r="K52" i="12"/>
  <c r="J53" i="12"/>
  <c r="K53" i="12"/>
  <c r="J54" i="12"/>
  <c r="K54" i="12"/>
  <c r="J55" i="12"/>
  <c r="K55" i="12"/>
  <c r="J56" i="12"/>
  <c r="K56" i="12"/>
  <c r="J57" i="12"/>
  <c r="K57" i="12"/>
  <c r="J58" i="12"/>
  <c r="K58" i="12"/>
  <c r="J59" i="12"/>
  <c r="K59" i="12"/>
  <c r="J60" i="12"/>
  <c r="K60" i="12"/>
  <c r="J61" i="12"/>
  <c r="K61" i="12"/>
  <c r="K4" i="12"/>
  <c r="J4" i="12"/>
  <c r="F5" i="12"/>
  <c r="G5" i="12"/>
  <c r="H5" i="12"/>
  <c r="F6" i="12"/>
  <c r="G6" i="12"/>
  <c r="H6" i="12"/>
  <c r="F7" i="12"/>
  <c r="G7" i="12"/>
  <c r="H7" i="12"/>
  <c r="F8" i="12"/>
  <c r="G8" i="12"/>
  <c r="H8" i="12"/>
  <c r="F9" i="12"/>
  <c r="G9" i="12"/>
  <c r="H9" i="12"/>
  <c r="F10" i="12"/>
  <c r="G10" i="12"/>
  <c r="H10" i="12"/>
  <c r="F11" i="12"/>
  <c r="G11" i="12"/>
  <c r="H11" i="12"/>
  <c r="F12" i="12"/>
  <c r="G12" i="12"/>
  <c r="H12" i="12"/>
  <c r="F13" i="12"/>
  <c r="G13" i="12"/>
  <c r="H13" i="12"/>
  <c r="F14" i="12"/>
  <c r="G14" i="12"/>
  <c r="H14" i="12"/>
  <c r="F15" i="12"/>
  <c r="G15" i="12"/>
  <c r="H15" i="12"/>
  <c r="F16" i="12"/>
  <c r="G16" i="12"/>
  <c r="H16" i="12"/>
  <c r="F17" i="12"/>
  <c r="G17" i="12"/>
  <c r="H17" i="12"/>
  <c r="F18" i="12"/>
  <c r="G18" i="12"/>
  <c r="H18" i="12"/>
  <c r="F19" i="12"/>
  <c r="G19" i="12"/>
  <c r="H19" i="12"/>
  <c r="F20" i="12"/>
  <c r="G20" i="12"/>
  <c r="H20" i="12"/>
  <c r="F21" i="12"/>
  <c r="G21" i="12"/>
  <c r="H21" i="12"/>
  <c r="F22" i="12"/>
  <c r="G22" i="12"/>
  <c r="H22" i="12"/>
  <c r="F23" i="12"/>
  <c r="G23" i="12"/>
  <c r="H23" i="12"/>
  <c r="F24" i="12"/>
  <c r="G24" i="12"/>
  <c r="H24" i="12"/>
  <c r="F25" i="12"/>
  <c r="G25" i="12"/>
  <c r="H25" i="12"/>
  <c r="F26" i="12"/>
  <c r="G26" i="12"/>
  <c r="H26" i="12"/>
  <c r="F27" i="12"/>
  <c r="G27" i="12"/>
  <c r="H27" i="12"/>
  <c r="F28" i="12"/>
  <c r="G28" i="12"/>
  <c r="H28" i="12"/>
  <c r="F29" i="12"/>
  <c r="G29" i="12"/>
  <c r="H29" i="12"/>
  <c r="F30" i="12"/>
  <c r="G30" i="12"/>
  <c r="H30" i="12"/>
  <c r="F31" i="12"/>
  <c r="G31" i="12"/>
  <c r="H31" i="12"/>
  <c r="F32" i="12"/>
  <c r="G32" i="12"/>
  <c r="H32" i="12"/>
  <c r="F33" i="12"/>
  <c r="G33" i="12"/>
  <c r="H33" i="12"/>
  <c r="F34" i="12"/>
  <c r="G34" i="12"/>
  <c r="H34" i="12"/>
  <c r="F35" i="12"/>
  <c r="G35" i="12"/>
  <c r="H35" i="12"/>
  <c r="F36" i="12"/>
  <c r="G36" i="12"/>
  <c r="H36" i="12"/>
  <c r="F37" i="12"/>
  <c r="G37" i="12"/>
  <c r="H37" i="12"/>
  <c r="F38" i="12"/>
  <c r="G38" i="12"/>
  <c r="H38" i="12"/>
  <c r="F39" i="12"/>
  <c r="G39" i="12"/>
  <c r="H39" i="12"/>
  <c r="F40" i="12"/>
  <c r="G40" i="12"/>
  <c r="H40" i="12"/>
  <c r="F41" i="12"/>
  <c r="G41" i="12"/>
  <c r="H41" i="12"/>
  <c r="F42" i="12"/>
  <c r="G42" i="12"/>
  <c r="H42" i="12"/>
  <c r="F43" i="12"/>
  <c r="G43" i="12"/>
  <c r="H43" i="12"/>
  <c r="F44" i="12"/>
  <c r="G44" i="12"/>
  <c r="H44" i="12"/>
  <c r="F45" i="12"/>
  <c r="G45" i="12"/>
  <c r="H45" i="12"/>
  <c r="F46" i="12"/>
  <c r="G46" i="12"/>
  <c r="H46" i="12"/>
  <c r="F47" i="12"/>
  <c r="G47" i="12"/>
  <c r="H47" i="12"/>
  <c r="F48" i="12"/>
  <c r="G48" i="12"/>
  <c r="H48" i="12"/>
  <c r="F49" i="12"/>
  <c r="G49" i="12"/>
  <c r="H49" i="12"/>
  <c r="F50" i="12"/>
  <c r="G50" i="12"/>
  <c r="H50" i="12"/>
  <c r="F51" i="12"/>
  <c r="G51" i="12"/>
  <c r="H51" i="12"/>
  <c r="F52" i="12"/>
  <c r="G52" i="12"/>
  <c r="H52" i="12"/>
  <c r="F53" i="12"/>
  <c r="G53" i="12"/>
  <c r="H53" i="12"/>
  <c r="F54" i="12"/>
  <c r="G54" i="12"/>
  <c r="H54" i="12"/>
  <c r="F55" i="12"/>
  <c r="G55" i="12"/>
  <c r="H55" i="12"/>
  <c r="F56" i="12"/>
  <c r="G56" i="12"/>
  <c r="H56" i="12"/>
  <c r="F57" i="12"/>
  <c r="G57" i="12"/>
  <c r="H57" i="12"/>
  <c r="F58" i="12"/>
  <c r="G58" i="12"/>
  <c r="H58" i="12"/>
  <c r="F59" i="12"/>
  <c r="G59" i="12"/>
  <c r="H59" i="12"/>
  <c r="F60" i="12"/>
  <c r="G60" i="12"/>
  <c r="H60" i="12"/>
  <c r="F61" i="12"/>
  <c r="G61" i="12"/>
  <c r="H61" i="12"/>
  <c r="G4" i="12"/>
  <c r="H4" i="12"/>
  <c r="F4" i="12"/>
  <c r="K3" i="12"/>
  <c r="J3" i="12"/>
  <c r="G3" i="12"/>
  <c r="F3" i="12"/>
  <c r="J5" i="8"/>
  <c r="K5" i="8"/>
  <c r="L5" i="8"/>
  <c r="I5" i="8"/>
  <c r="I6" i="8"/>
  <c r="J6" i="8"/>
  <c r="K6" i="8"/>
  <c r="L6" i="8"/>
  <c r="I7" i="8"/>
  <c r="J7" i="8"/>
  <c r="K7" i="8"/>
  <c r="L7" i="8"/>
  <c r="I8" i="8"/>
  <c r="J8" i="8"/>
  <c r="K8" i="8"/>
  <c r="L8" i="8"/>
  <c r="I9" i="8"/>
  <c r="J9" i="8"/>
  <c r="K9" i="8"/>
  <c r="L9" i="8"/>
  <c r="I10" i="8"/>
  <c r="J10" i="8"/>
  <c r="K10" i="8"/>
  <c r="L10" i="8"/>
  <c r="H7" i="8"/>
  <c r="H8" i="8"/>
  <c r="H9" i="8"/>
  <c r="H10" i="8"/>
  <c r="H6" i="8"/>
  <c r="E6" i="5"/>
  <c r="D6" i="5"/>
  <c r="C6" i="5"/>
  <c r="B6" i="5"/>
  <c r="A6"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a="1"/>
  <c r="O2390" i="1" s="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c r="O2321" i="1" a="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c r="O2290" i="1" a="1"/>
  <c r="N2290" i="1"/>
  <c r="M2290" i="1"/>
  <c r="O2289" i="1" a="1"/>
  <c r="O2289" i="1" s="1"/>
  <c r="N2289" i="1"/>
  <c r="M2289" i="1"/>
  <c r="O2288" i="1" a="1"/>
  <c r="O2288" i="1" s="1"/>
  <c r="N2288" i="1"/>
  <c r="M2288" i="1"/>
  <c r="O2287" i="1"/>
  <c r="O2287" i="1" a="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c r="O2248" i="1" a="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c r="O2237" i="1" a="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c r="O2120" i="1" a="1"/>
  <c r="N2120" i="1"/>
  <c r="M2120" i="1"/>
  <c r="O2119" i="1" a="1"/>
  <c r="O2119" i="1" s="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c r="O2092" i="1" a="1"/>
  <c r="N2092" i="1"/>
  <c r="M2092" i="1"/>
  <c r="O2091" i="1" a="1"/>
  <c r="O2091" i="1" s="1"/>
  <c r="N2091" i="1"/>
  <c r="M2091" i="1"/>
  <c r="O2090" i="1"/>
  <c r="O2090" i="1" a="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c r="O2083" i="1" a="1"/>
  <c r="N2083" i="1"/>
  <c r="M2083" i="1"/>
  <c r="O2082" i="1" a="1"/>
  <c r="O2082" i="1" s="1"/>
  <c r="N2082" i="1"/>
  <c r="M2082" i="1"/>
  <c r="O2081" i="1"/>
  <c r="O2081" i="1" a="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a="1"/>
  <c r="O2038" i="1" s="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c r="O2017" i="1" a="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c r="O1972" i="1" a="1"/>
  <c r="N1972" i="1"/>
  <c r="M1972" i="1"/>
  <c r="O1971" i="1" a="1"/>
  <c r="O1971" i="1" s="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c r="O1948" i="1" a="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c r="O1903" i="1" a="1"/>
  <c r="N1903" i="1"/>
  <c r="M1903" i="1"/>
  <c r="O1902" i="1" a="1"/>
  <c r="O1902" i="1" s="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a="1"/>
  <c r="O1804" i="1" s="1"/>
  <c r="N1804" i="1"/>
  <c r="M1804" i="1"/>
  <c r="O1803" i="1" a="1"/>
  <c r="O1803" i="1" s="1"/>
  <c r="N1803" i="1"/>
  <c r="M1803" i="1"/>
  <c r="O1802" i="1" a="1"/>
  <c r="O1802" i="1" s="1"/>
  <c r="N1802" i="1"/>
  <c r="M1802" i="1"/>
  <c r="O1801" i="1"/>
  <c r="O1801" i="1" a="1"/>
  <c r="N1801" i="1"/>
  <c r="M1801" i="1"/>
  <c r="O1800" i="1" a="1"/>
  <c r="O1800" i="1" s="1"/>
  <c r="N1800" i="1"/>
  <c r="M1800" i="1"/>
  <c r="O1799" i="1" a="1"/>
  <c r="O1799" i="1" s="1"/>
  <c r="N1799" i="1"/>
  <c r="M1799" i="1"/>
  <c r="O1798" i="1" a="1"/>
  <c r="O1798" i="1" s="1"/>
  <c r="N1798" i="1"/>
  <c r="M1798" i="1"/>
  <c r="O1797" i="1"/>
  <c r="O1797" i="1" a="1"/>
  <c r="N1797" i="1"/>
  <c r="M1797" i="1"/>
  <c r="O1796" i="1" a="1"/>
  <c r="O1796" i="1" s="1"/>
  <c r="N1796" i="1"/>
  <c r="M1796" i="1"/>
  <c r="O1795" i="1"/>
  <c r="O1795" i="1" a="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a="1"/>
  <c r="O1767" i="1" s="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c r="O1751" i="1" a="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c r="O1717" i="1" a="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c r="O1631" i="1" a="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c r="O1608" i="1" a="1"/>
  <c r="N1608" i="1"/>
  <c r="M1608" i="1"/>
  <c r="O1607" i="1" a="1"/>
  <c r="O1607" i="1" s="1"/>
  <c r="N1607" i="1"/>
  <c r="M1607" i="1"/>
  <c r="O1606" i="1" a="1"/>
  <c r="O1606" i="1" s="1"/>
  <c r="N1606" i="1"/>
  <c r="M1606" i="1"/>
  <c r="O1605" i="1" a="1"/>
  <c r="O1605" i="1" s="1"/>
  <c r="N1605" i="1"/>
  <c r="M1605" i="1"/>
  <c r="O1604" i="1"/>
  <c r="O1604" i="1" a="1"/>
  <c r="N1604" i="1"/>
  <c r="M1604" i="1"/>
  <c r="O1603" i="1" a="1"/>
  <c r="O1603" i="1" s="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c r="O1526" i="1" a="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c r="O1155" i="1" a="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c r="O868" i="1" a="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c r="O816" i="1" a="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c r="O797" i="1" a="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c r="O769" i="1" a="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c r="O693" i="1" a="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c r="O683" i="1" a="1"/>
  <c r="N683" i="1"/>
  <c r="M683" i="1"/>
  <c r="O682" i="1" a="1"/>
  <c r="O682" i="1" s="1"/>
  <c r="N682" i="1"/>
  <c r="M682" i="1"/>
  <c r="O681" i="1" a="1"/>
  <c r="O681" i="1" s="1"/>
  <c r="N681" i="1"/>
  <c r="M681" i="1"/>
  <c r="O680" i="1" a="1"/>
  <c r="O680" i="1" s="1"/>
  <c r="N680" i="1"/>
  <c r="M680" i="1"/>
  <c r="O679" i="1"/>
  <c r="O679" i="1" a="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c r="O668" i="1" a="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c r="O652" i="1" a="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c r="O624" i="1" a="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c r="O598" i="1" a="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c r="O569" i="1" a="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c r="O560" i="1" a="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c r="O541" i="1" a="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c r="O524" i="1" a="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c r="O515" i="1" a="1"/>
  <c r="N515" i="1"/>
  <c r="M515" i="1"/>
  <c r="O514" i="1" a="1"/>
  <c r="O514" i="1" s="1"/>
  <c r="N514" i="1"/>
  <c r="M514" i="1"/>
  <c r="O513" i="1" a="1"/>
  <c r="O513" i="1" s="1"/>
  <c r="N513" i="1"/>
  <c r="M513" i="1"/>
  <c r="O512" i="1" a="1"/>
  <c r="O512" i="1" s="1"/>
  <c r="N512" i="1"/>
  <c r="M512" i="1"/>
  <c r="O511" i="1" a="1"/>
  <c r="O511" i="1" s="1"/>
  <c r="N511" i="1"/>
  <c r="M511" i="1"/>
  <c r="O510" i="1"/>
  <c r="O510" i="1" a="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c r="O497" i="1" a="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c r="O431" i="1" a="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c r="O388" i="1" a="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c r="O371" i="1" a="1"/>
  <c r="N371" i="1"/>
  <c r="M371" i="1"/>
  <c r="O370" i="1" a="1"/>
  <c r="O370" i="1" s="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c r="O347" i="1" a="1"/>
  <c r="N347" i="1"/>
  <c r="M347" i="1"/>
  <c r="O346" i="1" a="1"/>
  <c r="O346" i="1" s="1"/>
  <c r="N346" i="1"/>
  <c r="M346" i="1"/>
  <c r="O345" i="1" a="1"/>
  <c r="O345" i="1" s="1"/>
  <c r="N345" i="1"/>
  <c r="M345" i="1"/>
  <c r="O344" i="1"/>
  <c r="O344" i="1" a="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a="1"/>
  <c r="O303" i="1" s="1"/>
  <c r="N303" i="1"/>
  <c r="M303" i="1"/>
  <c r="O302" i="1"/>
  <c r="O302" i="1" a="1"/>
  <c r="N302" i="1"/>
  <c r="M302" i="1"/>
  <c r="O301" i="1" a="1"/>
  <c r="O301" i="1" s="1"/>
  <c r="N301" i="1"/>
  <c r="M301" i="1"/>
  <c r="O300" i="1" a="1"/>
  <c r="O300" i="1" s="1"/>
  <c r="N300" i="1"/>
  <c r="M300" i="1"/>
  <c r="O299" i="1" a="1"/>
  <c r="O299" i="1" s="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c r="O276" i="1" a="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c r="O269" i="1" a="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c r="O192" i="1" a="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c r="O122" i="1" a="1"/>
  <c r="N122" i="1"/>
  <c r="M122" i="1"/>
  <c r="O121" i="1" a="1"/>
  <c r="O121" i="1" s="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c r="O94" i="1" a="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c r="O79" i="1" a="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c r="O8" i="1" a="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<sst xmlns="http://schemas.openxmlformats.org/spreadsheetml/2006/main" count="14676" uniqueCount="2570">
  <si>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</si>
  <si>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</si>
  <si>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</si>
  <si>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</si>
  <si>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</si>
  <si>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</si>
  <si>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</si>
  <si>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</si>
  <si>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</si>
  <si>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</si>
  <si>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</si>
  <si>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</si>
  <si>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</si>
  <si>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</si>
  <si>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</si>
  <si>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</si>
  <si>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</si>
  <si>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</si>
  <si>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</si>
  <si>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</si>
  <si>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</si>
  <si>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</si>
  <si>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</si>
  <si>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</si>
  <si>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</si>
  <si>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</si>
  <si>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</si>
  <si>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</si>
  <si>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</si>
  <si>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</si>
  <si>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</si>
  <si>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</si>
  <si>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</si>
  <si>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</si>
  <si>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</si>
  <si>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</si>
  <si>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</si>
  <si>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</si>
  <si>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</si>
  <si>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</si>
  <si>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</si>
  <si>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</si>
  <si>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</si>
  <si>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</si>
  <si>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</si>
  <si>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</si>
  <si>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</si>
  <si>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</si>
  <si>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</si>
  <si>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</si>
  <si>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</si>
  <si>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</si>
  <si>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</si>
  <si>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</si>
  <si>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</si>
  <si>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</si>
  <si>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</si>
  <si>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</si>
  <si>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</si>
  <si>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</si>
  <si>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</si>
  <si>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</si>
  <si>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</si>
  <si>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</si>
  <si>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</si>
  <si>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</si>
  <si>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</si>
  <si>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</si>
  <si>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</si>
  <si>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</si>
  <si>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</si>
  <si>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</si>
  <si>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</si>
  <si>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</si>
  <si>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</si>
  <si>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</si>
  <si>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</si>
  <si>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</si>
  <si>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</si>
  <si>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</si>
  <si>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</si>
  <si>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</si>
  <si>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</si>
  <si>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</si>
  <si>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</si>
  <si>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</si>
  <si>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</si>
  <si>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</si>
  <si>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</si>
  <si>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</si>
  <si>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</si>
  <si>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</si>
  <si>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</si>
  <si>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</si>
  <si>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</si>
  <si>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</si>
  <si>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</si>
  <si>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</si>
  <si>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</si>
  <si>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</si>
  <si>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</si>
  <si>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</si>
  <si>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</si>
  <si>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</si>
  <si>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</si>
  <si>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</si>
  <si>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</si>
  <si>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</si>
  <si>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</si>
  <si>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</si>
  <si>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</si>
  <si>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</si>
  <si>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</si>
  <si>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</si>
  <si>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</si>
  <si>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</si>
  <si>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</si>
  <si>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</si>
  <si>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</si>
  <si>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</si>
  <si>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</si>
  <si>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</si>
  <si>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</si>
  <si>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</si>
  <si>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</si>
  <si>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</si>
  <si>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</si>
  <si>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</si>
  <si>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</si>
  <si>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</si>
  <si>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</si>
  <si>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</si>
  <si>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</si>
  <si>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</si>
  <si>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</si>
  <si>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</si>
  <si>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</si>
  <si>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</si>
  <si>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</si>
  <si>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</si>
  <si>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</si>
  <si>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</si>
  <si>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</si>
  <si>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</si>
  <si>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</si>
  <si>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</si>
  <si>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</si>
  <si>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</si>
  <si>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</si>
  <si>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</si>
  <si>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</si>
  <si>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</si>
  <si>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</si>
  <si>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</si>
  <si>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</si>
  <si>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</si>
  <si>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</si>
  <si>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</si>
  <si>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</si>
  <si>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</si>
  <si>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</si>
  <si>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</si>
  <si>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</si>
  <si>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</si>
  <si>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</si>
  <si>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</si>
  <si>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</si>
  <si>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</si>
  <si>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</si>
  <si>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</si>
  <si>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</si>
  <si>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</si>
  <si>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</si>
  <si>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</si>
  <si>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</si>
  <si>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</si>
  <si>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</si>
  <si>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</si>
  <si>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</si>
  <si>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</si>
  <si>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</si>
  <si>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</si>
  <si>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</si>
  <si>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</si>
  <si>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</si>
  <si>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</si>
  <si>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</si>
  <si>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</si>
  <si>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</si>
  <si>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</si>
  <si>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</si>
  <si>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</si>
  <si>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</si>
  <si>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</si>
  <si>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</si>
  <si>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</si>
  <si>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</si>
  <si>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</si>
  <si>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</si>
  <si>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</si>
  <si>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</si>
  <si>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</si>
  <si>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</si>
  <si>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</si>
  <si>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</si>
  <si>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</si>
  <si>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</si>
  <si>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</si>
  <si>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</si>
  <si>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</si>
  <si>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</si>
  <si>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</si>
  <si>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</si>
  <si>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</si>
  <si>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</si>
  <si>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</si>
  <si>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</si>
  <si>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</si>
  <si>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</si>
  <si>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</si>
  <si>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</si>
  <si>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</si>
  <si>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</si>
  <si>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</si>
  <si>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</si>
  <si>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</si>
  <si>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</si>
  <si>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</si>
  <si>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</si>
  <si>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</si>
  <si>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</si>
  <si>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</si>
  <si>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</si>
  <si>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</si>
  <si>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</si>
  <si>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</si>
  <si>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</si>
  <si>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</si>
  <si>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</si>
  <si>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</si>
  <si>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</si>
  <si>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</si>
  <si>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</si>
  <si>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</si>
  <si>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</si>
  <si>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</si>
  <si>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</si>
  <si>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</si>
  <si>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</si>
  <si>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</si>
  <si>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</si>
  <si>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</si>
  <si>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</si>
  <si>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</si>
  <si>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</si>
  <si>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</si>
  <si>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</si>
  <si>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</si>
  <si>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</si>
  <si>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</si>
  <si>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</si>
  <si>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</si>
  <si>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</si>
  <si>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</si>
  <si>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</si>
  <si>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</si>
  <si>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</si>
  <si>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</si>
  <si>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</si>
  <si>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</si>
  <si>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</si>
  <si>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</si>
  <si>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</si>
  <si>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</si>
  <si>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</si>
  <si>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</si>
  <si>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</si>
  <si>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</si>
  <si>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</si>
  <si>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</si>
  <si>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</si>
  <si>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</si>
  <si>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</si>
  <si>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</si>
  <si>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</si>
  <si>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</si>
  <si>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</si>
  <si>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</si>
  <si>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</si>
  <si>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</si>
  <si>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</si>
  <si>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</si>
  <si>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</si>
  <si>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</si>
  <si>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</si>
  <si>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</si>
  <si>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</si>
  <si>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</si>
  <si>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</si>
  <si>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</si>
  <si>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</si>
  <si>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</si>
  <si>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</si>
  <si>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</si>
  <si>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</si>
  <si>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</si>
  <si>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</si>
  <si>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</si>
  <si>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</si>
  <si>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</si>
  <si>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</si>
  <si>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</si>
  <si>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</si>
  <si>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</si>
  <si>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</si>
  <si>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</si>
  <si>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</si>
  <si>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</si>
  <si>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</si>
  <si>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</si>
  <si>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</si>
  <si>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</si>
  <si>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</si>
  <si>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</si>
  <si>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</si>
  <si>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</si>
  <si>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</si>
  <si>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</si>
  <si>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</si>
  <si>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</si>
  <si>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</si>
  <si>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</si>
  <si>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</si>
  <si>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</si>
  <si>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</si>
  <si>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</si>
  <si>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</si>
  <si>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</si>
  <si>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</si>
  <si>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</si>
  <si>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</si>
  <si>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</si>
  <si>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</si>
  <si>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</si>
  <si>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</si>
  <si>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</si>
  <si>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</si>
  <si>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</si>
  <si>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</si>
  <si>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</si>
  <si>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</si>
  <si>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</si>
  <si>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</si>
  <si>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</si>
  <si>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</si>
  <si>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</si>
  <si>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</si>
  <si>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</si>
  <si>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</si>
  <si>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</si>
  <si>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</si>
  <si>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</si>
  <si>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</si>
  <si>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</si>
  <si>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</si>
  <si>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</si>
  <si>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</si>
  <si>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</si>
  <si>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</si>
  <si>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</si>
  <si>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</si>
  <si>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</si>
  <si>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</si>
  <si>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</si>
  <si>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</si>
  <si>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</si>
  <si>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</si>
  <si>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</si>
  <si>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</si>
  <si>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</si>
  <si>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</si>
  <si>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</si>
  <si>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</si>
  <si>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</si>
  <si>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</si>
  <si>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</si>
  <si>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</si>
  <si>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</si>
  <si>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</si>
  <si>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</si>
  <si>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</si>
  <si>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</si>
  <si>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</si>
  <si>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</si>
  <si>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</si>
  <si>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</si>
  <si>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</si>
  <si>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</si>
  <si>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</si>
  <si>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</si>
  <si>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</si>
  <si>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</si>
  <si>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</si>
  <si>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</si>
  <si>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</si>
  <si>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</si>
  <si>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</si>
  <si>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</si>
  <si>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</si>
  <si>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</si>
  <si>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</si>
  <si>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</si>
  <si>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</si>
  <si>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</si>
  <si>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</si>
  <si>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</si>
  <si>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</si>
  <si>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</si>
  <si>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</si>
  <si>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</si>
  <si>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</si>
  <si>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</si>
  <si>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</si>
  <si>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</si>
  <si>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</si>
  <si>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</si>
  <si>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</si>
  <si>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</si>
  <si>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</si>
  <si>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</si>
  <si>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</si>
  <si>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</si>
  <si>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</si>
  <si>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</si>
  <si>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</si>
  <si>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</si>
  <si>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</si>
  <si>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</si>
  <si>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</si>
  <si>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</si>
  <si>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</si>
  <si>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</si>
  <si>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</si>
  <si>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</si>
  <si>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</si>
  <si>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</si>
  <si>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</si>
  <si>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</si>
  <si>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</si>
  <si>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</si>
  <si>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</si>
  <si>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</si>
  <si>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</si>
  <si>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</si>
  <si>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</si>
  <si>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</si>
  <si>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</si>
  <si>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</si>
  <si>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</si>
  <si>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</si>
  <si>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</si>
  <si>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</si>
  <si>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</si>
  <si>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</si>
  <si>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</si>
  <si>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</si>
  <si>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</si>
  <si>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</si>
  <si>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</si>
  <si>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</si>
  <si>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</si>
  <si>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</si>
  <si>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</si>
  <si>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</si>
  <si>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</si>
  <si>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</si>
  <si>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</si>
  <si>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</si>
  <si>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</si>
  <si>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</si>
  <si>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</si>
  <si>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</si>
  <si>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</si>
  <si>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</si>
  <si>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</si>
  <si>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</si>
  <si>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</si>
  <si>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</si>
  <si>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</si>
  <si>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</si>
  <si>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</si>
  <si>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</si>
  <si>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</si>
  <si>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</si>
  <si>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</si>
  <si>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</si>
  <si>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</si>
  <si>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</si>
  <si>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</si>
  <si>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</si>
  <si>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</si>
  <si>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</si>
  <si>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</si>
  <si>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</si>
  <si>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</si>
  <si>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</si>
  <si>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</si>
  <si>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</si>
  <si>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</si>
  <si>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</si>
  <si>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</si>
  <si>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</si>
  <si>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</si>
  <si>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</si>
  <si>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</si>
  <si>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</si>
  <si>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</si>
  <si>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</si>
  <si>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</si>
  <si>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</si>
  <si>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</si>
  <si>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</si>
  <si>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</si>
  <si>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</si>
  <si>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</si>
  <si>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</si>
  <si>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</si>
  <si>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</si>
  <si>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</si>
  <si>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</si>
  <si>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</si>
  <si>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</si>
  <si>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</si>
  <si>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</si>
  <si>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</si>
  <si>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</si>
  <si>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</si>
  <si>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</si>
  <si>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</si>
  <si>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</si>
  <si>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</si>
  <si>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</si>
  <si>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</si>
  <si>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</si>
  <si>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</si>
  <si>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</si>
  <si>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</si>
  <si>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</si>
  <si>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</si>
  <si>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</si>
  <si>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</si>
  <si>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</si>
  <si>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</si>
  <si>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</si>
  <si>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</si>
  <si>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</si>
  <si>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</si>
  <si>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</si>
  <si>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</si>
  <si>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</si>
  <si>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</si>
  <si>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</si>
  <si>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</si>
  <si>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</si>
  <si>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</si>
  <si>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</si>
  <si>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</si>
  <si>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</si>
  <si>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</si>
  <si>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</si>
  <si>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</si>
  <si>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</si>
  <si>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</si>
  <si>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</si>
  <si>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</si>
  <si>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</si>
  <si>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</si>
  <si>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</si>
  <si>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</si>
  <si>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</si>
  <si>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</si>
  <si>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</si>
  <si>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</si>
  <si>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</si>
  <si>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</si>
  <si>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</si>
  <si>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</si>
  <si>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</si>
  <si>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</si>
  <si>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</si>
  <si>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</si>
  <si>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</si>
  <si>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</si>
  <si>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</si>
  <si>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</si>
  <si>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</si>
  <si>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</si>
  <si>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</si>
  <si>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</si>
  <si>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</si>
  <si>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</si>
  <si>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</si>
  <si>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</si>
  <si>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</si>
  <si>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</si>
  <si>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</si>
  <si>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</si>
  <si>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</si>
  <si>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</si>
  <si>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</si>
  <si>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</si>
  <si>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</si>
  <si>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</si>
  <si>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</si>
  <si>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</si>
  <si>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</si>
  <si>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</si>
  <si>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</si>
  <si>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</si>
  <si>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</si>
  <si>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</si>
  <si>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</si>
  <si>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</si>
  <si>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</si>
  <si>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</si>
  <si>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</si>
  <si>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</si>
  <si>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</si>
  <si>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</si>
  <si>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</si>
  <si>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</si>
  <si>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</si>
  <si>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</si>
  <si>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</si>
  <si>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</si>
  <si>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</si>
  <si>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</si>
  <si>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</si>
  <si>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</si>
  <si>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</si>
  <si>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</si>
  <si>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</si>
  <si>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</si>
  <si>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</si>
  <si>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</si>
  <si>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</si>
  <si>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</si>
  <si>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</si>
  <si>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</si>
  <si>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</si>
  <si>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</si>
  <si>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</si>
  <si>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</si>
  <si>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</si>
  <si>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</si>
  <si>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</si>
  <si>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</si>
  <si>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</si>
  <si>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</si>
  <si>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</si>
  <si>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</si>
  <si>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</si>
  <si>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</si>
  <si>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</si>
  <si>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</si>
  <si>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</si>
  <si>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</si>
  <si>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</si>
  <si>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</si>
  <si>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</si>
  <si>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</si>
  <si>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</si>
  <si>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</si>
  <si>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</si>
  <si>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</si>
  <si>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</si>
  <si>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</si>
  <si>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</si>
  <si>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</si>
  <si>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</si>
  <si>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</si>
  <si>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</si>
  <si>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</si>
  <si>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</si>
  <si>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</si>
  <si>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</si>
  <si>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</si>
  <si>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</si>
  <si>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</si>
  <si>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</si>
  <si>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</si>
  <si>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</si>
  <si>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</si>
  <si>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</si>
  <si>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</si>
  <si>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</si>
  <si>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</si>
  <si>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</si>
  <si>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</si>
  <si>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</si>
  <si>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</si>
  <si>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</si>
  <si>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</si>
  <si>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</si>
  <si>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</si>
  <si>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</si>
  <si>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</si>
  <si>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</si>
  <si>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</si>
  <si>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</si>
  <si>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</si>
  <si>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</si>
  <si>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</si>
  <si>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</si>
  <si>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</si>
  <si>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</si>
  <si>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</si>
  <si>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</si>
  <si>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</si>
  <si>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</si>
  <si>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</si>
  <si>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</si>
  <si>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</si>
  <si>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</si>
  <si>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</si>
  <si>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</si>
  <si>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</si>
  <si>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</si>
  <si>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</si>
  <si>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</si>
  <si>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</si>
  <si>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</si>
  <si>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</si>
  <si>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</si>
  <si>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</si>
  <si>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</si>
  <si>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</si>
  <si>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</si>
  <si>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</si>
  <si>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</si>
  <si>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</si>
  <si>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</si>
  <si>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</si>
  <si>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</si>
  <si>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</si>
  <si>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</si>
  <si>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</si>
  <si>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</si>
  <si>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</si>
  <si>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</si>
  <si>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</si>
  <si>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</si>
  <si>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</si>
  <si>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</si>
  <si>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</si>
  <si>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</si>
  <si>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</si>
  <si>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</si>
  <si>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</si>
  <si>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</si>
  <si>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</si>
  <si>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</si>
  <si>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</si>
  <si>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</si>
  <si>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</si>
  <si>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</si>
  <si>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</si>
  <si>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</si>
  <si>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</si>
  <si>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</si>
  <si>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</si>
  <si>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</si>
  <si>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</si>
  <si>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</si>
  <si>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</si>
  <si>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</si>
  <si>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</si>
  <si>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</si>
  <si>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</si>
  <si>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</si>
  <si>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</si>
  <si>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</si>
  <si>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</si>
  <si>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</si>
  <si>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</si>
  <si>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</si>
  <si>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</si>
  <si>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</si>
  <si>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</si>
  <si>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</si>
  <si>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</si>
  <si>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</si>
  <si>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</si>
  <si>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</si>
  <si>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</si>
  <si>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</si>
  <si>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</si>
  <si>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</si>
  <si>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</si>
  <si>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</si>
  <si>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</si>
  <si>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</si>
  <si>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</si>
  <si>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</si>
  <si>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</si>
  <si>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</si>
  <si>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</si>
  <si>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</si>
  <si>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</si>
  <si>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</si>
  <si>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</si>
  <si>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</si>
  <si>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</si>
  <si>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</si>
  <si>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</si>
  <si>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</si>
  <si>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</si>
  <si>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</si>
  <si>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</si>
  <si>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</si>
  <si>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</si>
  <si>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</si>
  <si>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</si>
  <si>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</si>
  <si>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</si>
  <si>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</si>
  <si>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</si>
  <si>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</si>
  <si>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</si>
  <si>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</si>
  <si>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</si>
  <si>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</si>
  <si>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</si>
  <si>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</si>
  <si>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</si>
  <si>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</si>
  <si>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</si>
  <si>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</si>
  <si>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</si>
  <si>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</si>
  <si>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</si>
  <si>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</si>
  <si>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</si>
  <si>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</si>
  <si>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</si>
  <si>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</si>
  <si>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</si>
  <si>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</si>
  <si>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</si>
  <si>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</si>
  <si>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</si>
  <si>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</si>
  <si>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</si>
  <si>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</si>
  <si>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</si>
  <si>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</si>
  <si>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</si>
  <si>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</si>
  <si>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</si>
  <si>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</si>
  <si>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</si>
  <si>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</si>
  <si>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</si>
  <si>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</si>
  <si>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</si>
  <si>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</si>
  <si>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</si>
  <si>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</si>
  <si>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</si>
  <si>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</si>
  <si>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</si>
  <si>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</si>
  <si>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</si>
  <si>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</si>
  <si>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</si>
  <si>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</si>
  <si>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</si>
  <si>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</si>
  <si>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</si>
  <si>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</si>
  <si>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</si>
  <si>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</si>
  <si>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</si>
  <si>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</si>
  <si>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</si>
  <si>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</si>
  <si>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</si>
  <si>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</si>
  <si>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</si>
  <si>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</si>
  <si>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</si>
  <si>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</si>
  <si>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</si>
  <si>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</si>
  <si>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</si>
  <si>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</si>
  <si>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</si>
  <si>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</si>
  <si>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</si>
  <si>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</si>
  <si>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</si>
  <si>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</si>
  <si>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</si>
  <si>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</si>
  <si>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</si>
  <si>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</si>
  <si>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</si>
  <si>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</si>
  <si>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</si>
  <si>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</si>
  <si>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</si>
  <si>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</si>
  <si>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</si>
  <si>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</si>
  <si>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</si>
  <si>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</si>
  <si>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</si>
  <si>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</si>
  <si>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</si>
  <si>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</si>
  <si>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</si>
  <si>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</si>
  <si>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</si>
  <si>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</si>
  <si>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</si>
  <si>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</si>
  <si>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</si>
  <si>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</si>
  <si>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</si>
  <si>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</si>
  <si>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</si>
  <si>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</si>
  <si>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</si>
  <si>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</si>
  <si>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</si>
  <si>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</si>
  <si>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</si>
  <si>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</si>
  <si>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</si>
  <si>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</si>
  <si>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</si>
  <si>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</si>
  <si>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</si>
  <si>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</si>
  <si>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</si>
  <si>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</si>
  <si>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</si>
  <si>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</si>
  <si>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</si>
  <si>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</si>
  <si>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</si>
  <si>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</si>
  <si>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</si>
  <si>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</si>
  <si>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</si>
  <si>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</si>
  <si>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</si>
  <si>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</si>
  <si>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</si>
  <si>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</si>
  <si>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</si>
  <si>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</si>
  <si>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</si>
  <si>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</si>
  <si>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</si>
  <si>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</si>
  <si>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</si>
  <si>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</si>
  <si>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</si>
  <si>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</si>
  <si>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</si>
  <si>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</si>
  <si>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</si>
  <si>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</si>
  <si>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</si>
  <si>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</si>
  <si>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</si>
  <si>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</si>
  <si>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</si>
  <si>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</si>
  <si>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</si>
  <si>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</si>
  <si>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</si>
  <si>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</si>
  <si>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</si>
  <si>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</si>
  <si>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</si>
  <si>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</si>
  <si>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</si>
  <si>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</si>
  <si>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</si>
  <si>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</si>
  <si>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</si>
  <si>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</si>
  <si>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</si>
  <si>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</si>
  <si>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</si>
  <si>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</si>
  <si>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</si>
  <si>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</si>
  <si>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</si>
  <si>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</si>
  <si>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</si>
  <si>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</si>
  <si>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</si>
  <si>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</si>
  <si>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</si>
  <si>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</si>
  <si>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</si>
  <si>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</si>
  <si>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</si>
  <si>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</si>
  <si>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</si>
  <si>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</si>
  <si>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</si>
  <si>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</si>
  <si>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</si>
  <si>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</si>
  <si>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</si>
  <si>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</si>
  <si>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</si>
  <si>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</si>
  <si>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</si>
  <si>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</si>
  <si>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</si>
  <si>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</si>
  <si>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</si>
  <si>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</si>
  <si>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</si>
  <si>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</si>
  <si>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</si>
  <si>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</si>
  <si>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</si>
  <si>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</si>
  <si>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</si>
  <si>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</si>
  <si>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</si>
  <si>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</si>
  <si>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</si>
  <si>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</si>
  <si>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</si>
  <si>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</si>
  <si>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</si>
  <si>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</si>
  <si>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</si>
  <si>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</si>
  <si>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</si>
  <si>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</si>
  <si>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</si>
  <si>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</si>
  <si>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</si>
  <si>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</si>
  <si>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</si>
  <si>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</si>
  <si>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</si>
  <si>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</si>
  <si>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</si>
  <si>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</si>
  <si>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</si>
  <si>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</si>
  <si>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</si>
  <si>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</si>
  <si>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</si>
  <si>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</si>
  <si>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</si>
  <si>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</si>
  <si>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</si>
  <si>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</si>
  <si>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</si>
  <si>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</si>
  <si>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</si>
  <si>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</si>
  <si>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</si>
  <si>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</si>
  <si>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</si>
  <si>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</si>
  <si>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</si>
  <si>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</si>
  <si>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</si>
  <si>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</si>
  <si>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</si>
  <si>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</si>
  <si>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</si>
  <si>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</si>
  <si>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</si>
  <si>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</si>
  <si>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</si>
  <si>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</si>
  <si>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</si>
  <si>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</si>
  <si>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</si>
  <si>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</si>
  <si>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</si>
  <si>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</si>
  <si>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</si>
  <si>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</si>
  <si>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</si>
  <si>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</si>
  <si>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</si>
  <si>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</si>
  <si>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</si>
  <si>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</si>
  <si>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</si>
  <si>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</si>
  <si>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</si>
  <si>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</si>
  <si>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</si>
  <si>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</si>
  <si>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</si>
  <si>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</si>
  <si>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</si>
  <si>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</si>
  <si>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</si>
  <si>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</si>
  <si>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</si>
  <si>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</si>
  <si>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</si>
  <si>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</si>
  <si>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</si>
  <si>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</si>
  <si>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</si>
  <si>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</si>
  <si>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</si>
  <si>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</si>
  <si>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</si>
  <si>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</si>
  <si>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</si>
  <si>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</si>
  <si>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</si>
  <si>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</si>
  <si>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</si>
  <si>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</si>
  <si>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</si>
  <si>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</si>
  <si>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</si>
  <si>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</si>
  <si>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</si>
  <si>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</si>
  <si>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</si>
  <si>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</si>
  <si>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</si>
  <si>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</si>
  <si>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</si>
  <si>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</si>
  <si>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</si>
  <si>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</si>
  <si>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</si>
  <si>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</si>
  <si>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</si>
  <si>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</si>
  <si>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</si>
  <si>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</si>
  <si>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</si>
  <si>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</si>
  <si>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</si>
  <si>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</si>
  <si>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</si>
  <si>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</si>
  <si>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</si>
  <si>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</si>
  <si>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</si>
  <si>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</si>
  <si>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</si>
  <si>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</si>
  <si>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</si>
  <si>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</si>
  <si>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</si>
  <si>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</si>
  <si>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</si>
  <si>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</si>
  <si>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</si>
  <si>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</si>
  <si>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</si>
  <si>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</si>
  <si>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</si>
  <si>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</si>
  <si>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</si>
  <si>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</si>
  <si>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</si>
  <si>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</si>
  <si>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</si>
  <si>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</si>
  <si>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</si>
  <si>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</si>
  <si>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</si>
  <si>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</si>
  <si>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</si>
  <si>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</si>
  <si>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</si>
  <si>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</si>
  <si>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</si>
  <si>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</si>
  <si>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</si>
  <si>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</si>
  <si>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</si>
  <si>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</si>
  <si>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</si>
  <si>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</si>
  <si>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</si>
  <si>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</si>
  <si>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</si>
  <si>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</si>
  <si>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</si>
  <si>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</si>
  <si>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</si>
  <si>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</si>
  <si>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</si>
  <si>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</si>
  <si>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</si>
  <si>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</si>
  <si>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</si>
  <si>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</si>
  <si>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</si>
  <si>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</si>
  <si>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</si>
  <si>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</si>
  <si>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</si>
  <si>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</si>
  <si>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</si>
  <si>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</si>
  <si>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</si>
  <si>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</si>
  <si>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</si>
  <si>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</si>
  <si>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</si>
  <si>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</si>
  <si>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</si>
  <si>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</si>
  <si>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</si>
  <si>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</si>
  <si>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</si>
  <si>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</si>
  <si>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</si>
  <si>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</si>
  <si>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</si>
  <si>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</si>
  <si>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</si>
  <si>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</si>
  <si>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</si>
  <si>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</si>
  <si>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</si>
  <si>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</si>
  <si>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</si>
  <si>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</si>
  <si>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</si>
  <si>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</si>
  <si>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</si>
  <si>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</si>
  <si>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</si>
  <si>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</si>
  <si>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</si>
  <si>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</si>
  <si>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</si>
  <si>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</si>
  <si>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</si>
  <si>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</si>
  <si>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</si>
  <si>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</si>
  <si>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</si>
  <si>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</si>
  <si>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</si>
  <si>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</si>
  <si>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</si>
  <si>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</si>
  <si>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</si>
  <si>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</si>
  <si>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</si>
  <si>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</si>
  <si>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</si>
  <si>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</si>
  <si>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</si>
  <si>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</si>
  <si>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</si>
  <si>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</si>
  <si>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</si>
  <si>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</si>
  <si>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</si>
  <si>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</si>
  <si>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</si>
  <si>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</si>
  <si>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</si>
  <si>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</si>
  <si>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</si>
  <si>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</si>
  <si>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</si>
  <si>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</si>
  <si>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</si>
  <si>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</si>
  <si>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</si>
  <si>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</si>
  <si>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</si>
  <si>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</si>
  <si>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</si>
  <si>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</si>
  <si>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</si>
  <si>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</si>
  <si>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</si>
  <si>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</si>
  <si>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</si>
  <si>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</si>
  <si>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</si>
  <si>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</si>
  <si>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</si>
  <si>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</si>
  <si>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</si>
  <si>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</si>
  <si>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</si>
  <si>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</si>
  <si>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</si>
  <si>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</si>
  <si>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</si>
  <si>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</si>
  <si>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</si>
  <si>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</si>
  <si>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</si>
  <si>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</si>
  <si>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</si>
  <si>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</si>
  <si>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</si>
  <si>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</si>
  <si>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</si>
  <si>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</si>
  <si>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</si>
  <si>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</si>
  <si>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</si>
  <si>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</si>
  <si>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</si>
  <si>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</si>
  <si>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</si>
  <si>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</si>
  <si>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</si>
  <si>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</si>
  <si>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</si>
  <si>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</si>
  <si>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</si>
  <si>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</si>
  <si>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</si>
  <si>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</si>
  <si>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</si>
  <si>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</si>
  <si>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</si>
  <si>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</si>
  <si>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</si>
  <si>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</si>
  <si>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</si>
  <si>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</si>
  <si>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</si>
  <si>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</si>
  <si>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</si>
  <si>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</si>
  <si>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</si>
  <si>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</si>
  <si>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</si>
  <si>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</si>
  <si>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</si>
  <si>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</si>
  <si>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</si>
  <si>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</si>
  <si>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</si>
  <si>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</si>
  <si>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</si>
  <si>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</si>
  <si>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</si>
  <si>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</si>
  <si>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</si>
  <si>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</si>
  <si>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</si>
  <si>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</si>
  <si>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</si>
  <si>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</si>
  <si>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</si>
  <si>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</si>
  <si>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</si>
  <si>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</si>
  <si>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</si>
  <si>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</si>
  <si>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</si>
  <si>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</si>
  <si>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</si>
  <si>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</si>
  <si>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</si>
  <si>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</si>
  <si>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</si>
  <si>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</si>
  <si>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</si>
  <si>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</si>
  <si>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</si>
  <si>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</si>
  <si>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</si>
  <si>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</si>
  <si>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</si>
  <si>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</si>
  <si>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</si>
  <si>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</si>
  <si>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</si>
  <si>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</si>
  <si>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</si>
  <si>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</si>
  <si>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</si>
  <si>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</si>
  <si>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</si>
  <si>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</si>
  <si>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</si>
  <si>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</si>
  <si>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</si>
  <si>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</si>
  <si>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</si>
  <si>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</si>
  <si>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</si>
  <si>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</si>
  <si>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</si>
  <si>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</si>
  <si>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</si>
  <si>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</si>
  <si>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</si>
  <si>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</si>
  <si>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</si>
  <si>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</si>
  <si>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</si>
  <si>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</si>
  <si>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</si>
  <si>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</si>
  <si>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</si>
  <si>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</si>
  <si>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</si>
  <si>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</si>
  <si>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</si>
  <si>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</si>
  <si>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</si>
  <si>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</si>
  <si>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</si>
  <si>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</si>
  <si>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</si>
  <si>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</si>
  <si>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</si>
  <si>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</si>
  <si>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</si>
  <si>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</si>
  <si>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</si>
  <si>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</si>
  <si>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</si>
  <si>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</si>
  <si>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</si>
  <si>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</si>
  <si>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</si>
  <si>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</si>
  <si>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</si>
  <si>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</si>
  <si>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</si>
  <si>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</si>
  <si>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</si>
  <si>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</si>
  <si>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</si>
  <si>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</si>
  <si>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</si>
  <si>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</si>
  <si>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</si>
  <si>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</si>
  <si>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</si>
  <si>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</si>
  <si>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</si>
  <si>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</si>
  <si>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</si>
  <si>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</si>
  <si>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</si>
  <si>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</si>
  <si>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</si>
  <si>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</si>
  <si>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</si>
  <si>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</si>
  <si>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</si>
  <si>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</si>
  <si>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</si>
  <si>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</si>
  <si>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</si>
  <si>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</si>
  <si>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</si>
  <si>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</si>
  <si>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</si>
  <si>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</si>
  <si>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</si>
  <si>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</si>
  <si>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</si>
  <si>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</si>
  <si>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</si>
  <si>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</si>
  <si>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</si>
  <si>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</si>
  <si>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</si>
  <si>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</si>
  <si>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</si>
  <si>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</si>
  <si>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</si>
  <si>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</si>
  <si>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</si>
  <si>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</si>
  <si>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</si>
  <si>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</si>
  <si>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</si>
  <si>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</si>
  <si>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</si>
  <si>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</si>
  <si>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</si>
  <si>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</si>
  <si>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</si>
  <si>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</si>
  <si>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</si>
  <si>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</si>
  <si>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</si>
  <si>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</si>
  <si>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</si>
  <si>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</si>
  <si>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</si>
  <si>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</si>
  <si>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</si>
  <si>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</si>
  <si>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</si>
  <si>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</si>
  <si>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</si>
  <si>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</si>
  <si>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</si>
  <si>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</si>
  <si>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</si>
  <si>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</si>
  <si>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</si>
  <si>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</si>
  <si>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</si>
  <si>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</si>
  <si>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</si>
  <si>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</si>
  <si>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</si>
  <si>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</si>
  <si>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</si>
  <si>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</si>
  <si>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</si>
  <si>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</si>
  <si>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</si>
  <si>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</si>
  <si>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</si>
  <si>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</si>
  <si>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</si>
  <si>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</si>
  <si>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</si>
  <si>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</si>
  <si>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</si>
  <si>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</si>
  <si>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</si>
  <si>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</si>
  <si>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</si>
  <si>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</si>
  <si>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</si>
  <si>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</si>
  <si>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</si>
  <si>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</si>
  <si>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</si>
  <si>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</si>
  <si>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</si>
  <si>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</si>
  <si>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</si>
  <si>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</si>
  <si>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</si>
  <si>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</si>
  <si>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</si>
  <si>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</si>
  <si>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</si>
  <si>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</si>
  <si>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</si>
  <si>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</si>
  <si>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</si>
  <si>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</si>
  <si>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</si>
  <si>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</si>
  <si>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</si>
  <si>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</si>
  <si>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</si>
  <si>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</si>
  <si>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</si>
  <si>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</si>
  <si>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</si>
  <si>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</si>
  <si>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</si>
  <si>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</si>
  <si>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</si>
  <si>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</si>
  <si>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</si>
  <si>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</si>
  <si>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</si>
  <si>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</si>
  <si>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</si>
  <si>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</si>
  <si>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</si>
  <si>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</si>
  <si>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</si>
  <si>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</si>
  <si>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</si>
  <si>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</si>
  <si>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</si>
  <si>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</si>
  <si>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</si>
  <si>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</si>
  <si>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</si>
  <si>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</si>
  <si>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</si>
  <si>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</si>
  <si>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</si>
  <si>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</si>
  <si>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</si>
  <si>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</si>
  <si>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</si>
  <si>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</si>
  <si>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</si>
  <si>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</si>
  <si>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</si>
  <si>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</si>
  <si>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</si>
  <si>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</si>
  <si>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</si>
  <si>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</si>
  <si>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</si>
  <si>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</si>
  <si>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</si>
  <si>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</si>
  <si>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</si>
  <si>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</si>
  <si>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</si>
  <si>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</si>
  <si>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</si>
  <si>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</si>
  <si>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</si>
  <si>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</si>
  <si>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</si>
  <si>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</si>
  <si>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</si>
  <si>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</si>
  <si>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</si>
  <si>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</si>
  <si>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</si>
  <si>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</si>
  <si>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</si>
  <si>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</si>
  <si>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</si>
  <si>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</si>
  <si>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</si>
  <si>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</si>
  <si>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</si>
  <si>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</si>
  <si>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</si>
  <si>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</si>
  <si>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</si>
  <si>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</si>
  <si>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</si>
  <si>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</si>
  <si>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</si>
  <si>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</si>
  <si>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</si>
  <si>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</si>
  <si>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</si>
  <si>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</si>
  <si>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</si>
  <si>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</si>
  <si>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</si>
  <si>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</si>
  <si>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</si>
  <si>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</si>
  <si>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</si>
  <si>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</si>
  <si>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</si>
  <si>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</si>
  <si>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</si>
  <si>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</si>
  <si>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</si>
  <si>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</si>
  <si>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</si>
  <si>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</si>
  <si>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</si>
  <si>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</si>
  <si>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</si>
  <si>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</si>
  <si>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</si>
  <si>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</si>
  <si>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</si>
  <si>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</si>
  <si>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</si>
  <si>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</si>
  <si>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</si>
  <si>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</si>
  <si>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</si>
  <si>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</si>
  <si>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</si>
  <si>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</si>
  <si>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</si>
  <si>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</si>
  <si>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</si>
  <si>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</si>
  <si>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</si>
  <si>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</si>
  <si>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</si>
  <si>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</si>
  <si>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</si>
  <si>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</si>
  <si>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</si>
  <si>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</si>
  <si>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</si>
  <si>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</si>
  <si>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</si>
  <si>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</si>
  <si>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</si>
  <si>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</si>
  <si>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</si>
  <si>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</si>
  <si>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</si>
  <si>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</si>
  <si>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</si>
  <si>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</si>
  <si>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</si>
  <si>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</si>
  <si>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</si>
  <si>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</si>
  <si>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</si>
  <si>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</si>
  <si>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</si>
  <si>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</si>
  <si>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</si>
  <si>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</si>
  <si>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</si>
  <si>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</si>
  <si>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</si>
  <si>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</si>
  <si>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</si>
  <si>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</si>
  <si>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</si>
  <si>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</si>
  <si>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</si>
  <si>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</si>
  <si>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</si>
  <si>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</si>
  <si>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</si>
  <si>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</si>
  <si>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</si>
  <si>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</si>
  <si>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</si>
  <si>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</si>
  <si>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</si>
  <si>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</si>
  <si>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</si>
  <si>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</si>
  <si>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</si>
  <si>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</si>
  <si>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</si>
  <si>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</si>
  <si>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</si>
  <si>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</si>
  <si>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</si>
  <si>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</si>
  <si>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</si>
  <si>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</si>
  <si>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</si>
  <si>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</si>
  <si>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</si>
  <si>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</si>
  <si>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</si>
  <si>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</si>
  <si>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</si>
  <si>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</si>
  <si>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</si>
  <si>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</si>
  <si>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</si>
  <si>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</si>
  <si>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</si>
  <si>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</si>
  <si>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</si>
  <si>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</si>
  <si>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</si>
  <si>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</si>
  <si>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</si>
  <si>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</si>
  <si>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</si>
  <si>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</si>
  <si>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</si>
  <si>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</si>
  <si>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</si>
  <si>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</si>
  <si>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</si>
  <si>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</si>
  <si>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</si>
  <si>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</si>
  <si>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</si>
  <si>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</si>
  <si>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</si>
  <si>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</si>
  <si>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</si>
  <si>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</si>
  <si>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</si>
  <si>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</si>
  <si>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</si>
  <si>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</si>
  <si>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</si>
  <si>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</si>
  <si>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</si>
  <si>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</si>
  <si>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</si>
  <si>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</si>
  <si>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</si>
  <si>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</si>
  <si>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</si>
  <si>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</si>
  <si>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</si>
  <si>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</si>
  <si>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</si>
  <si>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</si>
  <si>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</si>
  <si>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</si>
  <si>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</si>
  <si>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</si>
  <si>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</si>
  <si>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</si>
  <si>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</si>
  <si>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</si>
  <si>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</si>
  <si>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</si>
  <si>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</si>
  <si>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</si>
  <si>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</si>
  <si>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</si>
  <si>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</si>
  <si>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</si>
  <si>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</si>
  <si>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</si>
  <si>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</si>
  <si>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</si>
  <si>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</si>
  <si>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</si>
  <si>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</si>
  <si>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</si>
  <si>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</si>
  <si>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</si>
  <si>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</si>
  <si>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</si>
  <si>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</si>
  <si>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</si>
  <si>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</si>
  <si>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</si>
  <si>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</si>
  <si>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</si>
  <si>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</si>
  <si>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</si>
  <si>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</si>
  <si>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</si>
  <si>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</si>
  <si>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</si>
  <si>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</si>
  <si>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</si>
  <si>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</si>
  <si>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</si>
  <si>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</si>
  <si>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</si>
  <si>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</si>
  <si>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</si>
  <si>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</si>
  <si>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</si>
  <si>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</si>
  <si>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</si>
  <si>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</si>
  <si>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</si>
  <si>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</si>
  <si>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</si>
  <si>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</si>
  <si>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</si>
  <si>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</si>
  <si>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</si>
  <si>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</si>
  <si>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</si>
  <si>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</si>
  <si>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</si>
  <si>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</si>
  <si>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</si>
  <si>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</si>
  <si>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</si>
  <si>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</si>
  <si>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</si>
  <si>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</si>
  <si>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</si>
  <si>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</si>
  <si>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</si>
  <si>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</si>
  <si>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</si>
  <si>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</si>
  <si>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</si>
  <si>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</si>
  <si>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</si>
  <si>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</si>
  <si>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</si>
  <si>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</si>
  <si>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</si>
  <si>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</si>
  <si>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</si>
  <si>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</si>
  <si>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</si>
  <si>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</si>
  <si>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</si>
  <si>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</si>
  <si>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</si>
  <si>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</si>
  <si>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</si>
  <si>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</si>
  <si>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</si>
  <si>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</si>
  <si>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</si>
  <si>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</si>
  <si>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</si>
  <si>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</si>
  <si>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</si>
  <si>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</si>
  <si>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</si>
  <si>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</si>
  <si>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</si>
  <si>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</si>
  <si>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</si>
  <si>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</si>
  <si>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</si>
  <si>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</si>
  <si>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</si>
  <si>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</si>
  <si>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</si>
  <si>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</si>
  <si>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</si>
  <si>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</si>
  <si>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</si>
  <si>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</si>
  <si>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</si>
  <si>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</si>
  <si>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</si>
  <si>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</si>
  <si>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</si>
  <si>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</si>
  <si>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</si>
  <si>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</si>
  <si>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</si>
  <si>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</si>
  <si>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</si>
  <si>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</si>
  <si>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</si>
  <si>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</si>
  <si>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</si>
  <si>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</si>
  <si>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</si>
  <si>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</si>
  <si>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</si>
  <si>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</si>
  <si>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</si>
  <si>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</si>
  <si>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</si>
  <si>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</si>
  <si>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</si>
  <si>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</si>
  <si>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</si>
  <si>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</si>
  <si>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</si>
  <si>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</si>
  <si>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</si>
  <si>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</si>
  <si>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</si>
  <si>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</si>
  <si>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</si>
  <si>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</si>
  <si>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</si>
  <si>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</si>
  <si>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</si>
  <si>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</si>
  <si>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</si>
  <si>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</si>
  <si>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</si>
  <si>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</si>
  <si>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</si>
  <si>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</si>
  <si>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</si>
  <si>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</si>
  <si>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</si>
  <si>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</si>
  <si>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</si>
  <si>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</si>
  <si>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</si>
  <si>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</si>
  <si>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</si>
  <si>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</si>
  <si>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</si>
  <si>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</si>
  <si>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</si>
  <si>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</si>
  <si>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</si>
  <si>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</si>
  <si>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</si>
  <si>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</si>
  <si>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</si>
  <si>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</si>
  <si>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</si>
  <si>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</si>
  <si>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</si>
  <si>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</si>
  <si>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</si>
  <si>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</si>
  <si>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</si>
  <si>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</si>
  <si>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</si>
  <si>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</si>
  <si>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</si>
  <si>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</si>
  <si>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</si>
  <si>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</si>
  <si>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</si>
  <si>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</si>
  <si>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</si>
  <si>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</si>
  <si>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</si>
  <si>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</si>
  <si>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</si>
  <si>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</si>
  <si>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</si>
  <si>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</si>
  <si>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</si>
  <si>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</si>
  <si>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</si>
  <si>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</si>
  <si>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</si>
  <si>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</si>
  <si>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</si>
  <si>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</si>
  <si>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</si>
  <si>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</si>
  <si>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</si>
  <si>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</si>
  <si>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</si>
  <si>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</si>
  <si>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</si>
  <si>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</si>
  <si>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</si>
  <si>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</si>
  <si>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</si>
  <si>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</si>
  <si>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</si>
  <si>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</si>
  <si>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</si>
  <si>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</si>
  <si>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</si>
  <si>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</si>
  <si>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</si>
  <si>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</si>
  <si>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</si>
  <si>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</si>
  <si>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</si>
  <si>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</si>
  <si>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</si>
  <si>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</si>
  <si>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</si>
  <si>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</si>
  <si>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</si>
  <si>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</si>
  <si>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</si>
  <si>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</si>
  <si>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</si>
  <si>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</si>
  <si>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</si>
  <si>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</si>
  <si>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</si>
  <si>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</si>
  <si>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</si>
  <si>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</si>
  <si>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</si>
  <si>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</si>
  <si>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</si>
  <si>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</si>
  <si>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</si>
  <si>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</si>
  <si>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</si>
  <si>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</si>
  <si>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</si>
  <si>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</si>
  <si>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</si>
  <si>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</si>
  <si>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</si>
  <si>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</si>
  <si>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</si>
  <si>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</si>
  <si>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</si>
  <si>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</si>
  <si>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</si>
  <si>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</si>
  <si>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</si>
  <si>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</si>
  <si>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</si>
  <si>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</si>
  <si>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</si>
  <si>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</si>
  <si>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</si>
  <si>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</si>
  <si>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</si>
  <si>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</si>
  <si>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</si>
  <si>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</si>
  <si>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</si>
  <si>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</si>
  <si>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</si>
  <si>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</si>
  <si>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</si>
  <si>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</si>
  <si>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</si>
  <si>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</si>
  <si>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</si>
  <si>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</si>
  <si>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</si>
  <si>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</si>
  <si>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</si>
  <si>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</si>
  <si>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</si>
  <si>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</si>
  <si>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</si>
  <si>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</si>
  <si>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</si>
  <si>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</si>
  <si>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</si>
  <si>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</si>
  <si>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</si>
  <si>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</si>
  <si>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</si>
  <si>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</si>
  <si>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</si>
  <si>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</si>
  <si>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</si>
  <si>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</si>
  <si>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</si>
  <si>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</si>
  <si>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</si>
  <si>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</si>
  <si>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</si>
  <si>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</si>
  <si>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</si>
  <si>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</si>
  <si>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</si>
  <si>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</si>
  <si>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</si>
  <si>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</si>
  <si>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</si>
  <si>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</si>
  <si>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</si>
  <si>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</si>
  <si>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</si>
  <si>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</si>
  <si>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</si>
  <si>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</si>
  <si>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</si>
  <si>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</si>
  <si>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</si>
  <si>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</si>
  <si>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</si>
  <si>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</si>
  <si>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</si>
  <si>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</si>
  <si>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</si>
  <si>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</si>
  <si>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</si>
  <si>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</si>
  <si>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</si>
  <si>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</si>
  <si>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</si>
  <si>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</si>
  <si>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</si>
  <si>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</si>
  <si>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</si>
  <si>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</si>
  <si>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</si>
  <si>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</si>
  <si>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</si>
  <si>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</si>
  <si>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</si>
  <si>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</si>
  <si>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</si>
  <si>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</si>
  <si>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</si>
  <si>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</si>
  <si>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</si>
  <si>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</si>
  <si>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</si>
  <si>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</si>
  <si>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</si>
  <si>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</si>
  <si>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</si>
  <si>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</si>
  <si>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</si>
  <si>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</si>
  <si>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</si>
  <si>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</si>
  <si>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</si>
  <si>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</si>
  <si>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</si>
  <si>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</si>
  <si>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</si>
  <si>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</si>
  <si>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</si>
  <si>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</si>
  <si>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</si>
  <si>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</si>
  <si>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</si>
  <si>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</si>
  <si>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</si>
  <si>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</si>
  <si>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</si>
  <si>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</si>
  <si>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</si>
  <si>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</si>
  <si>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</si>
  <si>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</si>
  <si>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</si>
  <si>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</si>
  <si>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</si>
  <si>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</si>
  <si>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</si>
  <si>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</si>
  <si>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</si>
  <si>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</si>
  <si>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</si>
  <si>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</si>
  <si>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</si>
  <si>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</si>
  <si>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</si>
  <si>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</si>
  <si>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</si>
  <si>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</si>
  <si>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</si>
  <si>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</si>
  <si>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</si>
  <si>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</si>
  <si>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</si>
  <si>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</si>
  <si>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</si>
  <si>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</si>
  <si>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</si>
  <si>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</si>
  <si>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</si>
  <si>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</si>
  <si>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</si>
  <si>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</si>
  <si>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</si>
  <si>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</si>
  <si>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</si>
  <si>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</si>
  <si>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</si>
  <si>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</si>
  <si>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</si>
  <si>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</si>
  <si>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</si>
  <si>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</si>
  <si>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</si>
  <si>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</si>
  <si>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</si>
  <si>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</si>
  <si>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</si>
  <si>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</si>
  <si>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</si>
  <si>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</si>
  <si>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</si>
  <si>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</si>
  <si>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</si>
  <si>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</si>
  <si>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</si>
  <si>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</si>
  <si>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</si>
  <si>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</si>
  <si>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</si>
  <si>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</si>
  <si>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</si>
  <si>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</si>
  <si>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</si>
  <si>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</si>
  <si>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</si>
  <si>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</si>
  <si>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</si>
  <si>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</si>
  <si>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</si>
  <si>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</si>
  <si>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</si>
  <si>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</si>
  <si>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</si>
  <si>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</si>
  <si>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</si>
  <si>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</si>
  <si>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</si>
  <si>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</si>
  <si>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</si>
  <si>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</si>
  <si>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</si>
  <si>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</si>
  <si>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</si>
  <si>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</si>
  <si>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</si>
  <si>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</si>
  <si>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</si>
  <si>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</si>
  <si>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</si>
  <si>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</si>
  <si>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</si>
  <si>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</si>
  <si>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</si>
  <si>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</si>
  <si>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</si>
  <si>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</si>
  <si>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</si>
  <si>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</si>
  <si>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</si>
  <si>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</si>
  <si>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</si>
  <si>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</si>
  <si>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</si>
  <si>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</si>
  <si>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</si>
  <si>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</si>
  <si>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</si>
  <si>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</si>
  <si>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</si>
  <si>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</si>
  <si>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</si>
  <si>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</si>
  <si>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</si>
  <si>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</si>
  <si>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</si>
  <si>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</si>
  <si>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</si>
  <si>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</si>
  <si>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</si>
  <si>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</si>
  <si>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</si>
  <si>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</si>
  <si>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</si>
  <si>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</si>
  <si>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</si>
  <si>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</si>
  <si>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</si>
  <si>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</si>
  <si>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</si>
  <si>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</si>
  <si>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</si>
  <si>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</si>
  <si>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</si>
  <si>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</si>
  <si>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</si>
  <si>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</si>
  <si>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</si>
  <si>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</si>
  <si>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</si>
  <si>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</si>
  <si>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</si>
  <si>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</si>
  <si>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</si>
  <si>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</si>
  <si>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</si>
  <si>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</si>
  <si>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</si>
  <si>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</si>
  <si>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</si>
  <si>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</si>
  <si>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</si>
  <si>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</si>
  <si>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</si>
  <si>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</si>
  <si>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</si>
  <si>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</si>
  <si>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</si>
  <si>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</si>
  <si>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</si>
  <si>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</si>
  <si>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</si>
  <si>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</si>
  <si>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</si>
  <si>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</si>
  <si>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</si>
  <si>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</si>
  <si>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</si>
  <si>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</si>
  <si>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</si>
  <si>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</si>
  <si>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</si>
  <si>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</si>
  <si>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</si>
  <si>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</si>
  <si>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</si>
  <si>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</si>
  <si>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</si>
  <si>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</si>
  <si>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</si>
  <si>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</si>
  <si>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</si>
  <si>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</si>
  <si>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</si>
  <si>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</si>
  <si>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</si>
  <si>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</si>
  <si>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</si>
  <si>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</si>
  <si>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</si>
  <si>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</si>
  <si>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</si>
  <si>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</si>
  <si>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</si>
  <si>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</si>
  <si>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</si>
  <si>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</si>
  <si>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</si>
  <si>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</si>
  <si>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</si>
  <si>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</si>
  <si>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</si>
  <si>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</si>
  <si>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</si>
  <si>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</si>
  <si>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</si>
  <si>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</si>
  <si>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</si>
  <si>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</si>
  <si>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</si>
  <si>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</si>
  <si>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</si>
  <si>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</si>
  <si>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</si>
  <si>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</si>
  <si>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</si>
  <si>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</si>
  <si>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</si>
  <si>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</si>
  <si>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</si>
  <si>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</si>
  <si>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</si>
  <si>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</si>
  <si>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</si>
  <si>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</si>
  <si>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</si>
  <si>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</si>
  <si>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</si>
  <si>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</si>
  <si>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</si>
  <si>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</si>
  <si>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</si>
  <si>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</si>
  <si>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</si>
  <si>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</si>
  <si>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</si>
  <si>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</si>
  <si>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</si>
  <si>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</si>
  <si>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</si>
  <si>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</si>
  <si>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</si>
  <si>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</si>
  <si>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</si>
  <si>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</si>
  <si>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</si>
  <si>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</si>
  <si>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</si>
  <si>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</si>
  <si>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</si>
  <si>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</si>
  <si>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</si>
  <si>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</si>
  <si>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</si>
  <si>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</si>
  <si>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</si>
  <si>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</si>
  <si>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</si>
  <si>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</si>
  <si>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</si>
  <si>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</si>
  <si>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</si>
  <si>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</si>
  <si>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</si>
  <si>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</si>
  <si>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</si>
  <si>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</si>
  <si>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</si>
  <si>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</si>
  <si>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</si>
  <si>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</si>
  <si>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</si>
  <si>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</si>
  <si>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</si>
  <si>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</si>
  <si>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</si>
  <si>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</si>
  <si>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</si>
  <si>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</si>
  <si>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</si>
  <si>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</si>
  <si>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</si>
  <si>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</si>
  <si>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</si>
  <si>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</si>
  <si>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</si>
  <si>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</si>
  <si>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</si>
  <si>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</si>
  <si>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</si>
  <si>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</si>
  <si>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</si>
  <si>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</si>
  <si>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</si>
  <si>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</si>
  <si>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</si>
  <si>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</si>
  <si>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</si>
  <si>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</si>
  <si>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</si>
  <si>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</si>
  <si>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</si>
  <si>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</si>
  <si>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</si>
  <si>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</si>
  <si>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</si>
  <si>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</si>
  <si>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</si>
  <si>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</si>
  <si>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</si>
  <si>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</si>
  <si>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</si>
  <si>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</si>
  <si>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</si>
  <si>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</si>
  <si>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</si>
  <si>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</si>
  <si>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</si>
  <si>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</si>
  <si>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</si>
  <si>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</si>
  <si>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</si>
  <si>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</si>
  <si>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</si>
  <si>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</si>
  <si>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</si>
  <si>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</si>
  <si>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</si>
  <si>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</si>
  <si>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</si>
  <si>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</si>
  <si>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</si>
  <si>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</si>
  <si>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</si>
  <si>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</si>
  <si>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</si>
  <si>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</si>
  <si>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</si>
  <si>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</si>
  <si>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</si>
  <si>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</si>
  <si>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</si>
  <si>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</si>
  <si>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</si>
  <si>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AVG Rating</t>
  </si>
  <si>
    <t>AVG Days to deliver</t>
  </si>
  <si>
    <t>Grand Total</t>
  </si>
  <si>
    <t>For Matrix</t>
  </si>
  <si>
    <t>Female</t>
  </si>
  <si>
    <t>Male</t>
  </si>
  <si>
    <t>Other</t>
  </si>
  <si>
    <t>Unknown</t>
  </si>
  <si>
    <t>Quantity2</t>
  </si>
  <si>
    <t>6 To 10</t>
  </si>
  <si>
    <t>More than 10</t>
  </si>
  <si>
    <t>Map Chart (Qty)</t>
  </si>
  <si>
    <t>Map Chart for Amount</t>
  </si>
  <si>
    <t>Qty</t>
  </si>
  <si>
    <t>Months (Order Date)</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</si>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</sst>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CC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2" fontId="0" fillId="0" borderId="0" xfId="0" applyNumberFormat="1"/>
    <xf numFmtId="0" fontId="0" fillId="8" borderId="1" xfId="0" applyFill="1" applyBorder="1"/>
    <xf numFmtId="0" fontId="1" fillId="0" borderId="1" xfId="0" applyFont="1" applyBorder="1"/>
    <xf numFmtId="0" fontId="1" fillId="0" borderId="0" xfId="0" applyFont="1"/>
    <xf numFmtId="0" fontId="0" fillId="0" borderId="0" xfId="0" pivotButton="1"/>
    <xf numFmtId="164" fontId="0" fillId="0" borderId="0" xfId="0" applyNumberFormat="1"/>
    <xf numFmtId="10" fontId="0" fillId="0" borderId="0" xfId="0" applyNumberFormat="1"/>
    <xf numFmtId="10" fontId="1" fillId="0" borderId="0" xfId="0" applyNumberFormat="1" applyFont="1" applyAlignment="1">
      <alignment horizontal="center" vertical="center"/>
    </xf>
  </cellXfs>
  <cellStyles count="2">
    <cellStyle name="Hyperlink" xfId="1" builtinId="8"/>
    <cellStyle name="Normal" xfId="0" builtinId="0"/>
  </cellStyles>
  <dxfs count="7">
    <dxf>
      <numFmt numFmtId="0" formatCode="General"/>
    </dxf>
    <dxf>
      <numFmt numFmtId="0" formatCode="General"/>
    </dxf>
    <dxf>
      <numFmt numFmtId="0" formatCode="General"/>
    </dxf>
    <dxf>
      <numFmt numFmtId="165" formatCode="d\-mmm\-yy"/>
    </dxf>
    <dxf>
      <numFmt numFmtId="165" formatCode="d\-mmm\-yy"/>
    </dxf>
    <dxf>
      <font>
        <b/>
        <i val="0"/>
        <sz val="11"/>
        <color theme="0"/>
        <name val="Aptos Narrow"/>
        <family val="2"/>
        <scheme val="minor"/>
      </font>
      <border>
        <left style="thin">
          <color theme="0"/>
        </left>
        <right style="thin">
          <color theme="0"/>
        </right>
        <top style="thin">
          <color theme="0"/>
        </top>
        <bottom style="thin">
          <color theme="0"/>
        </bottom>
      </border>
    </dxf>
    <dxf>
      <fill>
        <patternFill>
          <bgColor rgb="FF325F2B"/>
        </patternFill>
      </fill>
      <border>
        <left style="thin">
          <color theme="0"/>
        </left>
        <right style="thin">
          <color theme="0"/>
        </right>
        <top style="thin">
          <color theme="0"/>
        </top>
        <bottom style="thin">
          <color theme="0"/>
        </bottom>
      </border>
    </dxf>
  </dxfs>
  <tableStyles count="1" defaultTableStyle="TableStyleMedium2" defaultPivotStyle="PivotStyleLight16">
    <tableStyle name="Greeb Slicer" pivot="0" table="0" count="6" xr9:uid="{57531241-DB65-4ACE-B50A-DF99E19BED01}">
      <tableStyleElement type="wholeTable" dxfId="6"/>
      <tableStyleElement type="headerRow" dxfId="5"/>
    </tableStyle>
  </tableStyles>
  <colors>
    <mruColors>
      <color rgb="FF007033"/>
      <color rgb="FFDEA900"/>
      <color rgb="FFA5C3B2"/>
      <color rgb="FF325F2B"/>
      <color rgb="FFEAB200"/>
      <color rgb="FFCCFFCC"/>
      <color rgb="FFB4DAAE"/>
      <color rgb="FF2D6921"/>
    </mruColors>
  </colors>
  <extLst>
    <ext xmlns:x14="http://schemas.microsoft.com/office/spreadsheetml/2009/9/main" uri="{46F421CA-312F-682f-3DD2-61675219B42D}">
      <x14:dxfs count="4">
        <dxf>
          <font>
            <b/>
            <i val="0"/>
            <color theme="0"/>
            <name val="Aptos Narrow"/>
            <family val="2"/>
            <scheme val="minor"/>
          </font>
          <fill>
            <patternFill>
              <bgColor theme="4" tint="0.39994506668294322"/>
            </patternFill>
          </fill>
          <border>
            <left style="thin">
              <color theme="0"/>
            </left>
            <right style="thin">
              <color theme="0"/>
            </right>
            <top style="thin">
              <color theme="0"/>
            </top>
            <bottom style="thin">
              <color theme="0"/>
            </bottom>
          </border>
        </dxf>
        <dxf>
          <font>
            <b/>
            <i val="0"/>
            <color theme="0"/>
            <name val="Aptos Narrow"/>
            <family val="2"/>
            <scheme val="minor"/>
          </font>
          <fill>
            <patternFill>
              <bgColor rgb="FFA5C3B2"/>
            </patternFill>
          </fill>
          <border>
            <left style="thin">
              <color theme="0"/>
            </left>
            <right style="thin">
              <color theme="0"/>
            </right>
            <top style="thin">
              <color theme="0"/>
            </top>
            <bottom style="thin">
              <color theme="0"/>
            </bottom>
          </border>
        </dxf>
        <dxf>
          <font>
            <b val="0"/>
            <i val="0"/>
            <strike/>
            <color theme="0"/>
            <name val="Aptos Narrow"/>
            <family val="2"/>
            <scheme val="minor"/>
          </font>
          <border diagonalDown="1">
            <left style="thin">
              <color theme="0"/>
            </left>
            <right style="thin">
              <color theme="0"/>
            </right>
            <top style="thin">
              <color theme="0"/>
            </top>
            <bottom style="thin">
              <color theme="0"/>
            </bottom>
            <diagonal style="thin">
              <color theme="0"/>
            </diagonal>
          </border>
        </dxf>
        <dxf>
          <font>
            <b val="0"/>
            <i val="0"/>
            <strike/>
            <color theme="0"/>
            <name val="Aptos Narrow"/>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eeb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[clothsales_completed.xlsx]Trends!Trends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lumMod val="50000"/>
                  </a:schemeClr>
                </a:solidFill>
                <a:latin typeface="Cambria" panose="02040503050406030204" pitchFamily="18" charset="0"/>
                <a:ea typeface="Cambria" panose="02040503050406030204" pitchFamily="18" charset="0"/>
              </a:rPr>
              <a:t>Last 13 Week Trends - Qty</a:t>
            </a:r>
            <a:r>
              <a:rPr lang="en-IN" sz="1200" b="1" baseline="0">
                <a:solidFill>
                  <a:schemeClr val="bg1">
                    <a:lumMod val="50000"/>
                  </a:schemeClr>
                </a:solidFill>
                <a:latin typeface="Cambria" panose="02040503050406030204" pitchFamily="18" charset="0"/>
                <a:ea typeface="Cambria" panose="02040503050406030204" pitchFamily="18" charset="0"/>
              </a:rPr>
              <a:t> vs Amount</a:t>
            </a:r>
            <a:endParaRPr lang="en-IN" sz="1200" b="1">
              <a:solidFill>
                <a:schemeClr val="bg1">
                  <a:lumMod val="50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Trends!$B$3</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Trends!$A$4:$A$17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Trends!$B$4:$B$17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B76-4779-B0E7-5D8A54B4D8A6}"/>
            </c:ext>
          </c:extLst>
        </c:ser>
        <c:dLbls>
          <c:showLegendKey val="0"/>
          <c:showVal val="0"/>
          <c:showCatName val="0"/>
          <c:showSerName val="0"/>
          <c:showPercent val="0"/>
          <c:showBubbleSize val="0"/>
        </c:dLbls>
        <c:marker val="1"/>
        <c:smooth val="0"/>
        <c:axId val="1850730095"/>
        <c:axId val="1760437039"/>
      </c:lineChart>
      <c:lineChart>
        <c:grouping val="standard"/>
        <c:varyColors val="0"/>
        <c:ser>
          <c:idx val="1"/>
          <c:order val="1"/>
          <c:tx>
            <c:strRef>
              <c:f>Trends!$C$3</c:f>
              <c:strCache>
                <c:ptCount val="1"/>
                <c:pt idx="0">
                  <c:v>Sum of Amount</c:v>
                </c:pt>
              </c:strCache>
            </c:strRef>
          </c:tx>
          <c:spPr>
            <a:ln w="28575" cap="rnd">
              <a:solidFill>
                <a:schemeClr val="accent2"/>
              </a:solidFill>
              <a:round/>
            </a:ln>
            <a:effectLst/>
          </c:spPr>
          <c:marker>
            <c:symbol val="none"/>
          </c:marker>
          <c:cat>
            <c:strRef>
              <c:f>Trends!$A$4:$A$17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Trends!$C$4:$C$17</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B76-4779-B0E7-5D8A54B4D8A6}"/>
            </c:ext>
          </c:extLst>
        </c:ser>
        <c:dLbls>
          <c:showLegendKey val="0"/>
          <c:showVal val="0"/>
          <c:showCatName val="0"/>
          <c:showSerName val="0"/>
          <c:showPercent val="0"/>
          <c:showBubbleSize val="0"/>
        </c:dLbls>
        <c:marker val="1"/>
        <c:smooth val="0"/>
        <c:axId val="1924004687"/>
        <c:axId val="1760431759"/>
      </c:lineChart>
      <c:catAx>
        <c:axId val="185073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37039"/>
        <c:crosses val="autoZero"/>
        <c:auto val="1"/>
        <c:lblAlgn val="ctr"/>
        <c:lblOffset val="100"/>
        <c:noMultiLvlLbl val="0"/>
      </c:catAx>
      <c:valAx>
        <c:axId val="176043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30095"/>
        <c:crosses val="autoZero"/>
        <c:crossBetween val="between"/>
      </c:valAx>
      <c:valAx>
        <c:axId val="1760431759"/>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04687"/>
        <c:crosses val="max"/>
        <c:crossBetween val="between"/>
      </c:valAx>
      <c:catAx>
        <c:axId val="1924004687"/>
        <c:scaling>
          <c:orientation val="minMax"/>
        </c:scaling>
        <c:delete val="1"/>
        <c:axPos val="b"/>
        <c:numFmt formatCode="General" sourceLinked="1"/>
        <c:majorTickMark val="out"/>
        <c:minorTickMark val="none"/>
        <c:tickLblPos val="nextTo"/>
        <c:crossAx val="17604317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[clothsales_completed.xlsx]How Many!How many bought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lumMod val="50000"/>
                  </a:schemeClr>
                </a:solidFill>
                <a:effectLst/>
                <a:latin typeface="Cambria" panose="02040503050406030204" pitchFamily="18" charset="0"/>
                <a:ea typeface="Cambria" panose="02040503050406030204" pitchFamily="18" charset="0"/>
              </a:rPr>
              <a:t>How many they buy?</a:t>
            </a:r>
            <a:endParaRPr lang="en-US" sz="1200" b="1">
              <a:solidFill>
                <a:schemeClr val="bg1">
                  <a:lumMod val="50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Many'!$B$3</c:f>
              <c:strCache>
                <c:ptCount val="1"/>
                <c:pt idx="0">
                  <c:v>Total</c:v>
                </c:pt>
              </c:strCache>
            </c:strRef>
          </c:tx>
          <c:spPr>
            <a:solidFill>
              <a:schemeClr val="accent1"/>
            </a:solidFill>
            <a:ln>
              <a:solidFill>
                <a:schemeClr val="bg1">
                  <a:lumMod val="85000"/>
                </a:schemeClr>
              </a:solidFill>
            </a:ln>
            <a:effectLst/>
          </c:spPr>
          <c:invertIfNegative val="0"/>
          <c:cat>
            <c:strRef>
              <c:f>'How Many'!$A$4:$A$11</c:f>
              <c:strCache>
                <c:ptCount val="7"/>
                <c:pt idx="0">
                  <c:v>1</c:v>
                </c:pt>
                <c:pt idx="1">
                  <c:v>2</c:v>
                </c:pt>
                <c:pt idx="2">
                  <c:v>3</c:v>
                </c:pt>
                <c:pt idx="3">
                  <c:v>4</c:v>
                </c:pt>
                <c:pt idx="4">
                  <c:v>5</c:v>
                </c:pt>
                <c:pt idx="5">
                  <c:v>6 To 10</c:v>
                </c:pt>
                <c:pt idx="6">
                  <c:v>More than 10</c:v>
                </c:pt>
              </c:strCache>
            </c:strRef>
          </c:cat>
          <c:val>
            <c:numRef>
              <c:f>'How Many'!$B$4:$B$11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C8FC-4EA9-A44F-3329F767F73E}"/>
            </c:ext>
          </c:extLst>
        </c:ser>
        <c:dLbls>
          <c:showLegendKey val="0"/>
          <c:showVal val="0"/>
          <c:showCatName val="0"/>
          <c:showSerName val="0"/>
          <c:showPercent val="0"/>
          <c:showBubbleSize val="0"/>
        </c:dLbls>
        <c:gapWidth val="0"/>
        <c:overlap val="-27"/>
        <c:axId val="1917165615"/>
        <c:axId val="1760456719"/>
      </c:barChart>
      <c:catAx>
        <c:axId val="19171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56719"/>
        <c:crosses val="autoZero"/>
        <c:auto val="1"/>
        <c:lblAlgn val="ctr"/>
        <c:lblOffset val="100"/>
        <c:noMultiLvlLbl val="0"/>
      </c:catAx>
      <c:valAx>
        <c:axId val="17604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[clothsales_completed.xlsx]Popular Products!Popular prods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lumMod val="50000"/>
                  </a:schemeClr>
                </a:solidFill>
                <a:effectLst/>
                <a:latin typeface="Cambria" panose="02040503050406030204" pitchFamily="18" charset="0"/>
                <a:ea typeface="Cambria" panose="02040503050406030204" pitchFamily="18" charset="0"/>
              </a:rPr>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 Products'!$B$3:$B$4</c:f>
              <c:strCache>
                <c:ptCount val="1"/>
                <c:pt idx="0">
                  <c:v>Female</c:v>
                </c:pt>
              </c:strCache>
            </c:strRef>
          </c:tx>
          <c:spPr>
            <a:solidFill>
              <a:schemeClr val="accent1"/>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97C2-4B1E-ADBA-1E79F738109F}"/>
            </c:ext>
          </c:extLst>
        </c:ser>
        <c:ser>
          <c:idx val="1"/>
          <c:order val="1"/>
          <c:tx>
            <c:strRef>
              <c:f>'Popular Products'!$C$3:$C$4</c:f>
              <c:strCache>
                <c:ptCount val="1"/>
                <c:pt idx="0">
                  <c:v>Male</c:v>
                </c:pt>
              </c:strCache>
            </c:strRef>
          </c:tx>
          <c:spPr>
            <a:solidFill>
              <a:schemeClr val="accent2"/>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1-97C2-4B1E-ADBA-1E79F738109F}"/>
            </c:ext>
          </c:extLst>
        </c:ser>
        <c:ser>
          <c:idx val="2"/>
          <c:order val="2"/>
          <c:tx>
            <c:strRef>
              <c:f>'Popular Products'!$D$3:$D$4</c:f>
              <c:strCache>
                <c:ptCount val="1"/>
                <c:pt idx="0">
                  <c:v>Other</c:v>
                </c:pt>
              </c:strCache>
            </c:strRef>
          </c:tx>
          <c:spPr>
            <a:solidFill>
              <a:schemeClr val="accent3"/>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2-97C2-4B1E-ADBA-1E79F738109F}"/>
            </c:ext>
          </c:extLst>
        </c:ser>
        <c:ser>
          <c:idx val="3"/>
          <c:order val="3"/>
          <c:tx>
            <c:strRef>
              <c:f>'Popular Products'!$E$3:$E$4</c:f>
              <c:strCache>
                <c:ptCount val="1"/>
                <c:pt idx="0">
                  <c:v>Unknown</c:v>
                </c:pt>
              </c:strCache>
            </c:strRef>
          </c:tx>
          <c:spPr>
            <a:solidFill>
              <a:schemeClr val="accent4"/>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3-97C2-4B1E-ADBA-1E79F738109F}"/>
            </c:ext>
          </c:extLst>
        </c:ser>
        <c:dLbls>
          <c:showLegendKey val="0"/>
          <c:showVal val="0"/>
          <c:showCatName val="0"/>
          <c:showSerName val="0"/>
          <c:showPercent val="0"/>
          <c:showBubbleSize val="0"/>
        </c:dLbls>
        <c:gapWidth val="60"/>
        <c:overlap val="100"/>
        <c:axId val="1917165615"/>
        <c:axId val="1760456719"/>
      </c:barChart>
      <c:catAx>
        <c:axId val="191716561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56719"/>
        <c:crosses val="autoZero"/>
        <c:auto val="1"/>
        <c:lblAlgn val="ctr"/>
        <c:lblOffset val="100"/>
        <c:noMultiLvlLbl val="0"/>
      </c:catAx>
      <c:valAx>
        <c:axId val="17604567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6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[clothsales_completed.xlsx]Gender Split!Gender split</c:name>
    <c:fmtId val="2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563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0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277777777777778"/>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027777777777778"/>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666666666666563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27777777777778"/>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77777777777778"/>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0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3797327058255567E-2"/>
              <c:y val="0.33160968515299222"/>
            </c:manualLayout>
          </c:layout>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547892720306516"/>
                  <c:h val="0.29809531384334531"/>
                </c:manualLayout>
              </c15:layout>
            </c:ext>
          </c:extLst>
        </c:dLbl>
      </c:pivotFmt>
      <c:pivotFmt>
        <c:idx val="12"/>
        <c:spPr>
          <a:solidFill>
            <a:schemeClr val="accent1"/>
          </a:solidFill>
          <a:ln w="19050">
            <a:solidFill>
              <a:schemeClr val="lt1"/>
            </a:solidFill>
          </a:ln>
          <a:effectLst/>
        </c:spPr>
        <c:dLbl>
          <c:idx val="0"/>
          <c:layout>
            <c:manualLayout>
              <c:x val="-0.15086206896551724"/>
              <c:y val="0.32105874374067805"/>
            </c:manualLayout>
          </c:layout>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7658008266208106"/>
              <c:y val="-9.199089101678598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088122605363986"/>
                  <c:h val="0.24026011900027647"/>
                </c:manualLayout>
              </c15:layout>
            </c:ext>
          </c:extLst>
        </c:dLbl>
      </c:pivotFmt>
      <c:pivotFmt>
        <c:idx val="14"/>
        <c:spPr>
          <a:solidFill>
            <a:schemeClr val="accent1"/>
          </a:solidFill>
          <a:ln w="19050">
            <a:solidFill>
              <a:schemeClr val="lt1"/>
            </a:solidFill>
          </a:ln>
          <a:effectLst/>
        </c:spPr>
        <c:dLbl>
          <c:idx val="0"/>
          <c:layout>
            <c:manualLayout>
              <c:x val="0.40238860228678308"/>
              <c:y val="-7.5156135786057052E-2"/>
            </c:manualLayout>
          </c:layout>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833016562584852"/>
                  <c:h val="0.30110630110630104"/>
                </c:manualLayout>
              </c15:layout>
            </c:ext>
          </c:extLst>
        </c:dLbl>
      </c:pivotFmt>
    </c:pivotFmts>
    <c:plotArea>
      <c:layout/>
      <c:doughnutChart>
        <c:varyColors val="1"/>
        <c:ser>
          <c:idx val="0"/>
          <c:order val="0"/>
          <c:tx>
            <c:strRef>
              <c:f>'Gender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B8-4617-8FE9-FBFFE2388B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B8-4617-8FE9-FBFFE2388B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B8-4617-8FE9-FBFFE2388B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B8-4617-8FE9-FBFFE2388BA9}"/>
              </c:ext>
            </c:extLst>
          </c:dPt>
          <c:dLbls>
            <c:dLbl>
              <c:idx val="0"/>
              <c:layout>
                <c:manualLayout>
                  <c:x val="9.3797327058255567E-2"/>
                  <c:y val="0.33160968515299222"/>
                </c:manualLayout>
              </c:layout>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547892720306516"/>
                      <c:h val="0.29809531384334531"/>
                    </c:manualLayout>
                  </c15:layout>
                </c:ext>
                <c:ext xmlns:c16="http://schemas.microsoft.com/office/drawing/2014/chart" uri="{C3380CC4-5D6E-409C-BE32-E72D297353CC}">
                  <c16:uniqueId val="{00000001-35B8-4617-8FE9-FBFFE2388BA9}"/>
                </c:ext>
              </c:extLst>
            </c:dLbl>
            <c:dLbl>
              <c:idx val="1"/>
              <c:layout>
                <c:manualLayout>
                  <c:x val="-0.15086206896551724"/>
                  <c:y val="0.32105874374067805"/>
                </c:manualLayout>
              </c:layout>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B8-4617-8FE9-FBFFE2388BA9}"/>
                </c:ext>
              </c:extLst>
            </c:dLbl>
            <c:dLbl>
              <c:idx val="2"/>
              <c:layout>
                <c:manualLayout>
                  <c:x val="-0.27658008266208106"/>
                  <c:y val="-9.199089101678598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088122605363986"/>
                      <c:h val="0.24026011900027647"/>
                    </c:manualLayout>
                  </c15:layout>
                </c:ext>
                <c:ext xmlns:c16="http://schemas.microsoft.com/office/drawing/2014/chart" uri="{C3380CC4-5D6E-409C-BE32-E72D297353CC}">
                  <c16:uniqueId val="{00000005-35B8-4617-8FE9-FBFFE2388BA9}"/>
                </c:ext>
              </c:extLst>
            </c:dLbl>
            <c:dLbl>
              <c:idx val="3"/>
              <c:layout>
                <c:manualLayout>
                  <c:x val="0.40238860228678308"/>
                  <c:y val="-7.5156135786057052E-2"/>
                </c:manualLayout>
              </c:layout>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833016562584852"/>
                      <c:h val="0.30110630110630104"/>
                    </c:manualLayout>
                  </c15:layout>
                </c:ext>
                <c:ext xmlns:c16="http://schemas.microsoft.com/office/drawing/2014/chart" uri="{C3380CC4-5D6E-409C-BE32-E72D297353CC}">
                  <c16:uniqueId val="{00000007-35B8-4617-8FE9-FBFFE2388BA9}"/>
                </c:ext>
              </c:extLst>
            </c:dLbl>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Split'!$A$4:$A$8</c:f>
              <c:strCache>
                <c:ptCount val="4"/>
                <c:pt idx="0">
                  <c:v>Female</c:v>
                </c:pt>
                <c:pt idx="1">
                  <c:v>Male</c:v>
                </c:pt>
                <c:pt idx="2">
                  <c:v>Other</c:v>
                </c:pt>
                <c:pt idx="3">
                  <c:v>Unknown</c:v>
                </c:pt>
              </c:strCache>
            </c:strRef>
          </c:cat>
          <c:val>
            <c:numRef>
              <c:f>'Gender Split'!$B$4:$B$8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5B8-4617-8FE9-FBFFE2388BA9}"/>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[clothsales_completed.xlsx]cust satisfaction!cust satisfa</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lumMod val="50000"/>
                  </a:schemeClr>
                </a:solidFill>
                <a:latin typeface="Cambria" panose="02040503050406030204" pitchFamily="18" charset="0"/>
                <a:ea typeface="Cambria" panose="02040503050406030204" pitchFamily="18" charset="0"/>
              </a:rPr>
              <a:t>Customer Satisfaction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'cust satisfaction'!$B$3:$B$4</c:f>
              <c:strCache>
                <c:ptCount val="1"/>
                <c:pt idx="0">
                  <c:v>1</c:v>
                </c:pt>
              </c:strCache>
            </c:strRef>
          </c:tx>
          <c:spPr>
            <a:solidFill>
              <a:schemeClr val="accent1"/>
            </a:solidFill>
            <a:ln>
              <a:noFill/>
            </a:ln>
            <a:effectLst/>
          </c:spPr>
          <c:invertIfNegative val="0"/>
          <c:cat>
            <c:strRef>
              <c:f>'cust satisfaction'!$A$5:$A$8</c:f>
              <c:strCache>
                <c:ptCount val="3"/>
                <c:pt idx="0">
                  <c:v>Jan</c:v>
                </c:pt>
                <c:pt idx="1">
                  <c:v>Feb</c:v>
                </c:pt>
                <c:pt idx="2">
                  <c:v>Mar</c:v>
                </c:pt>
              </c:strCache>
            </c:strRef>
          </c:cat>
          <c:val>
            <c:numRef>
              <c:f>'cust satisfaction'!$B$5:$B$8</c:f>
              <c:numCache>
                <c:formatCode>General</c:formatCode>
                <c:ptCount val="3"/>
                <c:pt idx="0">
                  <c:v>7</c:v>
                </c:pt>
                <c:pt idx="1">
                  <c:v>8</c:v>
                </c:pt>
                <c:pt idx="2">
                  <c:v>6</c:v>
                </c:pt>
              </c:numCache>
            </c:numRef>
          </c:val>
          <c:extLst>
            <c:ext xmlns:c16="http://schemas.microsoft.com/office/drawing/2014/chart" uri="{C3380CC4-5D6E-409C-BE32-E72D297353CC}">
              <c16:uniqueId val="{00000006-E51A-477D-B888-5C1FFF48BDE5}"/>
            </c:ext>
          </c:extLst>
        </c:ser>
        <c:ser>
          <c:idx val="1"/>
          <c:order val="1"/>
          <c:tx>
            <c:strRef>
              <c:f>'cust satisfaction'!$C$3:$C$4</c:f>
              <c:strCache>
                <c:ptCount val="1"/>
                <c:pt idx="0">
                  <c:v>2</c:v>
                </c:pt>
              </c:strCache>
            </c:strRef>
          </c:tx>
          <c:invertIfNegative val="0"/>
          <c:cat>
            <c:strRef>
              <c:f>'cust satisfaction'!$A$5:$A$8</c:f>
              <c:strCache>
                <c:ptCount val="3"/>
                <c:pt idx="0">
                  <c:v>Jan</c:v>
                </c:pt>
                <c:pt idx="1">
                  <c:v>Feb</c:v>
                </c:pt>
                <c:pt idx="2">
                  <c:v>Mar</c:v>
                </c:pt>
              </c:strCache>
            </c:strRef>
          </c:cat>
          <c:val>
            <c:numRef>
              <c:f>'cust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7-E51A-477D-B888-5C1FFF48BDE5}"/>
            </c:ext>
          </c:extLst>
        </c:ser>
        <c:ser>
          <c:idx val="2"/>
          <c:order val="2"/>
          <c:tx>
            <c:strRef>
              <c:f>'cust satisfaction'!$D$3:$D$4</c:f>
              <c:strCache>
                <c:ptCount val="1"/>
                <c:pt idx="0">
                  <c:v>3</c:v>
                </c:pt>
              </c:strCache>
            </c:strRef>
          </c:tx>
          <c:invertIfNegative val="0"/>
          <c:cat>
            <c:strRef>
              <c:f>'cust satisfaction'!$A$5:$A$8</c:f>
              <c:strCache>
                <c:ptCount val="3"/>
                <c:pt idx="0">
                  <c:v>Jan</c:v>
                </c:pt>
                <c:pt idx="1">
                  <c:v>Feb</c:v>
                </c:pt>
                <c:pt idx="2">
                  <c:v>Mar</c:v>
                </c:pt>
              </c:strCache>
            </c:strRef>
          </c:cat>
          <c:val>
            <c:numRef>
              <c:f>'cust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8-E51A-477D-B888-5C1FFF48BDE5}"/>
            </c:ext>
          </c:extLst>
        </c:ser>
        <c:ser>
          <c:idx val="3"/>
          <c:order val="3"/>
          <c:tx>
            <c:strRef>
              <c:f>'cust satisfaction'!$E$3:$E$4</c:f>
              <c:strCache>
                <c:ptCount val="1"/>
                <c:pt idx="0">
                  <c:v>4</c:v>
                </c:pt>
              </c:strCache>
            </c:strRef>
          </c:tx>
          <c:invertIfNegative val="0"/>
          <c:cat>
            <c:strRef>
              <c:f>'cust satisfaction'!$A$5:$A$8</c:f>
              <c:strCache>
                <c:ptCount val="3"/>
                <c:pt idx="0">
                  <c:v>Jan</c:v>
                </c:pt>
                <c:pt idx="1">
                  <c:v>Feb</c:v>
                </c:pt>
                <c:pt idx="2">
                  <c:v>Mar</c:v>
                </c:pt>
              </c:strCache>
            </c:strRef>
          </c:cat>
          <c:val>
            <c:numRef>
              <c:f>'cust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09-E51A-477D-B888-5C1FFF48BDE5}"/>
            </c:ext>
          </c:extLst>
        </c:ser>
        <c:ser>
          <c:idx val="4"/>
          <c:order val="4"/>
          <c:tx>
            <c:strRef>
              <c:f>'cust satisfaction'!$F$3:$F$4</c:f>
              <c:strCache>
                <c:ptCount val="1"/>
                <c:pt idx="0">
                  <c:v>5</c:v>
                </c:pt>
              </c:strCache>
            </c:strRef>
          </c:tx>
          <c:invertIfNegative val="0"/>
          <c:cat>
            <c:strRef>
              <c:f>'cust satisfaction'!$A$5:$A$8</c:f>
              <c:strCache>
                <c:ptCount val="3"/>
                <c:pt idx="0">
                  <c:v>Jan</c:v>
                </c:pt>
                <c:pt idx="1">
                  <c:v>Feb</c:v>
                </c:pt>
                <c:pt idx="2">
                  <c:v>Mar</c:v>
                </c:pt>
              </c:strCache>
            </c:strRef>
          </c:cat>
          <c:val>
            <c:numRef>
              <c:f>'cust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E-E51A-477D-B888-5C1FFF48BDE5}"/>
            </c:ext>
          </c:extLst>
        </c:ser>
        <c:dLbls>
          <c:showLegendKey val="0"/>
          <c:showVal val="0"/>
          <c:showCatName val="0"/>
          <c:showSerName val="0"/>
          <c:showPercent val="0"/>
          <c:showBubbleSize val="0"/>
        </c:dLbls>
        <c:gapWidth val="11"/>
        <c:overlap val="-27"/>
        <c:axId val="3947232"/>
        <c:axId val="1967592815"/>
      </c:barChart>
      <c:catAx>
        <c:axId val="394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592815"/>
        <c:crosses val="autoZero"/>
        <c:auto val="1"/>
        <c:lblAlgn val="ctr"/>
        <c:lblOffset val="100"/>
        <c:noMultiLvlLbl val="0"/>
      </c:catAx>
      <c:valAx>
        <c:axId val="19675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23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[clothsales_completed.xlsx]time to ship!Time to ship</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lumMod val="50000"/>
                  </a:schemeClr>
                </a:solidFill>
                <a:latin typeface="Cambria" panose="02040503050406030204" pitchFamily="18" charset="0"/>
                <a:ea typeface="Cambria" panose="02040503050406030204" pitchFamily="18" charset="0"/>
              </a:rPr>
              <a:t>How</a:t>
            </a:r>
            <a:r>
              <a:rPr lang="en-US" sz="1200" b="1" baseline="0">
                <a:solidFill>
                  <a:schemeClr val="bg1">
                    <a:lumMod val="50000"/>
                  </a:schemeClr>
                </a:solidFill>
                <a:latin typeface="Cambria" panose="02040503050406030204" pitchFamily="18" charset="0"/>
                <a:ea typeface="Cambria" panose="02040503050406030204" pitchFamily="18" charset="0"/>
              </a:rPr>
              <a:t> long we take to ship ?</a:t>
            </a:r>
            <a:endParaRPr lang="en-US" sz="1200" b="1">
              <a:solidFill>
                <a:schemeClr val="bg1">
                  <a:lumMod val="50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to ship'!$B$3</c:f>
              <c:strCache>
                <c:ptCount val="1"/>
                <c:pt idx="0">
                  <c:v>Total</c:v>
                </c:pt>
              </c:strCache>
            </c:strRef>
          </c:tx>
          <c:spPr>
            <a:solidFill>
              <a:schemeClr val="accent1"/>
            </a:solidFill>
            <a:ln>
              <a:noFill/>
            </a:ln>
            <a:effectLst/>
          </c:spPr>
          <c:invertIfNegative val="0"/>
          <c:cat>
            <c:strRef>
              <c:f>'time to ship'!$A$4:$A$19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'time to ship'!$B$4:$B$19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D1A-4705-8C78-DD13EED37FE1}"/>
            </c:ext>
          </c:extLst>
        </c:ser>
        <c:dLbls>
          <c:showLegendKey val="0"/>
          <c:showVal val="0"/>
          <c:showCatName val="0"/>
          <c:showSerName val="0"/>
          <c:showPercent val="0"/>
          <c:showBubbleSize val="0"/>
        </c:dLbls>
        <c:gapWidth val="11"/>
        <c:overlap val="-27"/>
        <c:axId val="3947232"/>
        <c:axId val="1967592815"/>
      </c:barChart>
      <c:catAx>
        <c:axId val="394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592815"/>
        <c:crosses val="autoZero"/>
        <c:auto val="1"/>
        <c:lblAlgn val="ctr"/>
        <c:lblOffset val="100"/>
        <c:noMultiLvlLbl val="0"/>
      </c:catAx>
      <c:valAx>
        <c:axId val="19675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[clothsales_completed.xlsx]Trends!Trends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Cambria" panose="02040503050406030204" pitchFamily="18" charset="0"/>
                <a:ea typeface="Cambria" panose="02040503050406030204" pitchFamily="18" charset="0"/>
              </a:rPr>
              <a:t>Last 13 Week Trends - Qty</a:t>
            </a:r>
            <a:r>
              <a:rPr lang="en-IN" sz="1200" b="1" baseline="0">
                <a:latin typeface="Cambria" panose="02040503050406030204" pitchFamily="18" charset="0"/>
                <a:ea typeface="Cambria" panose="02040503050406030204" pitchFamily="18" charset="0"/>
              </a:rPr>
              <a:t> vs Amount</a:t>
            </a:r>
            <a:endParaRPr lang="en-IN" sz="1200"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Trends!$B$3</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Trends!$A$4:$A$17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Trends!$B$4:$B$17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B111-4123-9686-91B7BDE02739}"/>
            </c:ext>
          </c:extLst>
        </c:ser>
        <c:dLbls>
          <c:showLegendKey val="0"/>
          <c:showVal val="0"/>
          <c:showCatName val="0"/>
          <c:showSerName val="0"/>
          <c:showPercent val="0"/>
          <c:showBubbleSize val="0"/>
        </c:dLbls>
        <c:marker val="1"/>
        <c:smooth val="0"/>
        <c:axId val="1850730095"/>
        <c:axId val="1760437039"/>
      </c:lineChart>
      <c:lineChart>
        <c:grouping val="standard"/>
        <c:varyColors val="0"/>
        <c:ser>
          <c:idx val="1"/>
          <c:order val="1"/>
          <c:tx>
            <c:strRef>
              <c:f>Trends!$C$3</c:f>
              <c:strCache>
                <c:ptCount val="1"/>
                <c:pt idx="0">
                  <c:v>Sum of Amount</c:v>
                </c:pt>
              </c:strCache>
            </c:strRef>
          </c:tx>
          <c:spPr>
            <a:ln w="28575" cap="rnd">
              <a:solidFill>
                <a:schemeClr val="accent2"/>
              </a:solidFill>
              <a:round/>
            </a:ln>
            <a:effectLst/>
          </c:spPr>
          <c:marker>
            <c:symbol val="none"/>
          </c:marker>
          <c:cat>
            <c:strRef>
              <c:f>Trends!$A$4:$A$17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Trends!$C$4:$C$17</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B111-4123-9686-91B7BDE02739}"/>
            </c:ext>
          </c:extLst>
        </c:ser>
        <c:dLbls>
          <c:showLegendKey val="0"/>
          <c:showVal val="0"/>
          <c:showCatName val="0"/>
          <c:showSerName val="0"/>
          <c:showPercent val="0"/>
          <c:showBubbleSize val="0"/>
        </c:dLbls>
        <c:marker val="1"/>
        <c:smooth val="0"/>
        <c:axId val="1924004687"/>
        <c:axId val="1760431759"/>
      </c:lineChart>
      <c:catAx>
        <c:axId val="185073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37039"/>
        <c:crosses val="autoZero"/>
        <c:auto val="1"/>
        <c:lblAlgn val="ctr"/>
        <c:lblOffset val="100"/>
        <c:noMultiLvlLbl val="0"/>
      </c:catAx>
      <c:valAx>
        <c:axId val="176043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30095"/>
        <c:crosses val="autoZero"/>
        <c:crossBetween val="between"/>
      </c:valAx>
      <c:valAx>
        <c:axId val="1760431759"/>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04687"/>
        <c:crosses val="max"/>
        <c:crossBetween val="between"/>
      </c:valAx>
      <c:catAx>
        <c:axId val="1924004687"/>
        <c:scaling>
          <c:orientation val="minMax"/>
        </c:scaling>
        <c:delete val="1"/>
        <c:axPos val="b"/>
        <c:numFmt formatCode="General" sourceLinked="1"/>
        <c:majorTickMark val="out"/>
        <c:minorTickMark val="none"/>
        <c:tickLblPos val="nextTo"/>
        <c:crossAx val="17604317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[clothsales_completed.xlsx]How Many!How many bought</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Many'!$B$3</c:f>
              <c:strCache>
                <c:ptCount val="1"/>
                <c:pt idx="0">
                  <c:v>Total</c:v>
                </c:pt>
              </c:strCache>
            </c:strRef>
          </c:tx>
          <c:spPr>
            <a:solidFill>
              <a:schemeClr val="accent1"/>
            </a:solidFill>
            <a:ln>
              <a:noFill/>
            </a:ln>
            <a:effectLst/>
          </c:spPr>
          <c:invertIfNegative val="0"/>
          <c:cat>
            <c:strRef>
              <c:f>'How Many'!$A$4:$A$11</c:f>
              <c:strCache>
                <c:ptCount val="7"/>
                <c:pt idx="0">
                  <c:v>1</c:v>
                </c:pt>
                <c:pt idx="1">
                  <c:v>2</c:v>
                </c:pt>
                <c:pt idx="2">
                  <c:v>3</c:v>
                </c:pt>
                <c:pt idx="3">
                  <c:v>4</c:v>
                </c:pt>
                <c:pt idx="4">
                  <c:v>5</c:v>
                </c:pt>
                <c:pt idx="5">
                  <c:v>6 To 10</c:v>
                </c:pt>
                <c:pt idx="6">
                  <c:v>More than 10</c:v>
                </c:pt>
              </c:strCache>
            </c:strRef>
          </c:cat>
          <c:val>
            <c:numRef>
              <c:f>'How Many'!$B$4:$B$11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326-457C-B2DB-63603E98AC47}"/>
            </c:ext>
          </c:extLst>
        </c:ser>
        <c:dLbls>
          <c:showLegendKey val="0"/>
          <c:showVal val="0"/>
          <c:showCatName val="0"/>
          <c:showSerName val="0"/>
          <c:showPercent val="0"/>
          <c:showBubbleSize val="0"/>
        </c:dLbls>
        <c:gapWidth val="219"/>
        <c:overlap val="-27"/>
        <c:axId val="1917165615"/>
        <c:axId val="1760456719"/>
      </c:barChart>
      <c:catAx>
        <c:axId val="19171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56719"/>
        <c:crosses val="autoZero"/>
        <c:auto val="1"/>
        <c:lblAlgn val="ctr"/>
        <c:lblOffset val="100"/>
        <c:noMultiLvlLbl val="0"/>
      </c:catAx>
      <c:valAx>
        <c:axId val="17604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[clothsales_completed.xlsx]Popular Products!Popular prods</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 Products'!$B$3:$B$4</c:f>
              <c:strCache>
                <c:ptCount val="1"/>
                <c:pt idx="0">
                  <c:v>Female</c:v>
                </c:pt>
              </c:strCache>
            </c:strRef>
          </c:tx>
          <c:spPr>
            <a:solidFill>
              <a:schemeClr val="accent1"/>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1-4824-4567-A145-829EA83AC3A4}"/>
            </c:ext>
          </c:extLst>
        </c:ser>
        <c:ser>
          <c:idx val="1"/>
          <c:order val="1"/>
          <c:tx>
            <c:strRef>
              <c:f>'Popular Products'!$C$3:$C$4</c:f>
              <c:strCache>
                <c:ptCount val="1"/>
                <c:pt idx="0">
                  <c:v>Male</c:v>
                </c:pt>
              </c:strCache>
            </c:strRef>
          </c:tx>
          <c:spPr>
            <a:solidFill>
              <a:schemeClr val="accent2"/>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3-4824-4567-A145-829EA83AC3A4}"/>
            </c:ext>
          </c:extLst>
        </c:ser>
        <c:ser>
          <c:idx val="2"/>
          <c:order val="2"/>
          <c:tx>
            <c:strRef>
              <c:f>'Popular Products'!$D$3:$D$4</c:f>
              <c:strCache>
                <c:ptCount val="1"/>
                <c:pt idx="0">
                  <c:v>Other</c:v>
                </c:pt>
              </c:strCache>
            </c:strRef>
          </c:tx>
          <c:spPr>
            <a:solidFill>
              <a:schemeClr val="accent3"/>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4-4824-4567-A145-829EA83AC3A4}"/>
            </c:ext>
          </c:extLst>
        </c:ser>
        <c:ser>
          <c:idx val="3"/>
          <c:order val="3"/>
          <c:tx>
            <c:strRef>
              <c:f>'Popular Products'!$E$3:$E$4</c:f>
              <c:strCache>
                <c:ptCount val="1"/>
                <c:pt idx="0">
                  <c:v>Unknown</c:v>
                </c:pt>
              </c:strCache>
            </c:strRef>
          </c:tx>
          <c:spPr>
            <a:solidFill>
              <a:schemeClr val="accent4"/>
            </a:solidFill>
            <a:ln>
              <a:noFill/>
            </a:ln>
            <a:effectLst/>
          </c:spPr>
          <c:invertIfNegative val="0"/>
          <c:cat>
            <c:strRef>
              <c:f>'Popular Products'!$A$5:$A$25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5-4824-4567-A145-829EA83AC3A4}"/>
            </c:ext>
          </c:extLst>
        </c:ser>
        <c:dLbls>
          <c:showLegendKey val="0"/>
          <c:showVal val="0"/>
          <c:showCatName val="0"/>
          <c:showSerName val="0"/>
          <c:showPercent val="0"/>
          <c:showBubbleSize val="0"/>
        </c:dLbls>
        <c:gapWidth val="60"/>
        <c:overlap val="100"/>
        <c:axId val="1917165615"/>
        <c:axId val="1760456719"/>
      </c:barChart>
      <c:catAx>
        <c:axId val="191716561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56719"/>
        <c:crosses val="autoZero"/>
        <c:auto val="1"/>
        <c:lblAlgn val="ctr"/>
        <c:lblOffset val="100"/>
        <c:noMultiLvlLbl val="0"/>
      </c:catAx>
      <c:valAx>
        <c:axId val="17604567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6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[clothsales_completed.xlsx]Gender Split!Gender split</c:name>
    <c:fmtId val="2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563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0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77777777777778"/>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27777777777778"/>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'Gender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2A-4F5E-882E-E23880B02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5F2A-4F5E-882E-E23880B025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F2A-4F5E-882E-E23880B025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5F2A-4F5E-882E-E23880B02520}"/>
              </c:ext>
            </c:extLst>
          </c:dPt>
          <c:dLbls>
            <c:dLbl>
              <c:idx val="0"/>
              <c:layout>
                <c:manualLayout>
                  <c:x val="9.1666666666666563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2A-4F5E-882E-E23880B02520}"/>
                </c:ext>
              </c:extLst>
            </c:dLbl>
            <c:dLbl>
              <c:idx val="1"/>
              <c:layout>
                <c:manualLayout>
                  <c:x val="-0.1027777777777778"/>
                  <c:y val="-3.7037037037037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2A-4F5E-882E-E23880B02520}"/>
                </c:ext>
              </c:extLst>
            </c:dLbl>
            <c:dLbl>
              <c:idx val="2"/>
              <c:layout>
                <c:manualLayout>
                  <c:x val="-0.1277777777777778"/>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2A-4F5E-882E-E23880B02520}"/>
                </c:ext>
              </c:extLst>
            </c:dLbl>
            <c:dLbl>
              <c:idx val="3"/>
              <c:layout>
                <c:manualLayout>
                  <c:x val="-0.05"/>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2A-4F5E-882E-E23880B025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Split'!$A$4:$A$8</c:f>
              <c:strCache>
                <c:ptCount val="4"/>
                <c:pt idx="0">
                  <c:v>Female</c:v>
                </c:pt>
                <c:pt idx="1">
                  <c:v>Male</c:v>
                </c:pt>
                <c:pt idx="2">
                  <c:v>Other</c:v>
                </c:pt>
                <c:pt idx="3">
                  <c:v>Unknown</c:v>
                </c:pt>
              </c:strCache>
            </c:strRef>
          </c:cat>
          <c:val>
            <c:numRef>
              <c:f>'Gender Split'!$B$4:$B$8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5F2A-4F5E-882E-E23880B02520}"/>
            </c:ext>
          </c:extLst>
        </c:ser>
        <c:dLbls>
          <c:showLegendKey val="0"/>
          <c:showVal val="1"/>
          <c:showCatName val="0"/>
          <c:showSerName val="0"/>
          <c:showPercent val="0"/>
          <c:showBubbleSize val="0"/>
          <c:showLeaderLines val="0"/>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[clothsales_completed.xlsx]time to ship!Time to ship</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to ship'!$B$3</c:f>
              <c:strCache>
                <c:ptCount val="1"/>
                <c:pt idx="0">
                  <c:v>Total</c:v>
                </c:pt>
              </c:strCache>
            </c:strRef>
          </c:tx>
          <c:spPr>
            <a:solidFill>
              <a:schemeClr val="accent1"/>
            </a:solidFill>
            <a:ln>
              <a:noFill/>
            </a:ln>
            <a:effectLst/>
          </c:spPr>
          <c:invertIfNegative val="0"/>
          <c:cat>
            <c:strRef>
              <c:f>'time to ship'!$A$4:$A$19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'time to ship'!$B$4:$B$19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F96-4F0B-BC45-97746832EA8D}"/>
            </c:ext>
          </c:extLst>
        </c:ser>
        <c:dLbls>
          <c:showLegendKey val="0"/>
          <c:showVal val="0"/>
          <c:showCatName val="0"/>
          <c:showSerName val="0"/>
          <c:showPercent val="0"/>
          <c:showBubbleSize val="0"/>
        </c:dLbls>
        <c:gapWidth val="11"/>
        <c:overlap val="-27"/>
        <c:axId val="3947232"/>
        <c:axId val="1967592815"/>
      </c:barChart>
      <c:catAx>
        <c:axId val="394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592815"/>
        <c:crosses val="autoZero"/>
        <c:auto val="1"/>
        <c:lblAlgn val="ctr"/>
        <c:lblOffset val="100"/>
        <c:noMultiLvlLbl val="0"/>
      </c:catAx>
      <c:valAx>
        <c:axId val="19675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[clothsales_completed.xlsx]cust satisfaction!cust satisfa</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 satisfaction'!$B$3:$B$4</c:f>
              <c:strCache>
                <c:ptCount val="1"/>
                <c:pt idx="0">
                  <c:v>1</c:v>
                </c:pt>
              </c:strCache>
            </c:strRef>
          </c:tx>
          <c:spPr>
            <a:solidFill>
              <a:schemeClr val="accent1"/>
            </a:solidFill>
            <a:ln>
              <a:noFill/>
            </a:ln>
            <a:effectLst/>
          </c:spPr>
          <c:invertIfNegative val="0"/>
          <c:cat>
            <c:strRef>
              <c:f>'cust satisfaction'!$A$5:$A$8</c:f>
              <c:strCache>
                <c:ptCount val="3"/>
                <c:pt idx="0">
                  <c:v>Jan</c:v>
                </c:pt>
                <c:pt idx="1">
                  <c:v>Feb</c:v>
                </c:pt>
                <c:pt idx="2">
                  <c:v>Mar</c:v>
                </c:pt>
              </c:strCache>
            </c:strRef>
          </c:cat>
          <c:val>
            <c:numRef>
              <c:f>'cust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5800-408F-8E98-B9E75E03875B}"/>
            </c:ext>
          </c:extLst>
        </c:ser>
        <c:ser>
          <c:idx val="1"/>
          <c:order val="1"/>
          <c:tx>
            <c:strRef>
              <c:f>'cust satisfaction'!$C$3:$C$4</c:f>
              <c:strCache>
                <c:ptCount val="1"/>
                <c:pt idx="0">
                  <c:v>2</c:v>
                </c:pt>
              </c:strCache>
            </c:strRef>
          </c:tx>
          <c:spPr>
            <a:solidFill>
              <a:schemeClr val="accent2"/>
            </a:solidFill>
            <a:ln>
              <a:noFill/>
            </a:ln>
            <a:effectLst/>
          </c:spPr>
          <c:invertIfNegative val="0"/>
          <c:cat>
            <c:strRef>
              <c:f>'cust satisfaction'!$A$5:$A$8</c:f>
              <c:strCache>
                <c:ptCount val="3"/>
                <c:pt idx="0">
                  <c:v>Jan</c:v>
                </c:pt>
                <c:pt idx="1">
                  <c:v>Feb</c:v>
                </c:pt>
                <c:pt idx="2">
                  <c:v>Mar</c:v>
                </c:pt>
              </c:strCache>
            </c:strRef>
          </c:cat>
          <c:val>
            <c:numRef>
              <c:f>'cust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59-5800-408F-8E98-B9E75E03875B}"/>
            </c:ext>
          </c:extLst>
        </c:ser>
        <c:ser>
          <c:idx val="2"/>
          <c:order val="2"/>
          <c:tx>
            <c:strRef>
              <c:f>'cust satisfaction'!$D$3:$D$4</c:f>
              <c:strCache>
                <c:ptCount val="1"/>
                <c:pt idx="0">
                  <c:v>3</c:v>
                </c:pt>
              </c:strCache>
            </c:strRef>
          </c:tx>
          <c:spPr>
            <a:solidFill>
              <a:schemeClr val="accent3"/>
            </a:solidFill>
            <a:ln>
              <a:noFill/>
            </a:ln>
            <a:effectLst/>
          </c:spPr>
          <c:invertIfNegative val="0"/>
          <c:cat>
            <c:strRef>
              <c:f>'cust satisfaction'!$A$5:$A$8</c:f>
              <c:strCache>
                <c:ptCount val="3"/>
                <c:pt idx="0">
                  <c:v>Jan</c:v>
                </c:pt>
                <c:pt idx="1">
                  <c:v>Feb</c:v>
                </c:pt>
                <c:pt idx="2">
                  <c:v>Mar</c:v>
                </c:pt>
              </c:strCache>
            </c:strRef>
          </c:cat>
          <c:val>
            <c:numRef>
              <c:f>'cust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5A-5800-408F-8E98-B9E75E03875B}"/>
            </c:ext>
          </c:extLst>
        </c:ser>
        <c:ser>
          <c:idx val="3"/>
          <c:order val="3"/>
          <c:tx>
            <c:strRef>
              <c:f>'cust satisfaction'!$E$3:$E$4</c:f>
              <c:strCache>
                <c:ptCount val="1"/>
                <c:pt idx="0">
                  <c:v>4</c:v>
                </c:pt>
              </c:strCache>
            </c:strRef>
          </c:tx>
          <c:spPr>
            <a:solidFill>
              <a:schemeClr val="accent4"/>
            </a:solidFill>
            <a:ln>
              <a:noFill/>
            </a:ln>
            <a:effectLst/>
          </c:spPr>
          <c:invertIfNegative val="0"/>
          <c:cat>
            <c:strRef>
              <c:f>'cust satisfaction'!$A$5:$A$8</c:f>
              <c:strCache>
                <c:ptCount val="3"/>
                <c:pt idx="0">
                  <c:v>Jan</c:v>
                </c:pt>
                <c:pt idx="1">
                  <c:v>Feb</c:v>
                </c:pt>
                <c:pt idx="2">
                  <c:v>Mar</c:v>
                </c:pt>
              </c:strCache>
            </c:strRef>
          </c:cat>
          <c:val>
            <c:numRef>
              <c:f>'cust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5B-5800-408F-8E98-B9E75E03875B}"/>
            </c:ext>
          </c:extLst>
        </c:ser>
        <c:ser>
          <c:idx val="4"/>
          <c:order val="4"/>
          <c:tx>
            <c:strRef>
              <c:f>'cust satisfaction'!$F$3:$F$4</c:f>
              <c:strCache>
                <c:ptCount val="1"/>
                <c:pt idx="0">
                  <c:v>5</c:v>
                </c:pt>
              </c:strCache>
            </c:strRef>
          </c:tx>
          <c:spPr>
            <a:solidFill>
              <a:schemeClr val="accent5"/>
            </a:solidFill>
            <a:ln>
              <a:noFill/>
            </a:ln>
            <a:effectLst/>
          </c:spPr>
          <c:invertIfNegative val="0"/>
          <c:cat>
            <c:strRef>
              <c:f>'cust satisfaction'!$A$5:$A$8</c:f>
              <c:strCache>
                <c:ptCount val="3"/>
                <c:pt idx="0">
                  <c:v>Jan</c:v>
                </c:pt>
                <c:pt idx="1">
                  <c:v>Feb</c:v>
                </c:pt>
                <c:pt idx="2">
                  <c:v>Mar</c:v>
                </c:pt>
              </c:strCache>
            </c:strRef>
          </c:cat>
          <c:val>
            <c:numRef>
              <c:f>'cust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5F-5800-408F-8E98-B9E75E03875B}"/>
            </c:ext>
          </c:extLst>
        </c:ser>
        <c:dLbls>
          <c:showLegendKey val="0"/>
          <c:showVal val="0"/>
          <c:showCatName val="0"/>
          <c:showSerName val="0"/>
          <c:showPercent val="0"/>
          <c:showBubbleSize val="0"/>
        </c:dLbls>
        <c:gapWidth val="11"/>
        <c:overlap val="-27"/>
        <c:axId val="3947232"/>
        <c:axId val="1967592815"/>
      </c:barChart>
      <c:catAx>
        <c:axId val="394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592815"/>
        <c:crosses val="autoZero"/>
        <c:auto val="1"/>
        <c:lblAlgn val="ctr"/>
        <c:lblOffset val="100"/>
        <c:noMultiLvlLbl val="0"/>
      </c:catAx>
      <c:valAx>
        <c:axId val="19675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accent1">
                <a:lumMod val="20000"/>
                <a:lumOff val="80000"/>
              </a:schemeClr>
            </a:solidFill>
          </cx:spPr>
        </cx:plotSurface>
        <cx:series layoutId="regionMap" uniqueId="{00000000-23A4-4707-8751-1377DCEC9AC0}">
          <cx:tx>
            <cx:txData>
              <cx:f>_xlchart.v5.2</cx:f>
              <cx:v>Amount</cx:v>
            </cx:txData>
          </cx:tx>
          <cx:spPr>
            <a:ln w="3175">
              <a:solidFill>
                <a:schemeClr val="accent1">
                  <a:shade val="15000"/>
                </a:schemeClr>
              </a:solidFill>
            </a:ln>
          </cx:spPr>
          <cx:dataId val="0"/>
          <cx:layoutPr>
            <cx:geography cultureLanguage="en-US" cultureRegion="IN" attribution="Powered by Bing">
              <cx:geoCache provider="{E9337A44-BEBE-4D9F-B70C-5C5E7DAFC167}">
                <cx:binary>7H1pb9vI0u5fCfL50sNe2X1w5gWmqdW74+xfCMVWuLO5b7/+lrxkLErOoYERLl7dowQzSahqF/mw
a++qf9+1/7qL1qv8XRtHSfGvu/bP915Zpv/644/izlvHq+Ik9u9yXeif5cmdjv/QP3/6d+s/7vNV
4yfuH9hE9I87b5WX6/b9//wbVnPX+lzfrUpfJzfVOu8+rIsqKovfXNt76d3qPvaTiV+UuX9Xoj/f
26vI/6nzxF+9376G/3yvqrJcv7N1lZTd+3frpPTL7mOXrv98v7UKfv/uj+EP22HsXQS8l9U9EBN5
whAm1GRUPnzE+3eRTtynywbC6IQxyhH84fnHXq5ioBzN0AM7q/v7fF0UcFsP/x+Sb90DPIi//tMD
uNs8iM2TdwGEP99/Svxyff/utlyV6+L9O7/QD08q72y9uctPtw+P5Y9t7P7n34N/gAc1+JcX8A6f
6n+6tI3gf0D3QiflOl93BwCYn3CLWxYxLfPhQ3YB5oxTTji8O4/v1SPAb+FpP8Y7K4yAeYfmyJD+
K4Ldc786ANDWiTCpwIKTx51sDYHGJ9jC1Bri/AaO9sM8XGAEykOSIwP5Y6WjKk4OIa+tEymwpJTK
x+0MUnlbXpsnRGCEBIaN/nI7v4Wn/TjvrDAC6B2aI0P6ryj1D4KzOOGSMI5e08tInljwYcyi2ziP
52g/ygP6ERgPKI4M4dtV8k6t82SV3/uJPoDcpifIFAQJQvYraGSdwIY3pSW3gX47Y/sBf2WdEcC/
QnlkL8Bf8epe5wcAXpwQ0MYmFrCDhzLcsjCWxHwU8gPLezxD+wEf0I8AekBxZABvXuPzyi/eXf3w
i/QQW5ydYIE5klS8qrQ5N01wsvbs8Teyth/z1+5xBPivkR7ZWwDO96pe56viIDsdSY4Rtp58MPC0
hhueC1OCH863ZfybmNqP/O4SIzDfJTo2tMFALw7hhckTvAESDLfHrb4DNT4xQd1zSdkA6tEcvYLz
Nv0YkLcpjgzhWx2tDmKviRPMEBWbkMrDZ8cDA4SpFMwcbubxHO1HeEA/AuEBxZEhbEPQLN/s4aI8
xE4WJyYSUhJivRIZxSeIUMEsBDHTl572W/naj/beVUZgvpfuyJCfrKN3lxoC8v+8rqboxGIUzO8N
9pvPThiNgoSnBMJog3jpm5jaj/nuEiMA3yU6MrSn0buJzsEJ++fRJuLEwpIz/BQzlWB/Dy0z2P4g
7hnY5/AZuGJvYm0/5rtLjMB8l+jIMJ9Btugg2pufWARxxhB63N5DwDdxNcHgFxrYZ+M52o/zgH4E
yAOKI0N4Hq2T5AA7GhKa2GRIYnCltrcy6GspkEXYQHCP5mQ/sNvkI3DdJjgyWBdV/ENH9+U/jyw1
YWdyROkushBC5YiYkPx63NTb9thbWNoP8c4KI1DeoTkyoJdxus79VfTPA03wiSWxYJSgB51rDlPW
iJ0wEOEMQfR0j1J+C2f78d5ZYQTeOzRHhvft6i6H1HVSHsYMYxbkuyA++riBd4xudELl5hdUquxB
/G287cd8zxojUN9DdWS4L5PuEIhzqFbAoKmtp7qjHTtMgLaWnAsx8K7H8rMf5S3qEfhuff/IkL31
1/lD/KT652vKuAlVCOJxs+7Ib2yewEVTcAiS7dvNo/naj/HgvkagPKA4MpzPIHt9AC3NToj1UDj4
qIQ3rvGWvQ2e1CaAhggGaf4yPjaWn/3oblGPwHbr+8eGLNSnHiJfxU8ANKgVo+xVJ5nDNagJHUI7
lqFXsN0iHwPuFsGRoXsNNWQHSUfKE0m4BUGvpxjIjrVlnkCqWjIoQNreueM52o/vgH4EwAOKI0P4
fBUeIIQNNd0QoEaWCQUkD589OUiJGOLCGqSbx/KzH90t6hHYbn3/yJD9pqNDWM1QFWiBxQzl+gNl
C2X6cMFCEAfZ3rJjGdkP6Rb1CEi3vn9kkJ6vimJ9AEMK4loUyjyFxI+7dZ+5zOEyFXygbcdztB/d
Af0IfAcUx4awLt79lbjraH0Io4qemAxjIp6NquFJGwSFBZRASSBI7s1nsJHP38bcK4jvWWQM7HvI
jgz762h1tz5MlaeA0l3IID4V7A+DmSC5IQgCoU78y9Z+6SyN52s/4gP6EWAPKI4M54vVPRT5HcAd
5idQ4ge5Jeup8GvoDkPQw+QQ4aRoUOM5nqP9CA/oRyA8oDgyhL9VPw6BrzxBoKYhsfhaDScclASD
WsBJuoEFNpKf/ehu3c0IbLe+f2TIXqxy/wAGGIEzVRZlsHGfqkCGmhnjEwYHNLglB7Ho0Qztx3ab
fAS42wRHiG6qD1KUa52A3AXJLJ5M7KFshlCl5NQSGHzmh8/2Dt489rGcvY701gojwd6iOTK8L1fp
IeQ0WNESQpcQm3x0p3bsLTgGC86UCS/DNspj+dmP8Bb1CHS3vn9kyF6sk3t9d5jTchs1DFvUsp7g
HW5lTKA80+KEbAo3XxrSb2JqP8a7S4wAepfo6NDO76D3gv2Pt6awTojJJYc04aNQ3lHLEDgRYI8h
a29RwMV6LF+vob1FPwrqLYpjw1nDpv7nYYaCazjLDskGxB9h3qnbM08YxXAOGg0M64uxDL2C7xb5
GHi3CI4O3YOU224OyzAo23vawjvV9GB5YSwgQmIOvWI9jp/XsH1BPQraF98/MmQv1/XqIA1HADqO
LUHMp4jHjqUFkS048wo7d5BmGs/RfnQH9CPwHVAcGcJX+Qqi1v+8aCYECjEhcin4K82hoDWBYHBK
nQ+D1eM52o/wgH4EwgOKI0P4gw9Hkwv//jAgS2EyQp7KeHbreMAOg4PLUOsxENFvYmo/zrtLjIB6
l+jI0H7sqwEtzQ6RQobCSwYHWCFU/WhuDQsvIR9BTWxCof1Aar+Nq/1471ljBOB7qI4Q8Ym/dg8B
OFTTIwhuQkX9oGYApDfiREDnmadXYdth3jz10Ty9Dvf2EiPR3iY6QrBnoLLv/OJOPz/zf6KXowUH
ZEzTgpLpV7Y2PqHQzZIJMpDkG6h/cTTGjngd7t1lRkK+S3iEsJ/qVVYdKocBm5xiAPjhs8cYxxIq
OqXcX3MNb8AbmHsd/+EiI9Efkh0h9hfQm/QQ8v0huWFZUKz5uOt3qjkh4I0FRE3poKJks+tHM/U6
4ttLjMR7m+j40IaOFGqV/1gdpNSAbsT4Jh35+hlmLgWhCNrMPHyelcxjY1fA/W3svYr9nmXG4b+H
8CjfATs6zBsALhkUikF972uhcXQCVgCC2MuggvsR+9Fs/Q757UVG475Ndpyo51U/xop6Y6tuqDCy
KKLmc6B8aM9DmQI0EwQLcBhvewJ9JFe/xfzlGuMhf0l1bIh7q4O0H4KqYGjtCu4Zea3eCEOjX+gc
Co0FB+J9NEevIL1NPwblbYpjQ9gvQr/T1T+/oze9hgi4Y/i5ZfdOLAafcGgCzKBwcIDxG3h6BeXh
CmNwHtIcG9KQc4oPU5NCieRQlvK0l3ecs4cYDadQpTTAeTRHr6C8TT8G422KY0O4XCV+Ea2qQxT4
WyecmtBehr927AryYeamxN8alBHC2Io3cPUK0rtrjEF7l+p/AeK/Z3HrtjdzN/563lN7YmxvHZcC
vbhhGgoHz+sxzDIsP4J8Nkewz6FWeJ/rBX1Vf014eSxO2sfTfoRf0m7d4+Mt/v6h/K+biHK7mXdz
iPMYUEBGMIZmvE8A7VjR6IRvGnzuZK3Hc7QfvwH9Hgi3/glm/gwojgzhj2tvdQhtC5YzNAbicNjq
lfAI+EnQaRnyW+gxVjoIi43naz/OA/otUPePNhpQHBvOULQPw6oOYD5DQzDoUwBh76cw157I56bQ
F8JgQ4jHs/QKxoMFxoA8IDk2lCsIdR2iPAF6URBzs1Nf17hYboJdbOAjfRzN0SsYb9OPgXib4sgQ
/gwGS3WgePamGxAxX+u0vCkSlHBCkpsDw/kNLO3HeLjACJCHJP8vUH59St2vWX+TVbmaPkwJfDGo
7vdXHx4RzDYckD5V0e8xVH8doFje//ke6vEJMxnEm38NINwstFWDv2kP8GyMb9OsIYr25/vHcYOw
1TenJKF3EN3s6Wb9dGmTvYbWnuZmaIoFf3z/LoEe0B4MMRQnEsxyYTGoZUAwyhAUQaGrp0sEOkNy
QYSEE/ZQivprhOO1jjpXJ7+eydPf3yVVfK39pCz+fA/D1N6/Sx+/t+EX7g8y7BxcOGhWZ2EBbQrh
+t3qw6YNDTyC/1PmTZBEOGiv0tIxVCrKieXkH0sce3aAu3LSo0R/9GsUXeEyjm+LyskXhomqRdU7
yEZVq1ypnVJllFwSqGufllHc2p0VrEnPa7uEwpwzL6t/yKpJP+pOF9Mwi9pr6bqpHceJZcvK0R9p
UV/kZmWpMpGT2vf0VexmmWqaxP2AXCuZV9D8ZerWDpoUCH2KexQtoohU80CSecqqJenERzer8llL
AzzhdepfRX4b25TL74bJm4VsxOekx/6njDb6wsNdMit7WdlGmLQ2gkdw5SPhzFqzlItMa3blNpir
MpbxokktOYlcIhdp0pfKda2vukgbRdMgUvDwz6usm4fS+NZAk15V6sqWmgU289JTs6LT0HLNKXbr
0zA3zmotPsPTvNDaSZVZ6lJpXsUqCb3vrKarlstW6UZ/cbPwS86SaJp6bqMc178taREpEhlckQRZ
NnfdRdjX2cLg8Zq4XqTahJ/yHPuq7JNKSRYEs9Jg7sxzGlMlrP8GQAe25OmtNpxLGnU/RO8viBOl
cCfk3umKa6NI6vNQiFzlZW9Os0Zckl5Gqnf6S6YB0jJtJ1nXXIcx+YFJ/qVvwjvDSXOlPe80jNor
3jieslJUKuSahTIavNycMLajqi0mjSuvmBCljWO64AU/120sptoijmLI+5a6/Q3MiTsLMstTRtsb
qk5CqeD9aG0uslBckc4MyA8Tc9YtrbIIp5bnnhkO7WM7R7k7iVheKM9ia6MIZ34lqEJGN+O9kylH
BuzCrKPTOvBzZbEkUDhG58RigYrqOlCOibyJy4Q/71g4FRkSqjB6/CFnrLZrkSc2dcO7DKdUdZ7f
Tf24q6Y6kDPTDAPFwx4esl84S6MrMttlIbIb2OC2CW8qcdMPUZK08GbTZStkodIwNj8mnlMoh9IF
0kmrchY0ypI8nmCnsXtqJop0zrrr8MI3BFuGjH3MS+c7TpLStkJiQwb9khYsWjaUcRU3lamsiC8N
kdMrq+y0akVe2iny+azN6W0dam07JTs3/Sa1ZdJJ2zTYaR5V/inq9FlGI7TMtA8oldKOyNcCOVdG
486a3mpntPHnZZb7oS3jfF50YarczpuILPrhRWwmdApbHbZJmlotPNj4e+oVp63VpMvQsMQk8hG6
8pqUTJzK8D4EfuaeJlSEqhLOZZ0ZWgWST3EnexUlNbzndZwoJ21vOlQ0qsvS8DTreqEqjJ2FmZV0
KgpN553ryIlpZMUyzZIz1zOtaedW5LTgbn+aBciYU52ZU52lN9yQ+awPu1PDdL+mRkyuceC3Nki/
cGn4VNpemJ4apLHd1nWmPEi/ZVbg/iySeCI92MY3VhCs+6AvsUokKXP1ckDrlmS+02mX+673NF/3
11//56OO4ffDxNa//3Eznvfvv83XepPyLoZf2ujPX9/6e+rrRl/9GgE70IKPM35fUZG/vfgm/bkp
0ntdfz4WOe9q0A3VswaFqj5I/IO9DGFGCjW7oAufNSh0GNmcYYe2m9B5EcJYkG541qAEOn5ZHPqe
E7CkNwWBf2tQAnkmDokoDstCSgr07vNT2MIJDIc9GhQmZAw0qEXgA6UqoOUhFooEuGYvNWjGUec3
lulc5BJ5U9JHoQS9KJ0zo83Ms8Qq6lAZZld9p4F36jvdN+Gi3k6t4I7UDE2MhjXWgntRXE8zYgZL
M83SaRv4gWtj7unPbl7zzob4XeGqxOtSZQQ+xwo2U76ikeOvy8p08hlOmDdhRa3tpNWTxGmDmVf5
QQYKucCwoXNaz7IcttlpZxlSybBThVNJqUI/5aEKWJurNs9/GsJtFQtjVzHfqZWH5b0jUKd4F4FU
JiDwotp1VdG5nfJy9zSq0FXa67OCmRd939wg0p97tVw4xDinOloi11u2vtPbjOegSZDBYP5JXU1w
Qb3zlPK5mRrXQZ0FH1JHnJWpF4BuE4ntygKdJ4XObWw04bTjQaDy1AgmVlZdtWVxZYStUI1LTdVR
NO21bqaeC015VcRLI7V90uU/Q1Le+pF5C9XBMbPrqEyujSzsLwgNZ3GWztyUe1+1X9tWKWyncOKL
mkauItr7aRVuYOPUcqdYg+CR1UR2JL41OGtmqchKZWU9nuR5PE8yuN004qrFZauc3uITjBLvqnYb
Z+GnQaUIK2Zla+gPvGFK8sYuzC5XRFaJSjGyfd+4QD2Z1Rz5qqtS+qmQaGJ5oa/yLhIzM3J9FaWx
3VZ9rvrUSr8xpwINhgzpg9rBbmEXXR7MX2zFPa82WLrp36ahgN7EUHkJsQghN4Elwc3tFzswvcYM
ZRFcYtNLZyRq8Mrr4Dk1XZh4/5V/j/7D5hjY6/LvoXP+rvh7ODv2twMBszogumdBt2gY4gKS8Vn8
QdxPQvsl+A19PDD0Lv1b/EnoRrwZ2gQtXKD4nVC49OxAyM08XVgL/oOgdhamJ79F/PGh+IOKnI0L
semOK6C/5mYY80vxl3SFhdtKyCsc5x2IEdSn85xoN7khRuLhKfPiwvkuCc5vSOSAjRrXfmL3tTzn
gTzPExnaaRz+CDN92mWRqnHpzjpKtadSEoEFn5N+mbQkm1a1vAlF8zNyYt+2crGSFZ4bFrbdwgfD
LZubbjoXCblsU2Nh+NEPlrdgJQX63A2amxD7YKWV+cTN+QIOhyzMIEgVyRvbl9pQftDNoVXKJe7N
iY/NSjUei2aV2S06VOcqMdCPIEaqzWq2zIX1NaXWss+buzRpL4TMIzZ14N6+yTyYlA6I05Tpdd6J
SRgFJtg2ZadCU2dXvWHM2sBMbFyjRVbqszqMarspzUCFxMinaWwlS+hEDHebGOak0P2XGFwj0aNY
NUGBVR7SfIp9ojyK5wGp3FkeEtcG49eaBg1aiTA/C4uwnmTUyhXS1be4db5XQXDrJfqq7SxfGbHD
ZnGBUzsxk2XjW5aSftGCMInZxGxorXQs9Dz1ajKpjDi2IVh5ngbdTczCZeFmLuiE4L6La6FMkVCV
a+eziChSxO1WCa4alSP0s8TGKaqrZVN25wHYjWCAl4GqCysBV6xqznWOgklHDUO1vDzvw2gdG0nz
FfA8K9n3PuYX1C9AYkfXURacmty5bYqgtPMmDIoJzELJvHMDJ1U/TfwQ1FEaRdrjCpWhzC5bl1nL
qBDUsFntzX1waFoFDqW8wJbhnVqhrufYC/USnktqTqnpp3PPEfLWCUEj2lGH2kRluueLmnV0nuaM
RhPwYNw5GMrgaVlJjs+tKKq+CM3FwuhD8+t/zcGHcIoJSuR1cfg4eHmPPASqX+YgzEOhMI8Q5szC
UU28aS74Sx5CRyoLjueCKQiZEsiW/C0PIaCyMdPgWBg4mFBpClLqWR7C1FowH2HytIRuOSBn0Zvk
IQN5/EJrQkBFYHB0gEEI4FKMhvLQza0mCIiIrgyUfXP9slF9Ff1AHVtGCJyagPd2kVdTi8XKrK1Z
T9xz2WWXjQCLy2nibBn7Wawq17Bzq8Izl5kzU5Pbxq/xVFgQXKjd7twsnQk3dKp8VH72BezlCEXn
HssiuzbyRRQWq5i3rqoQvXcwbCTweFzwStuzVtT3YYUyW4RmNzEJmfKuZgp1ST81KyOa5DFrJ1hU
4GSC0WPTzuR2qZNulujuGneMTbAbnVUtI6pzy6+kLdtJkXT32uSn0NsgnWRtAs5hXYSw5YhiXl+p
xJLXvURfaqd3VSBAGnie0ajIKuGvPPDt3k2ximPXUZazJG456yztqCwrfIWb9nPvuRellZylTnrm
wT0p3YETH2P8ofHDCZij8TRM8IWD8Eeni8pZDY2IFUS8alUWdQnetiEUpWQRk863HZF+ESw3bG6C
s+iCiMh897bEQfrdzJrPXU+bs1IUVykpi3mEmkgFWf69deuln4TzOG24ohXTijbgY1fEwQpkx4Xn
4s8kK4iq/ObK4JRPw7DqJ5j17rSXvlBuLo25oasPxPDuWeToeROC4K7C8EzzVdmuUtnNaMpXRUf0
vMrNOQz8dKd52sT6M3gWyW1kRmm49t3+vmm9Dz0xy6lVpdpSYe4JsQKBeunA+700y8RctCXWVzh3
5BWNneK0k45NZTVNGosvyrwLlOmZvu1R2V2SoAe14Ou4mUfM+tIkzcTyY++CtHqd9TWoSu3KTOVc
eP1/zb4nsw/MpNflnP0wqHSPnAOqZzm3aYALR1vA34TO5QSMvBdyDqqrYNIA2OYwUwaMQhBmz26v
BF+ZwiVoI8LAAtwU5vwt5zZSCVrcS1iUWyAd32D34Y3E3JZzcIQWgeUJZulmOOim+dBLu69tHDc0
uEOvQnBIumXPNcQEa4+UzhXmNonjCyMw8EI4VmQblXfbUZeqkNN0AjaCqZDDfdVEWTitZEknBYvN
hQnKfSJakttVrVeo6127Yv6qz4p2EhOvmOQFP4tAkduZE1wHmfycuk4JRlNBVS0Kfyq63lz4khcT
EHEOeFphrRoDHGsvL6OJx8uzKkmlQpb/pUb8xifJnEdxbut2ktT93M9AWtdmbKow0De923zWXC8L
CLIpP9LcxqXh2jIrHOXn/UoG+Q3nmQlzkyBSLCN8jc0yuqhor2ciZAnE8SI98YvsJ3HcVRWARI0N
a1p266bFbNKxbFobBIKWcXLRYvolTdxUFaJJFxSiTmD3QpguTJGniAbx1YOVaaO6PSO9H0xx3q8h
dDardH2GZDNHEKKDSeDzghTTPNcTHCCIvYO4sPOarEuJ7bBxeiVNhXtynnT9ooeoA2gZJ4d4aWnX
sf9RVFEyiaJ0EYfutNXBx0gak7JMbtLcPPOMyga727VzFt/UAGkVU29qtn6ezEsDiZng6Sli8Y+k
8CLbt5xzEyz8ZGPqQ4wCrH5Q5fkNas3U+R7kkYunxYOPYPRll85jlHTKNcGM6vpAasXr8A4zMmu9
vFE+ru5k4c1g7qFrNwIu+1Wzzigq7KBopYrrdlF23iVNHDE1mrabZaX3szF4Dqqm+8ZN+bHs2xtU
o+8kh5C87r/5dSBtzgoytVx67+P2tDHd7nvkZaHyy9SyKUlsUee1Yma2CFh+48hoAT6HcV5Z2cfO
h9tKoyqDXIC4ctrCt0E0/qSgGyuvDCF6wuW05J256K2fKNB0ulHTdRl5kzileBIJfBm6kLlghn+a
O/28TREDxVvntqG9OzfMegiYd/1MNEFqB507x0bxzW/0QsO2sRMB4WLRgYNkFf20dEHdIh4u24Y6
tsiN684xvualecpTgiYBDj4xx3OnAqZ5Q8SnU7CbQb+DkWCFkEYo9WnCIMbqxaldZYIpj4c/C6+8
SmO6qgvnnEc9OCddcAm96M5S4tWKa3mWNJGlMCG1HVBL5Z7vqaCsm3nWxo4qPYIUljDOOBTfektP
44gtIXz1jYQkve0NDoEkT7QqwuwTGOS3LTaUKZuvmUf9ZerJZd9mZ44r0jNHF19568yRsCDywpce
EVeGLG48k69T2l/Gcb4INbybPe/6SYqSalJj90Nd6zn4Wwu38ud54Mlp2MpEwe7h34u6WIL/Un1w
RO0pP4lmcduc8U0y4b8m/IMJj0DSv67aNvOFdhXbhuZZscGwM2hNCMXDUB0MI6c3uc1nAx7iuRbE
UaGnNAR7kSlBHT4rNggCQ9MObPFNuBXSqXDpWbEx0IYw/QEaIsKMtbcHNDZhrb/DXlCaDi0TyYYH
yOFDYJcAfy8VG/GiFLm1VV7GIfdmWkf+pNUxFf1Nh+u+Bptbek7Pp9SrTS+ZhnXYTBkqMZpqAmnF
Bkxmn0RnmfCz7ipoYN4yU6JqWA5WdsuzSsUs8giI7CSOEJilkQ/vs+EENZ4YjtTJ9z7nFb22qkrm
ycQy05qetYw1BeQpjSwoVlZf5n2vSu5YhWm3bV5DRgnVXj4PilReeJnpLd025yprGvopg9RMKPxI
ZZUOmaJhEE9Q1tRncESgm2HhJ5dWFFYfQIQ0P8yEsXRZB577o6Z5O4sKMz73eainEdXOZWAwOquN
wFtAwCoOlWhIdwPVo86yqHRzESZWc4mCupzkTvpTN6LwICaK85XwwQWJSoor23MYXnosKD/iJott
eILsTvSRnNde1Jy74BA4uvfnkUHJB9Gb0bQlbqaiymzpRCAIU7CyNJbQ+6O7zM08mIVVUIDZjFLQ
nUWMGgXZ8x8AU7nIHBMkF0ohlCqlh7+TPu2vvb4PEhXiCv8IQa+fVVnhLjuIKXyFGC2ZICi0vAYT
wZ30Iq6uqiq8g0eaLDMIkd6iwjcjOzBNcQHpMKmYpb3LDrTlxO2Yf8n8ophLGeXToJfiss98toiz
BFKuHZgYHkRH7ihvo3PWOMXnKtbVrJBBYheGjy8IQVGvuAdpS7DUQZ63Gb9BINlmfsaKa+KTdAJh
fn0G6fT6rCjCU6eL+2knDDHLWNf+bKgXLUQau6ethmyWYoFlXPgON09jKB/Xtu6iSJVlxc+zTiTz
1K3QnDbwFrUsh6B1j6VzGuUG/1xJ44s2PXyODZFeAfvOzAhjelFoTGdlnptXXe+1pxGopqXrJ/VU
G2VwQYu0++DlopnURZNNO79qIVvfO7MiKwp38v+jZH0pJBmkj34nVF9WSj9WWT8UbzxQ/RKrMDN0
04vfhDneDBwDWPBZrGI4XwtlJlDnAVF86H8EGaonsUrhhB3adDMzHyMmm+jys1jd9AiGBSG4K+DM
Fsy9eou/gDZZsJdSlW2SCDChBeS3CS7N5hjnS6la9kSnWVW1l0lD5LSGMoFUaRJYoR1aTQ3pWdad
Bi0k/KeQTy+/lZrWn2CHtpkqZJJ9efH0rh9/7Muyl81UpyE3FNJ1FowYMSkcVxrk7GjSpaH0qvoS
Zwm6dMM+cVRlae7ZbV1qqeqGVt+sOjUgAxOLEhyOIA9BNPWFRW1o/pbcy7I0r2ANDzJZUYQ+9cwQ
aN5x5qxRZ6B29nuOMei3HY45dOOWWDILBsMOkjHUtzzAtisvSctcd8LbPvpUgylHZqXVaabqroWA
Khje4CpYvIM8UmiSOZiUHZrktS7vvbYoINVkpGxSlL6G0EjsmbWycgbmvqsD7zqs5GlcSPCz4NSP
/Fx42VkYNayd+oXBL/zcq+P57+9qFwYYFGBCtAyGz0PnloebflF8ZHWG2xhpVFwmpSM/axdsVFBQ
GF6NNKna66bN5W3qoOjr73/sdmKLmRaCbqtge4A/DB2y8VDDM7N1aVq4yWUCgfVLFHrVZVLkti8c
7/PvfxJsny3UNj9JQvMhC2adQPBrmBtOE9r1We7pS5GadJU1Oo/mTik6rMIU3KesinqbmJ3QdkBY
E/+nl2ZoysBd4s1QSkrgiAdIh8FrDnEF33OT2L+0spCt4qBiqzDa8MD6uJjyXGvVmQD9HBzxBqss
1Na6jGSxbGRHz1tOctMmTaBDOwBr5RO4T5hMPNF169SoU6i86GPLZlLTfMEIh0Df75/eZkL54PFB
A3oQG4RDan0zJwiuv3g/TF4xMEgcyI5WTrzy8xJS4MgIS8g6kK5L3NPG88MfrpDpedtn3oxr2vo2
RrX1s7T6XtsdZIRtqoN67efEuq9Z6lmnv2eS7kR8N9EZeIk2NdvQlIJZEJF+ySXPhW/mXkkuApql
DnhXpfTApytbImdlXVV2DoUAN3XcsQrinp4FtUrJvMB5Oo9oCp55lMUf0ojFLdTvNO6XJoj1sitK
iFuyLP3Ei1BMnCxx7EoHAcTpSgKFQk7wf9k7syZJcWxb/yLaEGJ8PEw+hcfkkZkR+YJFTggEEiCB
QL/+LrK6qrOrTx+79XAfjt1+KLOqinAPnEHae61vbVfi3gyOehgdCzKuJkmbOraCcOAtrD8Goe6e
vbZ+rDdB0Wmhbb3X1biDfQ4FH+fhRDabh7XBn1EFuCZu7zoWxG8VWJczg7h9Z+t1STLjMr+HnrU1
O1m0wYbaYpsTEzi5bdevgxr1bXYdEFum11FZqXE++ZXnvYyMGH6oIgeetmW8+oKiGw11I0bn89xH
PVAh5Z24FMOJjEn3rVmGEM897fmtSao1SpfRr9EdT3MGqWQ4EN9LHkbTr4VvprEkZCVLAb2S1Nli
6njMFo9VRa/olM9D8sAqp3ZhFEl9xFbjGZhdbZjGOupe195lF29KhltAdXCYE+hUpQp7+x6HciqU
u7a2XHhcl866uu+e6swPVQ9DkFlPwxoUtbfU5apbiYfDGCBHyxyXsMFY3mnaHwV+FdqTDx0mXPol
SlvVtk4WVVBcIhmsNvV1V2VUO6I/TCEvan/e3CdDiQ+5aHIhOONO0iXVJlGHlUbrHfAy21VPsxkB
YaZb021i+sYq5nn2TRlnjXqWJhOWcvnV2/pW0ymd9TwP7r3muufrOWlGe1iSWVenfmqaIW29Tt7c
yKGndqN0Ru+fdBVIKxcAomV9HAMhqbAf6o6joENvULvZ1GkwYegvwkge+RYZlm9rl+i7UGmKO8pU
ErhWNmMvLEOHtdXDgkcnrLMxHmLccJSrvhRdM4HRGLF5VcW6NGGGrgdqZrpVrvDBhlSwHBlw0aqE
xtD1hapQFZSBqHubxTbAiik87s9ZzyYHfjFAFPWoGhiVhayb+IczL1Hj5q709KHx4zm+D5yqrs6C
RhqwH+gYNdrtqGBpT6wYahb1RaUWO5bJpERTbl3Yb0cXzcSQBd7WwWteg607TM3YOMAnfe+TMwBA
zcHU8j7HP67zAJfXUTjlQnxqezCjJzoluis40+GznTWlZetIj1yYYXBA04h5TB+qaRnEDZsxPbe1
9Xg5DziCQuqutpBrVptkcbsN5tpD7KkKB4/KlFeEzOeJBkGX1xWt5zyCyIaeNFKoT4Rtqf3ecWR3
8xgH0Od069l4Im7jH+sm4tAwOR9p3simyu1coSF0zDQkj21lWj+jzdjatB9a61zcqvNLMlR1gMOF
r1OQjVl5Yg0xdcETn5l0/72UJE0icPvUdMxW0zhoTNfG+TxBJ9jgq+M58u6JFY1t0njxHfqyASSZ
70PYHcCUklFfg1lgS6pVxPGCpEf/X1YNI+INlK9gAP/6DuqmCWxzIbrWLyB8g/dgraA0AUzCb89i
jWihQtvg4GeCBrejI1dZbCoob8341hmDyqKt2+WmgtB8GSZGj0tkQPpBqXWB9MUV3ifoZLuWYlrI
vV0H6j8pHZAXoh38hgkdFWeabNFaLF7fNscJra05iahWYIedKPko3HG/Odt2VIeoU0w9rpsPXgau
Eq4NMwIHJhUW3Qt2sOQjRBDc3WhZ+YTONlnlSauk8h7bCZ7QsxeLBLCo35r5qle9F59sWx8DaO5r
IU2PPy2ltQsa7F7bg8uj/cPvhw5mej+uoSf3fiDwKeYxwKmC381tlvAFj87Q1bx5ElOER36aURXU
+BnWVE8DWxqJv02ATwfm4nKbaZ2vvcMGlTbuPK4gpCOXFtsyopnHfwN2xSfCArImZK+Tteg/Vh5N
zvHSwPWKWcBxX2x1+G4ExWGsU7s9U7266lKjzG0vchC8vcXYLQ5KuOR+TOrxDUxLOIJxYI13lnGd
zJeKyXrJtykaYahGG6hvD6c1c6Nx+8o7Hjyus4LiN7rbwj+ZsK/Vsa+c/scGfhlrSDNCfEUfENOi
8TamyiHsk0+OW/VlbwYoDJG/962TYc+N1OqS9LwN8sCbPEjeHQD9dAEJ93FqnaUuOk/gMbFORZOT
LyQZv/dYkLdzTHBLFWZfsYs2cHBGVygRBTYZM17INMMXgY6sF+y0dAGtO43t5ylZkhdnQ5l+tome
yDcNM1WlPSERDEfj4a3WnjCb+aYO69OAy2IArSdhaeWy6CuQju7WLmpM40gd/X5dgqM1IS4Od4my
h6ED93sV4erfOdr1ZcFG0S+XejMDy+JA9ewFlYj65iYCywiWTrWknCmj0sQs8YhdYBtvXT2S5pVI
S+NlR/j49mHQ1EnwZqqaChY5vD6DAzdfWO06S9ZFCoJ0AyPqaVUOBO4JOktTNHbGTdp4uqWPK+9s
cN+HADfScVhc8B6E+UgOoLpRhWEDrpqJRVOnk416rB1KdQVZ6TrlSwf5+mBjeJMp99c6yrdqc1VW
DSocP5lgIy8tm3CvYaeDRdTVvXoUiSBYYL0hacu4Z6FJ1/kNLreJScr5En0IPDGa3AS19q9+1cXL
81ipZMLmjju6GBqKq4nGYVvvGqq5vIumgYEhXl0g19UqAS436+rUV0D+g8mBPGHNQDU262u3A0vp
lPC6VCzmLDer65620cdzv4UhrFe/YtH1Z1X695zM428t7m9Jj1+5318x4P8bnvjafJ2kkj/0n4Hi
f3qj/33UsY8a/N9r1Lef411+FWB+M233V/0up8B+xbcJY0GAmuImiN/+IqdQfPEZojKY4Q/xADLx
P+QU8jdYolBfoKhAa/kJp/xdTkGIF+o0GpmfmjdeHvwVOQUzqf/UGsH4hRqA/jIMEBmFLPDPTYe3
//GhG7tHt4vaNPBnSMC++bhEYQ1Q33nA6j2lyjZX3nkIF2zxcdzqoUDDq/Jljb/LubniOwxefC66
TJAxzjeaQEOtbSpjeoy7uQw16umVHA220b53+G6louohbyrQWdgYOJMrKyDRvLOovW56/h61rDAJ
LeCTtulGhuu4+l+hSh3qLWlSqtBIOk0/H9thOk5JclFtXUgvKK3XFg7KsZQEy13oyQ+QhO6Nx1D6
T35zYNZ77ya3BCP+Cs0iKKOqwiY29tthIh0s2SBmqR+qc7DqpYwBiYA+Oya0RQHW3qpFD9lKqSkW
BAoE8QEvx0OJPcI99ji4C4JRXmZjY3NHEAE+LnpIaPfNa9hw2LwAlmDNaeps1cvUyR/dMK+5K4yT
CtVesf7A4609Xohl6DI2IOsSrXJLoy0uuLOdWaBFXpvugwZycoYenM+xfGITG1F0JEDknBppFH1N
xN4yzQdPr08NCqhits6WbmAyXBv/IM5qUvBuTysTfYqvZnxrW/K8qcFJx0pG2dzRPttC+mL75o2L
MTddT9Mm5lFKm+YO4h9SNe4PpcC0tRZSutfMW8GQk4ART5+QPPvEWhx/vYFdtLW0WTj4xzkEYTSg
hEBbNX+XLZISqkM+ZErB5kFh0iTMXLCIjbsqlO+w2KRgr1CmnxE4WTMZDyK1CGkhMcXTUQCC1FsS
5KbF6zqqkxwegn+AEv4gZfwpIBWuu5pTDvU7dfvhjczNnW6bOyzj6D5rEoMh103uewJWNgop+OlU
w3ccDhWV94Ild9DcQf4hxpQCCr13W/k2tmNTjh0HUtVM+eqLLDQ4ULNYnpJuOY7EffQ8AFKQX46c
VJepnk9KDB9mZzlIJa5MyhK6fZLGUNLBmi5J4YdmSsOOuXnsLq8Q+r+rxcucdj2YZtjyVoBjFaF8
gLDzKdiiRzkanfFkucW8K2HMjvZeL9fKQbPhJrBqxAMJxKO3VMcusA/OHCIDtwFRRDeZzjNoCMlA
Elng82GL7dLpmypDfwVAKglxyvGmog+GLA69HqGjOcx7d/nB+MrztadR4Q37o8rVl7UNcyPjH1G7
zicJLynbAwAHIoITI2OQ28rvp9TbKLZbkawHx1nrIlhplcmImTJxoDZCAkrrlemzrHhb9ov/bQ60
X86Mf5N0eR3t/NWCgCuk6vq0puZxm3cPu0EWcNOhLrAcLTRDye9NF4Bk+oK1Z8zbeIiwgY4jSvFe
nwLRt2FJ5yEMPiwuAmkH5k/kMPvbgGcJkm26RuuEJmmuV1LEwvHXdFxg6R3x/TrbkKI/ss092utt
viVuT/TNJJNDQa3N8mIQq2Ovk/W95YHr4ShrTTLwrV0hfe6XTRPU6ejadzC1z6qCw63RP/u+mMvJ
mdZD7ISXIFqbHIakn85d+BVxQZVyjYK1b/1XFOhxxvZEGXFteKYSNzMXiDrh1xFVCOTnofLfWTt5
uY7bPkVh8QOC0ZJRJt3UF9DhXBeRkUlPqIb4et0Gla8N6hY+OFdfTE9ONV9A6H5eGvPDOjQD8tCm
CmxFWg9Blym6ntl2ClzTp+jb3huO3EFTmVR7AfIpmPYCI8jcXA+4mErunHZ765j3wxJAyKoOfvCl
RyvT5I49e9va5n4wFVU9PfMVSw+osXRd87W7dKhZXN65OTqXd1NbePMAd1ZnDbOxsSLFzXgfRtzm
YZDUhes4T8gYeLmJAps36Cmsu10SdHEZzsJwjMQoUiVdfaD+grUdmFCUNFFhEYBIReW8aJ7boP7k
TcrBmWyrnDk7LMQTgz8+Ie/IkyOyiiSzaxfn1ABVMfGKHOk6mCKS5g7RVi+N46VOaxI9NEZc5y5C
pGKoHlD6pqpXwAX0e5iYrfAWfts6ZyxsX3cFyGVIAe38oZpnlc9GfEIq+Nw6HMc421coJ6zEUwe6
SVsJYsQDuin1d5UkH7BAl+7Q3fGe6dSr6ZG28sO4NAeniVaQnO5pNPRxiYfnJJBfGmx0gJPce9/V
F0SJq2wRfnWoLJmywJ1OtbNgS9CmTr0Ach/j/JQEW5wutcja2BsPKmjAs/vqgTfzIyqRUnjgTnpy
HPjIMn/2cAPO/lpwF0wU6K4xT3gVHZwaP42WFnoVXw7Cccgh9Fh80jihGXieB3dQLfoLfZ6FmNIx
TM6RWj90QrrFJrEJYskqncbWB8eQSyeSMNtMhModT9qlJt5jSDSQDzWMyPe6/cl6HU2XqiLpRscK
2jI9+X7zyOb2owPWsHRAuKRY5LDABeZowXmmwG4fvWmx6JQpRBe5fhWy/kSD8UGJ6Kv16dc1dEs0
AK+S168SuZ5c0+ZU9cOrK+Mj9aebib0LhQ4Hkx59Y7dLgOa97rvDHHnfE27PoEWeLInGNNHuTfj7
Iu4EJdZ6lv0/Kc7/95Xdu4D/78vuu3f+/V+L7v01fxTdGAG5jwP19yoaMgL8ij88TBTdqLgxFAM6
cYjf+KPopgDCYQyB/I7wQ9ifeMPfPcz4b2igfho+sJfc3RT9C8wj3M8/F92otoENQ5lBw4CuYP/5
L34EQiyI5o8ieOBLh+Bx3Y/VbV1Rbx1Dr+EHA8Y43SJ/FzyDvG667uRPgcFu5wRHXkHW7zevvxrj
JgjcdbFbrjOWbn/PIFOEkeM9lWz2fDKvxdnZE8vRnl1eO7eEohGkteZlYuPvARp+OH6mzquf4ecQ
MWgBjAkJ79L5yTXthJMG6uQtYJ66nX5SOwdlSHvoIJNYOhwMQKlxJ6bcnZ1SXrtkAjiVhiWWqOR7
VM0AJOMHO8YnDA64NfGOL6tXZ+eyRIXAMECtaSe2ACC+drrOYqBcPZAuqLBrivEFqMl33osA/AK2
cKLxULRu9UYBhs07IQYNqcKaCWpM7fxYA5EF2t+STROKgQiQ2bjTZnzykGjp7kdMKUgRyb2OANNg
tzwg5v5D78RaomVmpUFOuBrO/U619VD9Axgx7oZCcefeEisgWgKFi3Ymjkbb2QKSiyf2tO3UHNPt
ad45unEn6hKgdXJn7IadtmuB3QFVeePA8ABkyCygky3rDVJfPbCvaqf2tp3fE2Q7hAD6up3s66F6
ip31Mzv110zTx6FifkGnH/POBYY7IVgh5J/WAaTaiPxwdooQw+4fxp0rtDthuAA1jHfm0AF8yAEh
dhC1kgUmio+UJ8peeG+14Om6s4vg988xYMYIGEvR7nwj5Jo3H8BjUPufV9c+jbHzskzkzQyAPjGG
4kfU+1spDU8KLO/3fbQd+c5TTv5OVgKxRFJdpg4JarQ1ddkCw9x2HhPIVBkB0ITsh5+304DsaROq
LwuM0DuASgjI9HtWRiMggW5hT9Dg84fH/mespgoaRGwWZMVQhsSRA4wfq0GOsIdIirHCi/l+xiEY
o++qdM4xEgSVp9tsacWB34qBseO2uA8WD8PTFrfRAXS/eRp2Snc13pnSliKqn6R0xGtsMzgPbY0g
QrS6ElLcgnhSMFKOLmND9Ic266mPnCANEH0/x/FqD9ESmEI2jUbOH1utuyyl0f3X2K0fxqUG9++R
K51RrkRJ8oT0W52rrr0fwwFZBfIJvNd2myCRvQnS0tQbIT5RsuakmtB9a9yQU0jRLcIPWXx4fAhL
UDBLYBH3iTKH3gN0GwnXpsQAT+h9v1hrAAmRs125t0B4F146w1LeK0/QvI36Ms3OgVCU5QudTiKc
aQoL84xaPTiTGrWQHFrQmLGYPnvR6KeBiE0x1wtSDOCdkSiOurzpp6GEEd9nFnMfvo7Ee4WNUZUJ
cOTCTCY+CIt4MOddcJC9lpiM0LqHBZm9lHj79a3CPrV+dUEpdIDYft/gicqMnc9tMj0xg0+NWQMl
qeUFgv2h6UFty6RTaWsnsE9JnK0sQhovnnGFbJcN4KB0y7ayF/0TCxo/n9ooQUMZXGJENpB9dg9N
wN/cZTrMjrpZvixp1009VPapgNJ3VfOEGOGMKSZNNB2qYTiGs/pRU3h0ATaPfEDSBb/Xpd41XvuX
XrXdHYrwR4Ezmkq/SYpeBlNaA+8Gq/ZpC0Vp/OEyV/H3FUZO2sn+rLkB5UTWQxT6t/9UCC64H1jk
/1OF8F8dhht8e/9zkfDby/4oEvB9Tvt3qCLbivGyFELaP4oE1A8RmCVwm5C/yF4J/IMfTZCHxfd+
+QhI/HORALQ0QL4CGt9vGdu/Foj9V7YIzz2+RxBiP7xAF2Oe/rlIiFcEDeeYzQ9to4dz3CX+dRLr
JRbdiEpg+hj2fT62mh+FjDr7nUk1Ok/zhsp+tADJydo9JQzKiebbk679s1S9hIIBwYXYDcAOx1iL
plt8TG1hZc0XdoIr7GIzqvwUun3NsmQZRdlHINRv0PzeErZhHUedlEaw5tpsQPT+vKzo7wLEV1mV
bfHWnOeO55tXOUftTD/qRFiwQm512JAhTRnhyanDovFxwOSyC5Z7fo2pgCnf3IaZMqxs/Ybym8RN
vkwIrkZLInJJLUWgoPFSL0zQDUCE4tGki7EmWaA9XQbrcB8H2OMXKhOEtuyaOpWG18eEOU5G3ROl
kkyL8W0y9d1GEPBHZs1T3tX164uxaCp0O8zYJ7YRrD+S6bNCxAmBmbSuHKSjJl3/qIwMPyNWsFQg
JUesm6BWgOsrckym+ZlxeotbV8wnTAJw9FNDUMwBN8jEyMIj0EolbqF2E8Qk5ipaUhpV/oESg/Y+
qNArV7M57bO2D7Pg6FB78bi16h4plzNEhvvR9S6xdkqpzNnpw1xaeADYOdwW4xCa4ZsR3nOjk7f/
LB5YPCC2Q4T/9+3FTSJQ8N+w5z+/9u0fYXrEPAkBSQcuioJp/HXtwLoQ031G/W+44x9rRwwSMiFo
3FH4051L/7XBwDoDHO73mJb/VxoMDAT7lwYj2mcuoPXxkKSPXHzgXxsMP+5bADne9hDrenqMWkip
DRkwb6rzvfNmOH/bCCibWC/u1WxDlcJfZDlUc/sxSoy+wbLtDtaS5hJiKlcRORrbYTMyzDNy77uO
JdeFkuoOPCrS+KvG6xegoflsdVy4cliPDjTp1bOgLjXTRzJQ/rUBl3Fohan2chrV06DWzz1j9VmO
yAP6wH9zT7iYJhLHA/T67WPijRnr6PtW9dF5hsVSaumYi+AyKSZp1mzVSCOiqXngdEaEsuGYKhSi
FmYgpmnoYSbWzwk7eEp2yQZzdwY8+/4TjLh8tLaGfjm8sX1Mj62WrMHcnlZCqFj3UT6eTUym/ch7
rEn96mLeTzPTCYC4eAr2UUCNq52D3scD2X1QEGMYGdTR7gKyXp0a7WOcEGP+gXfCh82PYUMhQc4d
kiAGECH6CTh9ebITEHJQi12Kvs6mThAULY8l9J3kHhgfR2eGs+Psg44waonm/T78SCkPFss+EGnE
ZKTZaz+PA0Yl9RhJguIsbAtSD2dWj1Zn1YILBiVlyjuHu2UVkmPrO+nmTHW2Bsuh1xykjp2H90XW
7XXV/neHSzcfXVSnPcKBuYGnw9v6hjTgUx+h+OXrevCW7qPXGp3c+YmGIel1D8tIHqUXf3QBX0CR
R/jGcQ+YYoKdYsREgwF/Jwwx6gm7TX1VChozMMCLouR7EOz8emhuC8P0KwXBDH4zsLy+dx+iOjmK
Xh4WGty1a3IdjHtgZPYK22HlD6sQCaW2tHXz0FtU2aHuy8RH+tkG2zWAwou47gdUr10Oo+ISVqj3
QKp87r3pCzUEkhWLv66RPMhg+zAmHBGDCjO55KB6qEugn+7BOkqVeTScvyK1gdQcDSZWYorYXWLE
gKeib/gdCUeohvMGJW9IKppHZFrvarTxp/8sxj8XYxdr579fjP+rf/8mpz8XcgEWyl/Unp9xfbio
f0/u/GqxYrK8h5UYsdI/1XFICGFwKgao7lNwwbdCgvmH2OMRfGMcYFt8YUy4D4r6K2LPT6L6n4h1
4LqJC1I4wuwVBG3/tBbLIbA82Cr14Hb0hUt185AX6X31xNcBMs3is3Ptgnok/rHdtjbvOa/KasF0
H73OVeqOkDujzcw5OKhn17d2dwdJanwdwpglT9qF2+EneC+BIEnRtQM5JfXkpQPrblMEKcgKTB4i
cr06o4snW8BIMXZxMmcNqhw0W1t0C6JzkzbjvSv6F4SnoBgtVty13r6Khh4SihVC5F4XHXyFGixe
pMlCLN6pncQLEzEKNKfHJMJJncYhKCvsO4XigKUiv/8OpPYjcERnD+odJXVumHRB0mpUGPQE9gJ6
/BfEDVqotPMGydsUYjq15I7U9NvC3iea6aQ+YtJhnZtlBl5sZyg4G0fn1cGb8qwaimFr342Fzbjq
6duszZlorLKJiw80LYgVTfHj5qA13ETh2LtZk/Pqx5+DNjxJt/XTZAtgQETB3YTtsunXFdJIjGDB
Sh74Pm6qdueCxC4uCY1UqutanaIJNgwgw2evxp6SOOzrCl9ViRiMEXaCrCGMlN4ovVRFCylpiGEN
QyV10XEMd6m4Ienkxndwh0/b3KCfnhjsK/G8cmjkrp0JpniBio4VKvowAa6K2Z9jUY96udXapVlF
kk+1I9tUYurI6LZnxaMXP4Hf5NTi0G881Qj2twtLcokhJSnGfCHp6Q9H48JkDPV4RkGicP3GQ0L7
NuMVEe7j4Gtxi6sRfxgjEAcuH6w/fW0wShISoPOIG/w9kY1MpxbKIuPkdRoxcROYZe7ATckbQ7+v
Zv6+RNtWKr1CCVNxdQT5+AVKlptKHErGUfaXjZlvAQZOwYFyMUuxfRtscrEjJpoFkh2kcRAwggOn
XKibuobELzmsp0mpe91aPD7LC6urLyOL4qOgYE1bp79Vlu5BsfnTSKMTH3V9jAN5RlndYdBD2Jex
EqewDj5MzGXnRYsQGpG94T3NHebxLEDPpEQONpyyn5jhMoEXJcl+8Va6ZZgdE0J+8T8p2U7ZYucZ
STEhzsqbUYo4GH/DtgYRM9VpmEdKvtZuVR8FY9NjC+8qNXTMV7GRMp77j7GHTFmtGcguqCrKkw0u
0CCKqmtnUGa8wdOuvZNqML9ItiHLJ28+wcGH0ROzU0Sq7hDiWOChUCRx96c0hkCEyTbALkZx9DXi
xk6Yo6CBsd1CRBk6h+BJ83UGCnHFqDMW5Umtcu0DVQB7mDt+8NhC7sJQtQ9kbS/BNJ8l3e4TWB5L
tMypVf0B+UIOZxURcMHJ/bLOHxoZiLTb2GPvz08cUfcYVqPq7auqoMNypGDSXrYfQYqf/dU9bkq9
aIwIQ4pQuKkrJUXifb3jaiwid5Jlv8Uq9ab1Wk30iQuYqashReQNZ2/GlLNNzYhHV5+bmjwAx79H
euBxbCNMIVnUl6oK1nTm9rVjmJ/hj3FcAJX8rPoICNWGeaLaw+hYhhSkM8hi6XDXIC6y8Y90boNj
44eCHjChwCuYBOgcNPL/y7zZnsCFVqq3X+YU/4+U1MuMKRW9+P7fv+53NQajrHdMCns1vJnfiKc/
LBv3b4CT0GtFno9Q7e6m/K7GxH/zIeXDRkHnj1/51bLBl87gf4BoSggSFdCQ/8ouHu7jmn+JkGBK
husj+AZXGyPPIPLsHd+vHRVZgql3ZN8/2IBh5UTgdkFaCp5NbkUrywWj19K26q4+QMkyoP7RRTKy
GfQDm50TBubmifEADTnZTMnZqOGdz/5bpVBfC8CXltzViX+0LIQ66sgtY1H9prbuCe4mL6D0vMOw
CjOfQaCounnILObJXPqt89IOlCUefg03mbLLPMv4DoDsY8wgSiYSkxpsBB854V8QjStpRR4Z3GyM
ompTMIyvhkDAlSJ8iIMRCbQZoA8npnkAsvMtlNhdAjAamWVRmAHBJifYxHdaRyda9S90W79vvr0q
P/nSVerFbIvM264+YBTxJQwsTeUSPgQyOndA0dOEBR+og7iH1J8NC0u1OxBQuDGeOYkf/WTCSA6J
oDO/b01bDg5BUiUwDWxdVA5kcj5hYiy2ZIu8UNDesQkqjx22C024PomgAzXBLSkZ9srSaZPPyDI8
Bst854OTuh/GJww/KnveFFtEHjDDqZzp+oyZbOm6h2HoRN4pgcjbOa+LX30CzlWGM1b4ZDHoJbv+
S7PNH9DVoAuzM4iftb3fFpy6kc9P7lphdBEP+4+jfwo3FWs4Emih6Bgt94CTy8ogitsDGM+2ebmx
rS3w700Js6PL9Sg+zjiMCh0pdkYHlYeRh6BxcW5ikknQDeOC64DkBwIgbtxhY4hhv2/0uYkBoZjq
G9JCbdqE4Ysvw2cH8/0yR4d3SY/JR3MQMZSLsKARu3t2guoEFdq/CyQkr3VsX+JKwJBoQOf2Tz3Q
m1ZMH+sE2RS4oxhhiw91RG7OZImDPCA6nzoD41ZSH1FfRASzTja8HJo5txhvjTL34PrLkXu0KxC7
A/4A2isOgiH3w3EBYj28StkXCQHIwDCoOdvFyAyQmEnFShS4PoxXc2BipXaF0ogg3HC12/RhtPy5
GuY4890WE6IbbGTNimBJP2M+dTfJiysRhwYDVs6xem3C6C7wg2exSEQumqTPHGLtAVUvEjfVBPwI
SSZERr3Pgxhv8YILH8AA3QJ7/3/YO7MduZEzC7/KvAANrkHyNknmWln7fkNUSSXu+86nny9Klltq
t9toYG4GaBi+sNtylTLJiH855zvqEH4NR4XF3mjdurVzi3lkPxlIFbQwPNiS/mTx0G8YKm/n1ck9
DFgm7XpGpcR2Q/KdRk9Zl7fIWDvP6lgz5XyiGyahx35UfDUTAcJ/bNl5kVy5guXDqhfBkt0qqHxi
rvMxWt9QRb/1o7jHNnWf5Zo/zM51puuZhzjG9CbdYMmbKI94tpnt5nYQr/02XkZxTBI07bVG1z1Y
yFNKBYxeWCxHNlpBVdPbYqEwfF0xP/S5O+eqcoZSXgaJQ1HMSOYNv/x+qXu4qjhX+LrQcSO/sDdL
y+gWlfxdYU+V13S9tguZUcjOmN9nhPYyDTyB/Pff9Hxm/gyVCkF1Ym+cXLltBvWjK3gkTFEkx8q2
H+q2uexyxrW6Zn7UNY2+Mm27dBYoE3NToqX0rdDAzqprexFqTBJAPPsFn/ipKflLsycfPTwyL2aR
V9sK8jo7codl4NialCLRPkRnB+JkeWtEUu1cjkYzQ7xnDIrHUObMvPeqQ+iI8Z4ZB5CFO6xy0yYy
q+umU3dMzu7rlbOywqofNbpXrU5LqWK/wZo/Mt49YhsCb52oApHO8KCIVfNCUNS0XoxzW4uHOuvC
l1GsL23f3MadGe2jXNmzPxuCggMO39ZwVzta4bcZ36+hVL4jCZKTHSI4LNp3yDYcFbVXxRjQ2nWH
rqbY6GZ3v4TTY6b3T20jO65seKLgV/eaPmm+qurxae3S0U8wS3gLIOBNFTXLJteMQ9uld6Uwdms9
VPQeLG8zZF5unuJVcVPPcTMdowb0oVZ/HMXN1LHXfp6SkxkbN2WKJ8ASj1TYD4lR8NWU/U6U1aVe
Mx6pc62DgSk+NA56hPXuNVYsXm1TCfd4sYEcYqcJcjthvG6afuVOF12d346uTleQc/yCQF8X7a60
4PtXLPiSaHiye+QM4LmPTX85CuSe1pBsIju6NtEU+nnlJjsdBrFntckTeKcdK7v0olQ4/lelPbuA
ibfjMmQ432a6X80wNl3t8G2FeAHq6MhKX/G6TwyZ9okkWwZD36PA/XAkr2wqe3YiESe2/ZRKmlnb
J6jr+2ZdLrVP2lnH92wvaGAjpw8SVJQ0it0xJAjgSjNaBJursu7DrjcPox1f5p9YNUSHy26dZ53z
GC4nl0e6dZtoW1jaWa+tA6fRUYQ8Okw5aMUVVMStaTwmds0JMULLNDtlHzfmpWl2sq1QP6DYf4QL
vfNCx7jE835RFb9wbF9n2seGmlfS0Co/m/Mvc5KVGyuKd7qa6lS9BsdDJJ7juRjZzPRpMDEqbLSO
4aO+bsWosECyxSniw67fUZpqZniLwmuvAOK/TFr7yqhR3CVDoWE7VR/4+LnFtfyjntMjnlB7Wzfz
DZStXYrfwrcMu9yWs5ox1lVrP8lZcWvN9Fz2M0q//M4yF1/k1kPhNtcLK62NWDNo9GLbJjmiNpil
XTVv6ejv7cr8wuF63TOB8/KYRyARza2mtFsOOA3hjFTwafjAY/IL7FXbl4LRr5sWV7YLVTYL4yFI
QFYH7cz0hHNf0rzWmF16h0QdMHUtTAxKlf62djp9zTTt7ARgtOaIS4rcZyQlF7Od215VKIEG992a
nBeulu046be0wife3L2ty/5mih9qJhNIVvMzcpl7J9MuECIwHKierFp7nkKcZVZpP3X6fK5mG3xr
4ir0sVpN6EL0yCKsBNSSH1bYTmZ7nqNoW0965g+Jwy6bdZVQxMNQj+d1jjdqmbznpnVsMi3na18u
0OYPe6bofVDO4lxokLBFwUGoxDvVSoTfWCbEI/1iUtfT0BoGUEdGnGIVT+lUFNcG0BM/6h1F+vp0
f4zNdTMOLoMjmJobqygXlus2+Py13XemXvmtmr7bgEA8Zx6u7bqjlQIXsIO+3V0UTbt4jTGd8tR2
OJRC5uKhsnOLKaXmDHteLit3VvNe9MpRJHaxg1d+QKxhMDKujVRs1tEF8/b3RPX7RJUW7T9PVHGP
9n/Qi6myr/ttu6WyxQb6oMpEwF88K4A+5BzT5V9AAH/2rJAuZ9HCAbD/nJpKiP6PiaqMKbLkOtvi
VWfv9Ze2W5/btZ96MdCoDFMBgLBEY7ZrmvL3+7kXw37RYeONjatuNlVmLeNhWszGRydj8CY3W4q7
gSN0ebKh1PldZH5pDdoWWn3fkk69dGb52rfxqZ+QSkMvBjGIy8XhdvTnbryEedT5NCTgbqrhfXHL
lziJAuyjt5mZ7sqlP+qGftvUFD1ps3Di1HpHJ6NflAVG2EixH7rMrbzcLXo8dOHDWqVPHL4246+V
CJK5uLIi40qbROBCq7bzhlCO1TisY4hGP9Mdb4znHTCRQHfqb2znqUMj61jy3tRL++4gR3K79XFm
nw+BqODmxoy7EWZR+kYdeuoM3NWu48dJG16zeTSJpIj3+lCxbOqAORexQUnK+MtLauMyK5pjnqE3
nGD2N2OMJF6p6Phy50qqeSg6m6vUGuvjzLpoOyQMYe2iQvYEs99z1Si87AQ7IyaAK92QuX5z2OFc
jiZi2oQPtw6L+EbHVreJu/YjZgN+ToH5W67CTEavl11cds5VR8ROYNsT39oQQ4IG3+Rl8NSw2kKI
Z0ImdskIhla0uBLN2Y5u1MjQqGZSJPboI5lpc6NhoofpVxioxJc83RvGnAdKksC3jiUeYwX2IGbM
mEyd8HQSAaTNC3RUs0u2JjzBrTlRpbZFr+/6yiiC0kgv2OKf1j69ykrt0C8RivPC+RaunEgpqrdA
6RLDX9BeBlpok90zoPJW09jhg9AWZAONu+tTvDHp3A47V8cSWUQt/Stm4lvKXGc31FJKj2J+r6ph
6I8jgubOMJSbXHNZgq38TZtZCLo7VWydSOmh+E3OZkGYHChYlJFSZcnRYoK5i/T4ftG762FQyyBW
nGVT9fV7lXfcZ7HAFt+4JisqJmMRQRPs/eRHlOjl69RZ6UOJH3vTxW65XwYYNjpisQ28RY2cHYb8
cb3CquRzp1FWhr0zcWLHk8lOwh6Sr1lBqa+mdhiMUaHs1T7dDhZy97Bk6Ikzc1O4NEE4+AupuB/I
nZgcv62L3BNjKpBKzzcYScg0KLIA+aiWeLmeX0J0QHyZYWoo1/ceYdu2rzX6PTdvzwkGTs+YhZ+3
jaDlnsALKva4o501b3VleITF3tNv9QPMv1ifGdckQ/1l4reyVwxoYUziUufEDfr55V5jRwoiMsKE
NLrHEgpnME2LRu8/IFbpFviI3GuMMIKkLJWjYsIGNYyHkWmrh0zmvgAsbqfl9WR3nqLY5856DcGP
D5UYn9lSfEyAyWdJKC8lq9yZoJYPuPf3riSZJ5JpHmXqhc5Pi+v4NI7mNzKKdE9b87M6qdpmdO3H
1aHTTFKia/qu+NrZAEzgGxwqcOrQnS7AmwLXkKT1UjLXs0QONsbY8mmk580o2ewt//NS0trtzrC2
iyS4a01xNSjRXQ7aXQXxDoyeUxBQnG+Df0/AwM+ZEOxxIMOPHYJ6jZmWhlGrkfT4MYUjT41VMPIe
zyj8ngYC231bMa/dWd7zkkFP+8//UnLpB0mor0HVD6m6xxeLLtUMt6kKzT5xsXSlknCvzK5PUfjR
Sfa9NSY+aArxgjqmoIUFkY8P4UsFMr8crGfssNYhKTSko+s7EA9QFdW85y+db2OdEUahrX4u7MsY
JH8s2fzo9HFPkRE0VtpeacR+mXAMSZ6/kkw3MoAr1zsWKyD/e8fFSmJcskzfKWazi0BU8J1SrGr8
Z+sthkTndcnwrUtswPJTH4zVcugly3SQnFozuwEroHAXDOzDl1Pc5zcFikwtie9zOEmxKPe25KQO
AFPzpPfwdJMOEHb2pgCqSlDKRZJ7jgqnrgO6ikrtg6COZcM9piy7ztE7hzVVhtFOlLcqstjg79ro
e230p6Nq+Ghv40f71v37rFry4f9VH7FwlhG6CP1+eAh+mlW7rsVOmakzu2VJbf9tVo0BmOpIMIw2
fkXH2/9wZCkDZhljr5QV/pVZNfPvX2bV1EcO/gXGRwKpou669u9m1WXkcJGMDn0oiS972Ma7OGJ2
1VKBD/a4IG/Tu4t50Kudoa4U6lTsZWpyRZbFeyuL+U7p9ux0rMA1qNyjSRib1Iwbj8t5pUOZdD+W
rYHdCLrUaS6um8h9imUDMcpWApX4CRDGBXkHe6fCqWnRdTRL/RQyFvUwApyxYyGrq7JxP+T9MSpo
HzO6l5X+mzmMfSaN5CGSPU5Ps+NOduaXbcKmu33TLayXDv3RiFVxM8GlgsRC85SN61nQTc2yraLj
f3bps8Q8nlz6rsnO7xWrOPdQkT3YDA9lG3LYaDB2wulkr+ZtSQ+nRcqLTk9HNAXuSlagHd1ebVfP
6GoujbjAKWXNu3Fm4cWT8dbnrKpK2TQqNlMA2Uaiucx9o2WStYTNEjhOOdDoY7YK6UBbcM103ca+
ks0pW9LLKWetFq2TtrOyfpvSyc7ZyFQj00pP0VeaMPFFp+vNhmULYACPX1Rez/TFS1wcEngdG8id
12KwH+ImjILaXJ6FNNQmEzNXqvjMy8uk2hrJ0gHLtil515t2Lu2tFufHmXY9XgtmO73+IOJWg0+h
4wet3Kt0tPXLnHZ/dqK75tKMD4KNuzo5J7GkhBmxkk3sEQV7A4uhX9OgZ9qwawfnORZUO2jaWUtU
yY6cAqZ1RfUlswWbATnU0RttmzOiWFQK6n7ZJwtjiqJI39vW+LAt/YOKnGkZYw5JqZjl3GNRxyLA
Vmk+oolSEY85XDsMSioGJgzVDzkDFGuIt60Tsa6FChQscsqiR2LZOZ9c+9Ia+mAalZuknr66azZJ
GxwCVpXd99rQ8Ntsw02FUV/DftwVcueqh+gpHCLnTNPZ63KlXrXzG7ya+0St/LErAlWKZXl0eY5c
di+4UWO5nKf0a5gxRLjj7IFhKEwGrnLW+WC0mdxa+a07wt3TQ+T67P4xuV2EY6exvUAWkEcp74Wd
DwFmRvbOUj4geNO3ipQUqIAvTgsqgxC1gSFlBz36A3L68FJCITrUIMY3cT8B9ljZIpOahXBhxRTN
m5JKUQMK2+sQlUNcqKpfS+GDQAGRl+K1RxHRVTeM6HC9IpZwnCI8zKK6nMMcljmCClevvhIdyUYf
qUVhFnVgExDjK7OS+bVUZEyW1KE0VuTHq7JjYZ6ur1gVv47tRZoeOmQdSdUwBwh5DMYifFuk9kNf
mnMo1SAlspAZr3ipxUjUEIwoUfaRDbwyOg69ABQWmNPmUEiVCf4pA3pHfg/N7JsrpSjRzHNnSHVK
hUHHBOK2UWpW32PUlBeKPltnDV0LzABCXUboQPC70sB219CfpRBmCMPKi1rEMfE0nsc2I7NRCmdy
N7mLW55my4y0Q5uDJTBDvnGYQZD3lvWG9E3CYlZMSPh3CGNDoWM0LVYoftImXvElKVLIg6Y3ZCKJ
wrFqenMvva9S9pOB2CL5obkpTOOUowxSQ/UeY0sFP3Y8hnIVbazrjKm0atv0qp619jlzrW4KRFeK
1OuGlIXfmFKcjkaho6kISyThSffiuFFsXvxdE3zWBPqf1gTn6mv15d/rAfmHftQD7K5dGYNFEqBF
YWDxj/5VD2AysGwd9INpCLJlwXH+sx4wNf4QKEL7E7L6aT/457iEf6I5BjMWA4WaXIX/JWKqKW/7
X/RnOBUY1roa0GEmJg4lyc/TkqZqzN6J4XI2yBzAd2QTNFLLvtKQHrFQjZRQWYOsriYq0KFeVden
qDVDfwEX1W4d9dP2LrTI/QaIed8qpRG+kTuaqnRJZa6c+Et34VGjzNaCiGAqpvRZyRydJjiuRw/B
5jywqrVWEGg5ZCosenZpy5ZiEYLKt8e3Q2W7DDa1RYvIeM8gAA5RDvoIMghg0X0TtWwpygIeg2im
vL2KTOluGwz2U0HkqBVKHkf46toPyodFO/GdL/p/TcH5/2e0VZE5/OdRIVdo/5lr3vVv//4GyD/7
4w2AcoOmgbKKp4yMTYdn8F9vgP4PHkDrh5hSjgV/q4g1OWB0LZKOVNy1P2kw7X8w4kM+rovv+sy/
pN6AVfr7d4BxJSpMOTZkQvnp+v35HXALe3VLJF5X+ZiAd/TaplKP+ayZx5LhXOqlonhY0ojCYlYu
nJLrJbUKMj8AXcQEqG1YkdzPUX/KnPluVOeLJUSuWKM12EB+AuGVrJAR+8epWC7twjgwYOc2CqtN
I/N/5pkIhUF4M6FMycp1WjCTIfbEpXyDjkHF/M1wot6bPi0dScZoPTH0oM2QRqwOTIw0Zfed09IS
X/GyCJRMXW4uAV1z4attfW8iVdiYg6JTOkaewTuMb54dVsSetC3Dpxx0ea8T/onUzcfa/y6QMKRh
U/iWZn9BP5V4o0ieBRS2DY6HgzE73tAw1IE1+Cwic+fY9eqFk7GNyYVgT1/sdTFaPiHU+27GhrSY
dN9M6N6XKnwv+vlKreJmQ1H7kqhu4hVmtsuy+cAoqdxq89RCEqYNd6L6a6SaDCm08rkm6pr6hAlG
OPQfItTXy45FeFJb4YnpBrBTS8eWF4kAV792qzPJ9EHJI9mw0JlVGE5305SdNKsZuf1oQ5gGtP0W
ZKu3mnbCvW1X23wxVC+HnBk4KPY3kQtnYdDL7ryozuxnWHC3DnJKP8yVxeuRBm/aLkNDn4DzXNQk
DEq1S04UgPnOkTYJXRomkNLGfqXKnXeXq2eEhqRxSYtF1SJ6Y/QinikXi9uu1ZrrWCrDHQ2NeCPV
4qPUjYOoY22lmGZ6EX4KyxUk5kO7Iu5ZCzV8n51EQYtvKc2h1NUb7A9aEBOC/KAufPC70NHFK4qX
6JsJbSkopG1p6gmVhnfiLQXa3U6am0Zpc+pa2If4nvCP8qlPJHNHFx2+KFUapJRmuGylZSqU5ilb
HVHTSUOVLa1VJh4rU5qtmkJFkiPtV/iwQHtGm0xas0pp0hLSrrWaLLUraeGypZmr+vR16cmd/d3o
heWrkuYvhqXjowsg9CDQj21iaRJTHOxiHb6xWRrI4Ef6s7SU/V3HfK9jKC7+82F+rv7I1CRR2T8O
cQKS5RiCJY1u4rGWtcqPQ5wKh4MY55Slic+5xs+HuM2JDzWBRsj+HsPxY+0jszZQ5XOIfx+H/LWx
hksZ9Wsh46DwhxgMwlmQrGnLf/4TNaFbMW8P1iAuI6NceX8EOBEM9uzE6UJICeAcDgd9REVCCrLv
9LzxvNggpwLyiwkZ7i01PztDotI4s6MWdiTzcxUzCJXBTN0AQh87X2NlTDzzBqUDDOWhUGp/VSNT
KTYZecc1MU6t3NAi+JtvhhRpqR0rjEZtmQQ3zOUTo8fEY9i970uGoJ3MjWtGqeZKsBUTx9dtw0G9
T0sdN6eAFVQgBl/U23IB1wCMGAcK3LG6Kk5lE15ohNZB52JcIHPs6rpgY3AguQrfToRTO5GZd5lN
2EVORjqcLmbJg8zGG2cCPwnL01QmDDnGHWUgR6/GJL4BR1H7U+EcIat+1WXqXjKMz/1sGRts3qci
US2/IKKvk1l9kxiFJ2R+H2ai3jPslWOyFzldODl/i9USSaLqgYpw308H0gAnYgGhKJ1yBXDOAHXZ
K0Lt6zzXFWK+jnFvs09kumBBzGDqMI2WSIPBWgovbVCGDBm5hDKhcCWqkEH7trHJLiROE0QXwOKQ
PJCDGQMxnc3qMtWr26aZvNCuT4xfvBjn1gbW5Ab2SrAQlgjmCcl4PIJwUTcjvtQ8JspzRAFCFxe0
UhJSohnfwEpDt5NX2daR0hFgYJBKEZNkUlaCMmqnRdETyBpE8lJ6YkgRiiKia2pToItu72lIVUYa
sU2jtk+RVLFg+TgtyFp65gCEdYysgLR9Vqa3UTleJJbhw1llgy+1MaFUydRSL9OiT2B9516rUkvj
NMZHJdU1mtTZWAhuLKm8iZHglEb2YCPJkXMz4hCuwKoy15ciHvNTzoOuJ82LRzZMvkzbHlTjRZXK
Hzu1duOU382ZdSilNohagkv1Uy8klUOr1BDVdYsCTuqK4ml6KmluGJL3DNamRw0JktnBQIsQJcFJ
u0o7C16ZAymgf5+leqkrmT4MNkgjlAh+JTVOBmKnMAWTVkn9U7VEh0gqohqkUQMSKfjYr2STJB5K
oBSpBjqqdDQ1xH7Dwyg1VppUWxGpcFSU6kgIwFv5qceSyiwdiZZriW0iJVtItxSjup7UBCgnoi5T
qrucWGVsNiuX9MNntDRge5CCzUn+BCak3MHaeCuidYZCHe0HqR8jUMr1SqkpM6S6jNyyFzhsQMeQ
4vOWoUFzmUD5RCLvmK20MtQG8iuKtVBq1xzGv+gypm3eLVca8rZW6twqBG81wrcKLsWxlVo4oc0f
WeLeplIlJ9jaIglEOdety7dpZCjA/Lb0w0g3GbbZDlILNHe5VN8h/r0TYcajoxpSqksZVdUJUxWy
GwDUx/ssmt9EjKyvF2UZzMI9D1Zz1hD9ZYDkfZSS7FezhQcK/+eqqN/ayTxFFcq/tXoBQqwHAtCz
bWSTx7zhxIgMEuKsjGiDxa056+Yh6qXHLpVpYXp61rLiSJLLjuHGiYCGm7QNT0WeHuK+uQtjtnez
y/Bxai8oDa+EUt/X9KIbqPsNDLBInFzORc5GltPsPhkJD9MuzaqnsuoXz55c3lli8qwQHAPc2h4R
8vTodj2Ou4qyfCxr/s+T7GU2eoPXcSbGZ1A3hWNUngvQeJst8ZM+fUwtwHnoOElQLuYpFsXLvPCJ
au5wl0+9HoRjBZIXMoTRKY+6aX3EESrKJbNRTxsycqz6QrAAgUrqt1HjYahLcV+3fGETPZFv5X3H
EVE21Eb29ZgCYkdnvZGZFMAkRrjh2S1/VVSS8dUKiWNr4U3wopEV+JrbF7iCZRiCeiBXKWEU5cwH
c7Lu9Dp8jhlR7do8+SgmotVCcyJdeVrLPcHMD0Yp6Yo2FHjiLWRy099V0meVxHLlT6ok/yP/n0sa
gz9SyPAHf5RKuvEPWiNeZu2f+IjfSiVCcnRKbIzcP2KAf/S7MiRHBR6l4mT4UWD9NvLBxWDzgghh
0CsTxfkXPIc04r8USsAJWUG51Eq4JaAB/m7/04dkWeVrSQIVC1E1Sy7sKPOMcQl++mSuv4+Qfk6/
+T46+m20xN8EW4Vs7Fl3kX9CRsKvFRnJCBn6gGy6tiw4zT1adzOw1oGsKEjFFcJo1GM2W8++unKX
4aLJ6gdbb8HyYQ3zJvIFgqzVstPYWq5Pp0FIyIKjWLEQX/LGP2OTqL3CiYEmSGFL3OV3NT/Q0+v8
ulITkvhsiHtOoze+o4x0vmgyEE0gEy5mz0XSA5C2W31uCMQgWYkDetzydvf41OmIuwwyk20+oTg/
u+bgIhw0nmOTkCtWPHeMmG+VYr5UFOuyT6jf1IlFMbk6h9aFKRsWEZ2W9kC6YL5Ro5HzUbKnhrG/
AdgN42V4cp32gzLzNSqWl1YuWrLBJhhzSa4tzkiBe3hr29ZeuGELuKrlG2rbh0pE+8SB/JXH8Qkh
1Xs5xdl2LJBNipHQ4byaa18ZpDqDUTeayPVVKwrZ46ZXpkP7uuSg+DGLNyJ7HWztoe0i1IXFsEEP
fWs3w46Zy57dioIEiBSFCXIRPjQCE2LdulMW2K1Fz+lku69uz47DmP2hoZfvBhPyJOt9By8431+6
Y7vxzeFW3KjCOivjwDFZokBqKuFp9nKpT6DcFwJVp1hLtqgSryGnp1vwuTvOwHMUhdGm18ydK2vj
eMJ+rQhr9OvGfWVQs0erdVuV6+KjpH9MBLbACIr2xujzu24aDppFNH1rqF9U9N6baFoec3ibZFys
V/qMr6+LUyrutf2q5fpXfcpJR6H+qnL3gPEXzSq6TqRaNwWRKFTW4sI2VvSRefllTWtO3S72ClHd
ixE0pNnY2X4ajB36JCTv4RYlBjxvHjEsFOYUo3mOmzc8QFG7XR2Fa4vOgFJenbNk3Cx6C2zLhDXq
q/a01ZxJyi5ags9yC6PbonlqyGbBNL4CczsklrYdVxZN3D31+JhZhhSHTABAN1YiU0FnLfGzVD8Y
bEo0dFa9XKM5zRshuLdapnw4Ll9TQ7BlxdOIHGhkatX1GBsnH0CXdlAKC2HTNF44lLu+whzKQhmM
uGNMkLpE04tI7Q5SVH2OEjX0OkgOmEE3sdld1CkJ2X0Hxbl/Jh+GJQgj2TFVyRmozpnglTXK7BqH
L7W/clgptZnWxHGAlwPF3Zh8FROXMNYeYzMP2i2JFrsZumVGPK43D4hjRP3MLY/7+BCbLdEGyn4R
9tucqq8Y+jPPzhfgwPlrbt6NU4dMaTjWFY0P5C88Fp6+ZaUVu2bP2sUIJgxYcFy3rRYjCVvrcWfY
ab9VNYRy0Wi+lqa26edq8kOlhUI81btBK6+WanppqxTB1GI+9r3qnGuFBJV7OUSKHLMN95VO4/Lf
jtFfEdzyFOW6kM425ALsD2Tc/C99bdcZZriI5Xqi5NmYu/A431XnQ9pvlLfyqQ6yA6KUTXhCSzz4
6c74ThaAvB59VH9wjEu15K+HOD8eMrnBegJaiPW7RLA2xC2iiGG9Hu23Ojy4ar9x51e8bt8rir/0
c3RVQz4KpQ8znQzx+ql9d3vurIQgg2stuSBEjNLow40OjPr/y8/59fb7/nHyeXIHamTS4Uj+9ec0
7HCtAZ3+tbBOrbiqDbZ65tOfX33mH31nP/9lfvdDhlhVO51g9utx2z1iaQ7GvfqVdgOD2plAy2hz
2wZILbf6/uHS8fPN5XhOto9dEAY36XHa7BmBXgCl20R+teXfweOf/376r4lo3z8ESY2yDWyRCFJ+
9/vlhDGRhaxq1+hRL8MbNVDP2lN0JL+IKYW/bI4v2m72LpvttLcsrzgBdr5BqLedNrn3+av8vTuR
D/B/HrcF+f/4VQu84g8WJ/zBH4UkgzW5m1Ntw+Tm/HVxwhqQrxDOkI4vlkLzt5mbS3AAUXAuMhg5
p5MCoB8zNxhDqs7CzwJHgArlr0mJYGj8cjhIKRH/P5xMqgkNQC4Sf/cyReFsKdoIvMKsHifpXh+x
sSuUvjA0u/aaqDDMKFyWz5ZZ9xD08WH2NlZFp0Dq3CljCSAHiTTJiC1XnfmEZsCGwuew5NB0/Dom
quJChvpQFLUQd4YKeqM7eg2aVnQD6x1GL5YpsxOzRLEfXCz83CrlVkiMuY29n3ch2rcY/vtkfgon
MqHHtL5rq5jphpK4e02NvpTgAmZDPSGZvSSUlLm2JAoQ+6ptF4tpXg1uIJ+S3SL5AzCATshNXsJe
P/ai7ghbGu7UMcq3UYOzaZhwd6AjfhcsaPa9ZBy0BDtt3Wr+EJX4wJGc+ihpB78DjeDOxnOpV+Wx
HnIcoeAT9DG+iSVPgV/zi1sWVxA5N44x2p4S47h9nMnpDjh6dkDkMYLW4g1h5DaqEBCGSCNWq/gQ
uRbMbHq0Kq93ODq+2u10O4ks2rNtcTbFaAEpxYvhp4kigkGZr8Cug9eP9MckdEA3hQyKdK1CCQxu
qKwn5MxltsvHiUDc/pUoIbJUDJpa/JRX62pOJ0ddHp08nZzruWNlUPfziuyTK9G9iJX62zrEFhb7
MQ26dCB7a0Zcaq75vCsSBF1NkrqHulniGyPTH5BAwjogIGyvk7awEonwsqr2pgYy7g73g8ijS4Yu
9XFVi5ZgGCXb11YVTKl6qyFkochwEOagaNpkavIolU6oeQdnY0h+lBGRH1eLevZxuHJ9KtV1lIJ/
Fh3R50K9txXWdlMKIWSgMcrF0RxKPmLWaGE6P9VW8tU2iotQSYEcaA2WprZnbqAMb2bRoWcxjRcc
iq+U10QwR/Zucc2KLWC611V0UnYFX31Yt4pulDBKnO1SAs5PbSgl2QUZy4QPsngn9PCugDir5pUT
jAMjSGEtTBSyiOxNJf2iCeXZIsoCP9dtHvcXy6jcI5977bkuaRJcwAnKqZnbS9UIH+YyPS1TwbcV
6o9RQdh83Ib34Wyf+pRPqNYjc2vU1K2Z416WOoZze3pgvr8yE85ToBWU1IScvePgvp3a9DKSDNZQ
8l3s8WrSzFtGnRC0wwQvl3YApuiRY3KMmKoOYjrVivUeLf2jbFei0kL0b13Fybo3GHTXKiiMrFue
rQHqfhrJ8XmCkpVjDslBo7DLlMrkkOA2Br7tc9sVR8Mdz5lBqrO6Pg4lKvqRZCTpGzpgV5dxjNJP
oOS3iO7fyfdDocuAdrMKh7CL1AiQ0TpB2FddwIa32BKls4fNn2zSukiJ1yK7o4O9oeMqkCcup5RW
BZk5XlcDHYje9Op2GJebSIU6ojGmVvkIOJNujEWc08H9YgmNZ8sWD7owz4ZJ6IExIBIfl5rtnzzi
WsIVILHf6W65zW2GXLpESXU4PGDC5fsCgZiWM7mKip6ZOs/bsEZ3mmq+2wXDvkh3zjAYQ0IuFGVL
/36r2fg0mijTCMay33VS1wKtzJm1ijpYDPLRikSHOeAsWyjt39p+De/SZsUR12r3ZTKWm0Gzky91
rFwKEp4IUuCMSJKnKR6vWjfeF5bzbaUEDno0kCj8VRwXTU2ya2cp7oa+uXgqsLJE51WPcGCKsQpY
858sp713JUyjlVgNsjFfsQ1D/jVHA9Lk+hyOYDXssXvHy9V469Bem0l+GcPrMOB2zPA7NAnywFR9
zFc9yFByBENv3cDtOJMZzQJaYkBSeCAOXBBVYZHbSlQIadcqlfxwb0ARASV3JGPtMZV4kYx4G36b
9dmV5JFmeSwsML5Tes3zwIcAo6SAVQK2QQXcg1dkBEOHDHaggenvSggnGokvZDWeTHV+KHW28qZ1
LSCi1K5ZsqTmrZawFDsXtGUSoIIVjdWLhKqUKuAVzljMwPWe5IF9KwEsdtFx7AhyNyWchTgSZHaf
wJY6PawS4aJk5Kp9Ql0k3gU/kX7ABZD4+HEZkEsMTPa/7J3JctxItkS/CDIEhgCwTSBHJpPJmdQG
xhHzPOPr34HUqpZUXd1W9ra1LCtRSZGZiLjX3Y+rKAvAIQUdGawJFljMP7ey7+s9bih/fSvbEB34
TzKoylf9cSWzv+iSiw/7OCCwqsFt7YcMqqlfHLxU3Lqkyp9YurF/eFks4PEmVcBA4Fjffbut/biS
mV9YFDogxSyMKQwmfyv9Zlna71cyB1OMA9LMEiY3e/23cTHJyAaBXLRO/tgcgrbq88t20CYI41lf
lnQhRt28tYemodkyC8aHwllop4UD8ZpjIWRX3txS5jh5YZMDFWi7LS4AjzmczYSaa0j3KUgQJ37V
McnyQTVhZigNDW70rJH/o7IpVZ5pDrwh7YZAWojkuiVudksSaeewoc4hvrt05+A9jZRT4sOJRgGt
SFYpwTN8gfDs+2Ekz2FKpY2Z2yxbjGGR4SRe8MIjpK3md9JSaG/kOTWsm1H4LfW0wN0fOg5i2lqT
4THRnJBsX1LsojCOJ47g+pLqycPQmTeQyifiGvmDOqd3nUFgpQjLN20xl8uww6ACH7cm9Mzy/jVc
KvhqxTjJTsMvPj500CNdnQuhArFByXgEBIun2ihL4dkT1C6KIoy1MBAWfN1mT5TgcjVvE3u4imNK
sScletcc6y7rjA/VQHJoMn4opt1eI6pw9uFphimBNKAFZfJ10ukMTIZopwKc9Kpl1Zal9l2VCm1D
I0+Or6JVYJRouxCVNwdx4GVDtNdDKBBmRqSQ8sUZSlaSr7W4oilUnQ56qV37WgeEWw8xZhjarkhY
NGk2mo4zjdp+6gVLwk59VwvHs7sGRIZv+viVGzAZzksQFhfSseAzOkuZNcEl+jtuLZ/8jkPj4egr
76Yzb1J13Jd+eQpqIl5EF72yJhGf5YvNxC8/YXVSbhRBO+iU7G0InRG3S/7EWxr13emtnVyu/ry9
rjFML8SU4tSascK90T/TBXttIkqtglCA/lCYWTlRV+pYmy5hxGaJN3qhWTx1sQYRJGgPLb/Btuk2
kHmj7WgSU5BqVazn3Nhn/XQ1VuajaNqT00Z3cUt9WKQ2D1kQ3oRUQ+KE7tBvpLLnoU2hSFjfTJZ/
R/bqeq46PiICSxDkUBA2UTR5ovbPiOy7iQwzVinlra6U0FONMtlOJofULJzUxTiQeYHZYJ2Ciyqo
7z4UpXUVU2a6KWzYKmWX627Wp7gDjOGI5f8dwjGQUQAvdRNdSqrN6MOyLmACi63qUNc0BRVmSiPz
DBG/kKMfNpPTXjm18dQroeryUUdlnjLphp3+SWPRTDd4cdPNpdt21m5emMXWIhfRNIlhGAVJW6Qk
ZRGV/OVK16AzpZM2czhaT+aiQLHD3PeLKJXW2p4xUfd02z6Gi3AlFwlLXcSsoYqvItQticqVoXYF
Ie/tIYTiMqCERZlz1hZpTC4i2VAObKYX4axCQQPCCRUGTc1HW1P19E1Fa6sGtPpokd98RfuAefDQ
LMJclmUP2SLVaWh20yLeRah4BWqeCS7J7LlXh41xsIxRXutLCxQNyOoEBaN61QcQ0ppZ8SkHvbKo
oVIZ2/WcMF3182uta8+V7eg7R12qGhzrPHd9jn0kxPtfk72UBndg2NdvMMSavWpBx81bwlmlmkJc
oKINuTvmWat/BR5w22Y0tQ70M27oGh+8umOFHJdlDlJOPfXEEdZsdT/6eXI8kBeXcaz1Xk/12i5J
chAmigG1qaucVaYysRGxfGO1nrmiwVCi+oN5ikYzoqy4GpE8tNDTtepmyLnATDYhFEFLaBLlI7+n
CGqePnmRGU/eFIflJfCW/ZTBP83pXcoUI1trFoHOkRoNt6zjN4kpl7huPK/N3N8Ehj7tZF5X+6I0
NgmJFS+0ZLqxbQY/nofI/3H1tbZNam4V4nH+tuDKfh0q9DCbReRAahsAjLSZsxmVHJgPBMxrmWvl
xqrEnpLfI65DYjZZbG+ZkyE7EvfGZDLRdNd17wlAw01YtvpBI//vmgQM1skY5Lswz+f7GfuKZwyT
sjEXzpLC5X4V0KW7Mtt+TznsYqSxZ4x+9JOmzsF35gtahTLPFsw3fjJfU+rpkce+tRVLHueGSS/s
iO9w/z+XXXiXawgPwKTSTalzD+tCpXZjvX2TFZ5Qqv7s7WgjYE0C0yYgP0TZNDy3EXqbP6teUkT9
tiznC731j6AgvaRiTYiRcK3HlQrvgHGbMoGTY8ZvNokrBG4WEpazMHIVE46mCXfPntZY61g7z7Cb
VBXrRZe8FIlyTuvoNoH76KpsWddxLSRFG+VHOlufQaYamxY3tldHFJl1hHvp71OfS0qtV30XnXyn
Iw2EJ8gbqhpoiZ9c5DbthfEYBw8VnikCBM9wkxld+OjSmf1JGvrZ1JWVGban8psaQoOFb2rOmrrm
hJLl9AHgGFpfhNah0c01q6XqKWl0KTBukndPLlJMp67BmWoqPQ8wIegDaQg/+kebhr8tnq4DQWMH
vwjwCzN/zKb6NC5GLDnh+Klpk+YXeqgacWGm2btS2p/DyPgo2aBQAQ9lJf5A/Ns0XdFuG+qlqcrq
VkOhPKixSvf8RRYzq3QW4ZjkxeniVzpp3bLHPBDX1p48+/KusXGCyfowNxg3KLcmRM6kHrP6GWfe
z5GvMRZrxocOQ2yFDHobxQF/mAc4nVjHqE6hwdE3RezMjrbc3L5yA9tHI7R9bjpoVvIwm0XmdmV0
JSs4Ws7wKHT+8nIs8AHHFwlbq62etW/UjTwG2GjckqCKCsBsucQInQPPyYOtGeKmmWz9hLJ0Xw+U
8eF5iVylrM5l5ByB7qOiEiLrFFhUWH3oMDMwjBUjcynFmFJQ5MZ0gSkty4INSX52PzMCHxm/26yv
+KfZeb8OFwCXnUb4bPXl9lBjBgkPwxR/hsKMNsFgX020/xTztsGdodnbeso9MR5tJbkLUwrnMLJm
LjL4No57CFJYYwD4v+r2sJFD8GrL6GholBEqvkrpZ1m9wARd2qcHepJLta8v+PjcBRNrNea3B6Dl
ZJvwCjf1mvqtIN1p4AN6Wtx8Wy+vc1kvqKo8kqSLMC8qj2FfFKoLirWpD2h+w1JfOfR2vynSXpmu
J347OQAUxTN81KNgtobIA390KAa2AGNCEzwz53Z2Agb6Ai8YjHAvT3D0REbhGVnSeZhFngjozuvc
7ivm/0BQ5Bzf63V+OwCe2qDmfFZx/Yi1xyTNK/iXRu2GjtR9aBkvNCWcaeEzV6FVJm4YtRkGPj4h
SWLgmB56fCMsRjhOMMgkKgdbw5HG72/53XE375wJ23J4rGoB66o0vLG1Tn0LTayzjov7fWkTfRHO
5DWOcRTzxO2mKF85W4BGpAtt0L5vosg4tGC5wJ7n2znGsjT1VB723ZlAJ7UP4bwdGSVW3GsGT/r5
e02npU6vgQs7Yd5UjTzSanajJf06b8lemlkx7HjuwsVGJp1MDjuQBPip+ETHGi8I29ZNDHpaGoFs
S3ko5L54W2rcdh2RfE0qKovCq6TElW5iqhlx0NeAChy7P9HBScMpHMXMjN/BXyCZCBKsU3QqAvVk
OtMmzfuToV1JVnXKXHl1rQSHXi0ekyHYt2H03FrtfekUyISzuqbweZTWLaqoy733NFXa16ikwqFR
eDJmwX6erHkfd+lXvsH7cBntLe6C67At8X1nylcjK/rHbO6DVVHFFyNl6B4wqAKf9Xw59FSJVlI8
lb2Kbplck495SUqbVGzT8k5wnlOzoPY5fMwGdqD/DPTfBnqB9PbXA/2uy2BYvLd/VlmWr/sx0mPX
WUZ2gDVoLQhijNR/jPTGF9ZWwmSYJcBCTOSPkZ4Y1gIOh3OvI1ZiO0Yb+WHXIQCuLj7kfy8C/l92
HU0HU2oL+mk0JKDfBvq2g0NgFeZw7tRDQBZluima7U8/lP+g8X73/Pyq8qrg7AxHEqLFQ71k1H5W
X0Fk6XGcNOVZH3DGNDg2G7TwUNdy/RyquPwW58aYXM9FJO1TGIbWUx1YWnJtqyY4UjUbNYIKpduM
xb4KaS/3cTHq0XqOBDfgWXenKT37pgKdTdlPjQNgobhtVWwBUyjWc2XdjFGzo2AFv2k2bvKoFZ5p
VAdazq8UO3lNp+RFAYHSleUeFMQTYgLnVxReBW2ztrV0b4VkwsRYf3KY00YfDV5aGdY2qozOVVDl
Vy0dj1XPQ7Wz4nuw0JXeuPzzngKp7mmlx3QoykM15h+E0EI2zwYqRPbhl6Q+7awEc66OgFuaekPf
zREo1eDRdcX2EeYWe1/1dWzyg44PnGkuv+tFcPA17b4eaRrTovYxyfBUhtPw1kjjMBl1vqni8jIP
x8FzKguTYOSbrl/Ut3UEDMUyAIEHk36ZBehibaNfp4MTuHPfPSmxTnzEGtemZgFM0dpP+MaMG5FW
ELgv8HQZF9ZQG6xcqwj6axXvpAobh8sytQ5xB9Cx1Fhh91TFGuX8KKgL1Pl1ropOuTEH+ImZlt4N
mYOJ3U6elaoGYUmdhEPG6ZS2g3DRXA6NAv1RFfR8CTs4Bu0bhaMbhxBTlA2aa4wVV5I0f/Rn8EJ+
ZTNhBeJQ213ttb21nS3zrYzYtA9TDXLAeLObLPTsOPq0M86LgDoFr2qdOwS1T4OqUZXq44iOTuac
eBdqkNAFEaQiyM691ryKOFbd2mAPgolrn0YJI3DfbiJ7UeN0vBlG0w5rQ1EdXNLdmS3yfR90sFjS
dh/qYb0sa26Dsa28wgo6N/fRCgyQGX1AL2zB78+x41uNwkD279wBnP4xoXEXE4j8jAHJmiJZcsG4
SfSRIgvFD5PLPEtrN4ij0uW5ch9M1W1umPRuJPpVkFqWFxbhwJt1/NrHKe+eoSLQPfDzsCwMz9LH
WQQRpY/zDwMK1Kav1fskSDmYiRqPylJ+FGBBt5TPVrGfQfmwQE5oVtUFa7jRR9kAYyMLbd3qU7Iv
v3lSQN9VPohJdjSY26o7MxjmFRQV3uVOmtwnqu7szXmMz1If7qpK2ylz+UGgck/vSUpav3wXbcUe
hqmMfTzjYzK0gOGi+NEwWjgqPoXA8oFuvXE7QbA9ZgUXNEW5qbvYyRj10wpYS1YTjQcToFi0mdcO
pv8mNc0VM4wb0BQ5Fvql0ZiZazEzKtBySj6bSyj91BTWU2ibHzSAVyseaxVrILHJ0hIUFohf23hR
xu5iaCMS/91zQFxjeebc1LlYk5O/KYS+H4RyA9XGk0rwoCXyubFNVpnqhTMQSLXs8wTZcW7aDfhe
F+r3O7eTlEtY7CVNm6yBtbgJ+XWrqQGmM9bWZX+yrGJdV3CUSWF7rAUH1qLcS2NbYTmhXE1t/ZBB
E1z7WvNBz81Gq8ZHpfkwO96JvbQ2ugElyvVzStRXjj9QxRh3k6Ks1X6yHqygH7dVVWtuHIArMO2y
LU+Jrj9lhUEUfgaI3ucBcbWY59YqKYxygkg569t2KmrXhqiJapw9JFWzqdvhaRjSBwrAnlFN9Wu1
M+czB161qdPqpdLEPqz199G3rxaGpZM6wcIJQnNnyPWiqrcx8afRJpsz587I7OkyyMLbKAheWa8p
7pB06UXNzWhdZi1WJEp6XKMNn3ON3+IQ3kVRAd5aVw5d3zx11EUyVxNS8Bd7GYXBNIxGnD2uQ3mx
1ymp9BpixlcKBJE7GbOjmCZnWAc1IHk+5c2j7zSdZ7RWtuPTbHtV2nqG7PtdL9oB8CxUNp18ynbI
1dDt09LBvsiKipnT3A0kHRdz9Jno4U1jgCGVYkuaAAu+4tNiwNJ0luIOQfmpFuNtYNZyj/XzCSop
NItg9k///djl8vCbtUrFcUdOX9r49MG//HroSkjdmGqr7lzQfyjFVWzfSb5rqLGr+H9Zkn51aiyO
H0QHKUCPL9FxzBq/vlYDIrPVhmY42/7aTx6qaRMq/8NV9L9eYvn/Pzm4hrRK06FLh3PJB5M6jVXY
fzXK2//+M/uPL+I4+MS4sRFZ/+1FmpCkKC1Rw1mv76riSHRD6ff//SX+/GvhR/XTSyyOuJ/+HS0r
i0AY43A27Nus2sxZu+YWklsv8fQ/Xmmxx/x66/r1lZbv5KdXIvxhZhIgx7kiEyRydrPaoaO5t1/3
2WHO5u9DwN+w2AkSJiBwADfqDhLWry/XBvE4160YQFI9CRjdlrwLwospe/r28/vH0oXt/r/MGpcf
9dvH+58njeWr/pg0mAxMTFvMEzYfR+vnSUN80TB5GUz6lpA/Txr6n7sKfkwauvzCkKHDgtBpvcQj
+rfEQ9idv7whFz8X4cnFH2YBrFhwFb++Q3RFGzjnk+QK40FbH9BDEP6jPjOUR7tIrGGdfduodFVc
XQuwS51GzXqd7cb9XvVhX7LK5Sq0ilnNhMuOpmRZwwOpvlDHtAiffN6BFHFRJoxSrrlZ419NCRtw
MwaFWWomtTgIh8hRV6NCKM6xtBewauwG6+SiVOdzLnFVW379wNJ4y2N63nT2+DCrwzvmrxusnPwF
+lzugtHcYJ4pdrQRXfO2/+yLWoOtneHrEOxFy6FN8OZnZ8XQETvUqV0M4Fd24V8TO1h2i/iPAgnV
cKztXS9LDf4OwWepPRvk9dkfkp8GrJJCAK36tWMa8a4kELZ2auJYZuHLdVaFTx0lM6zxUX6ChGKU
uVRh9oT5UuimKziNZBvuwsYPwAGX2DlWGvW7tHAr6Y74OcZegzxeI0R6oVZ5cGO11vgo+5rdgsWj
oRkj8yqyNc0NRCROZL2ZXgztHOYFIm/DHUlWVrvlitZswiLDndJnvLQW2xyhVbuDYjB7NC1jQu8F
VSdcXptDLGrwQV2rX9hljUqWORPeqAbOZXQwLEVSHZU0SrLR0O24pSTiVVQ6xX4YtK0qji9DfBNE
lGKvJQUYUk28HJsb1cyuSdDC1/vGG9Tr5CMtuseqSY6FqgYe2sM2bannA4ZyWTvKZaMwzYRZ5Jmw
wMcQe5xWP2tKcowHYnaVRrkEOtIaDebNYL2pBdYpz8aupWHbSs5oGhFoHJBL1E2bYTxfEl2mDTMZ
4JjE0tUNKp+Ifu27jPUuF+acHaJmr7M5eJtHHPg+CFDuxYtLKAOBYjo5GnRtviF417B+AFVTXtd4
ejiuO9EuOfZ75ocRJEpuelEPo4tuIn1FafqplQPCgmoWO2rcCUPYwXqM+JMxf28onLWFP4hKu6Uk
x3QSF8oxxO0w6j11VE+WOahEYFB0pjLBhKK2FxKLtNuaqbaO0kZZqZn2VY4CZOVU3DIVRvimBoc7
WGNBYQxRJJficuZ+gEXWR+YH7/jKUpxdqYsFjKusEp87M6fTnFCtUDuLtdeUrQtR46IrBmdj89ZX
hcGFUKXl1PNNPDJE14qZOHEMoe2QN21x98/58X1XRQDqr3dV+6z8qKOX9M8niODrfpwggoXUkgPA
FMaET3zr37sqIb/w8BIWl8lvnEC+6of9hAWXrhNopWmOux+Mkz92Vbr2RWIHtomcsWVCnPpbJwh2
lt9OEBzlBsAWtFhi/dyifrtnWmFV56NSTZejXoIoE4lKfqq0CGh9qvOcm4zqFI8xHerI1/OukEky
5KxbYm7A0qDJQ2OpbOM529WityaYvNpbAH/CLRz/hTTYLU/S7MypAUBolpSNmCJgX6I2l4WUn7Dz
mdgyUCAih9uLVkhotIH5xufQ4gEozOPMYnev5GnLughRdXJHicUkjoP6xPMZfR+tBKE/ucDHlXtN
OUyb2mQbwrGIp5WklUuwC+sCNpuT0U+HxIyOdtESa42o9kkUhxU0DkKb3YyEPEy332Z0LKTYljGu
YkfgioSIfTUyUVV2R/DHUJ5Tbv+lHPODFXZ3QoYqwzKCAsJF6QbOpJzqWL6BU8ItW1hiCwzlc47j
r6gTeAiNXmT7wbf8Y2nE0z2inI+KHl4GjV7suzD+aINZe2ZtgmEBC82ml2nlWU2K+XFaQCy0MDsX
mCnFWg6qcuCEU49mRJY8IvRFlruTx9qyrm3oc7ds0vZDON0pJY+swsiNrWoX15ZEXSWoBnqRdl3W
G2wB5wShyFAHiNFTohxF2OGVnerQfO7LAGeIqicXrU+7wBYqMHUUq7muZX0V8rvrAVZHl5Ng58Oz
Rvg4G2L+Jse1HaW9Km2nwh7DYUkrQjtpd4rWpdEervR8qPvcuYowXVY0AdkoOHSY6f6Vg5iDmJI4
n71wkqOGr0UE2XwLl0aM3j9Pr29PL5PL4l8/vZ6715c/P7mWr/nx5NIEW/FvqVNrGUQXNvwfW3bx
he4sdkwWtNLv1+IfTy7IIroDIw2iB3/EWrbfP4xz9uK2I77C/1psc8Qc/saWnaX9b08uXgP6vDQM
cramFOK3sS9teTCNxahetTEKnpObW5no8MuUblmFipJm36HYdcT7UFj9ZlMUkWA3axyW1cRqyFlN
Rdzuj3U9g1uyE7S5QW570gGpPZaX9awgLKsGVqY3snko/RmqmOx8b5bD3vFtoJmI42UUbLvGT1dI
cmzCBuN+yOudEYX5XRWwngzK8k2yQyu68h6Rr3SNjIimDKq3dEJwLRocadUw7FCPQZWyv8yvVd3e
itgwzoouL3w5OOt2IL2XDYrvKYK8bZpSrOG3L1YXvPkZSqw25Sr757La2znru6pQbsCZpmenrSFR
ytBZpTpsD39il+lH1PwEVHYCy5hoDwP9XDv6exNJaiiqk92Sey3D5CnS9Lu2cIinxtoHOd1xDYnk
ng/sOqITuZNKSDZX7PzKeVfxq63iEFqBM17nanzZcPHO8uAinp07EaP5mjPO3lpT70qLwpKZX0KL
HcRNgYq7Wmu+TF1DvMRqnsBpJysIKWJVmfhwDfVsp4bwQjzrkbOoqdlgD4dpIgw85eUnuKyDKvOT
PUcXPRj1vR43N53EBz+aCMCMOpjLeKzHmBxXVpl61kxMuFKUDhXS0eBjO23aJGBt6wwcOOx6Z6HY
pzlQUhpd9lykHZ7LJH+rHv/LAnBXugRTWGSCECCxWU3aZ1qYE7aNb9z8WHNOFJlAsc3RNv0EfGZr
UmWVp2QgAvo3Q26orgqOf1i4/LQ2wK2ais9sYfY3ojh0tXZC4s1Zhc9w/SMD98vC+hemso3BTLo9
NQCSOgBQ8Z1bd45baSGUpqUTtAn44aZkV9HX5weLYgEyJ6/gZYhD6sbByJVrsVQQhNO6o5Kgq9jK
5xSiumpb63tOGdrus8PYmmuDQoNJJFeGThkmC0a5Uik9UCk/MDNgwu3ShxBSjMAd0+Tb1o5+SWeC
Ynfdqqo4WzpVvckoViBlva2S+CZiDY0f9HlQ61dKxgvOVNF4E+UMdo0GX8sB3x/FDabND9c0lAP0
CGMrl3YHJHJwwYF1VCvxhj0HlyhVEKWuwcAS5aZssJoWLUrxNPb7BMeO2+cqLN7hNeRnjahF1DyX
xBcKrXyCWXXpECmQNqb0UKdpT/PfWnXYAPdHb06HyiVAXNCS3V1wDFbuxLbdzSfzvR3My6GiajOz
42Pls+eNyox2a23pI2i+2nF1kWX5vUjmB6E013x/nJAGl/nBuQTSC0dY67xg7tGPRHJpV0yl3aze
NI7+dWqdEgRiyDA8KuOBwjBlT09R7eV9dOyT6tYAgxiWyY0tcxMvCSvdlaFjXvMt/paZI3qX4WGt
fSr/Yp2KmSwD3KHiuQFLKd0K8z/oNytxEbupmrMxfjKBXcUFVeVsSlOo7KgaYwC3X1PVlW+qb/Ys
4n+Cg+L7lID2+tfn7MVHnf/5nBV8zY9zFk6XFJJUJxUo1rc2lX+fs+oXuA+CC/r305T1049z1vzC
ygeJWajfFlM/n7PGF0Jp5PyYvqX4Bin9G+esxXf2086TFZPDths8Otdfsr6Izr+umCxRBqqglO5k
8XxeJaR7yBOFGo/SynC2Vm+/sBEZNtVSfSGmOebDmzV2hyHSirT4OdIwTl6FftFVeyNqSshQXcyY
TNqos84lwt1wzofyVALyucPpRGAj1GeLyMjccIUN4696as7XUz4F21L1NaCkvGf9iXE3jTzNmCmS
IFwYeJVJK8fe8JWM8JBorbR5zkJyOXRIk0zBNKV3somajZaPkThkGfXSt8HMVRfN2Y8R30j8bx09
UL3Iwp019q30KK+Ot3weKwq1fLHtEynWw1jNW6r/6gdAgR0UKGeS81pvuonWQc2Zx3XaYdtihlpA
rLlRKrhMy1ledlMTFl6pFfI2knIZ2K0SG1c+QZvhwG1vEz0lIiepHL0aYZ5p28riv6eA7uF5MBwI
lcSHYo62sLD2WMp1df3PVfj7VZg37V9/RO8+wpfsP12G+aofH1IuwzoYF+reF9Y/KsBPl2Gd+K4k
pYul9V8T/r8+pIYKLVjj80mM7rtT5d+XYYfPL2l2btga99i/eRk2xa8aCJ9SapNMsbyWA77+26L6
Z2WCIJmupnwbV70TJg3HgA5wHyvo0nDSUXUiWgoBsGzCrqeYZFz6UIqlGUVQkdKaiXRLXRebIJ7u
bKWotl1MCjEXxKsoj1zHlK0E32pXIPJSwSIl5gNPp5ilYQF2A/Z62Mpa+sfQmOQ+HlFtK013S6uv
L4ETdlTVaeFmtMRr6zefKvvKXTnkp/pbOYwssNJGFMZMFMdYS4NMtXTJBAmtMmpKJWhtSwb5pXMm
oLFsNTlohBnflT0mmzjolJ1YumriDPQWNMB3kWsjYd3ep+Ivj/ud5PG0CpbGm1aHNEeARVz5Gnek
cWnGaZeOHEtg+Sx5+TlK81VtUdIyOawOZ1DGq1q3K+TQ4TK1fM7M8ICbddfWAGDgC9IaoFcXMvAB
BbQ9kU8/vilM7H+yYEJneKglfmfo4XQFAk7BuYrvEQKLW4fSX6u2cl/Oza1T17syVO29ibW4HhIw
KdJ51CvrraiLU8VDeQX54sBa6Gy2/l3Q434ZuB/0DMh1aezVzrkEI954WqOAa8nx0ZRp8RQP6UHm
0fMYtw0XGeVzDGwsFq2zidL+q5k7H2VuVXvsFLTy5q0Ns4MfCzcvlj2wPo5RxA4GwTf6CrP9bE/x
Q6LiYRkytq1pzkCg2Ci9GVwXbvQNq25A5XJ0CyonCALCw5uCKKRRsnooaPXdZCosm9GWgdeo412x
9AKlGinKqKfYPp9FvySR4LYb3bls2Jyo1hCvmc1YGbdPPW22mGuMja+L99JPsJPTZHzIiT77iq1v
gtzqN3LUffooGuLSvF23XELZ4PpGRvRCVNhRDX2vdI6zDeyMuKdd8EEo7M8JKrCRNK96iQUXXd9a
ixgSPqfFJ/hW5G11GexsFkllnqSbaAbxFvoE5muHy3fEZ8QfQfP3BYFRH2ainpI6oTx5G/TSgQQ2
Xum9v9PMnGErv5KJvVeUaNNpXNM8f7h0+Dsbo70tqZ1xJRmqJJOPlkOQPMcrPugY/kkzbxMBWwZf
TZO3T1bKwgl9mDtzXDrrhjJE1m2ts2rjfFMk5aWmdduGfs8m6PZJFRzbrMx2QmvcSJvOWtrvjA5B
AB4b7/ZxvMpSbT7YavocNtHJlCWCijpY+7iyjpqTnaK23KZQFJkqcEQWSUIaR7YRlnuB0wA1Y9/F
0VHrIkp7y+dUMFiTV8PTLfx7wzIfu7q50hhwttgrHSLUgkxBCCe4zukJCgMLj3HHVonCs5UjwQwo
U3YzSP9xZqhHaekaxi19Nbd8XZDB8gza1ANfs/fn+qPKdWOtzUuPASAklUU3ri3Khhx+rG7ffkt1
XbfDUicWddNScmR4SV/LXVKpn0C3LowoOkaLn2pM8RaneeWpWfQ8S/3Ox8/u1mQ53KplekxicQMc
9VlQ/rECWXqtKTiAxGx/SqfbtjNSUJUj1lMLdl2H3dbPtbs+bC7VXmHhWdoHKptp+7ay6xR6EJF6
5RAO6X1ktqwU2/EgJwLkQUo2d0RBI/xFn1Y+JHibMN/MKm6XnCSOSWszTaLpJ+6Gu6oM9NUkMLRR
PYEfJ4zf69K8CgqBemIPs2dYyE05WImLgYl/19rkNQZSInPFjQp201rp25ISpeB2xPvXacrOgVbq
OFm/Mcr6gJuSPKugk4Whbtrqg2T3IAtzQw3xU1arZFLUlwphaztqYefaQ0/sLrsHo3ycrSUKqwFq
7o1NHQcUKtkXUVnv4sanRY83kTvMdECizmwnS7zNorw0A57Zo6OvJcUMlag/2ji6bMfqZR6DtRXx
6WymzoVs8VzgUPMTHHHjsLgj1J3V8jQN2o3R8yYAr8STu8T7lNqemeToJ5N1V3bRJQMZ3EQelJEu
i3WfWjs+3GhpMwEHnRF0bBzC1DN0AWN4SHnf4pzHm4Q/D2+KxgbBqa9rs+/Bas/FVp2CF87Oel1E
IcDncCrW6Ph0r9uKjR/K1LZ1Uz9FibjF+YL0ODv3wmqf4yT0SZfb46ppeWukVil4gsDO0OxXHVzg
tnbqDd/fax1XWPrt4r3xZya1GLN1zt34lCd46310NM68ywEww2pYsqAOlWJtXwMMV4q1k3Xv2MUw
/VnVOxomYUancX3FT9y294lzSHZewRTCuXB6DzXMoNSmY2RteYJRVXEKLZVPWQmVDVw21OdgNxE5
Yzn/qmOZW2E8vJ0KQJGREn9lP/5mDpZLqU62peF+yz2C34Hf3wqTCHrVV9ZhVshstJTP8RCnyIar
kRuJeXKlIporZza8YMo+EzUpXDsbroCP0uimBEdVj7L/Y+88tlu30ij9Kv0C8EI+B8MmwShSOVxp
giXpSsj5ID59f5DL9nXs5bknVeXyoiiRAM4f9v722lPVp9RIAmEx9owXxNhodc6ku3Bf0whBWhVq
3/S6C24aWZx5mpNKcLb7aBfhIdDWWRfJg87Ior4sM7bajGpiPSTFD6XUvNENr47+i9b4X6vLdujv
6+iLuAjbv+h1edEvZTR8HFTWDj2t4eI3XLZNv86U9Z8s9roucid3IWf91uq6P1G4UkEzhpb/C934
ZaRMF7zMn4XJdk2wSvtXnEXBbPoPrS5LN4ziLFjhNsLI+X2rawSWAtQmuPhnzWoesCRnOeaHKWcA
GWkd9WXSmjHZeKkF4N4d650+ZDe6ZpGcaWXEf8ejitdK6AEWDOm25NuUDUt70UMY6ZyWxrQlW4Nc
Sp5lZVbO6U2J6bpCQwGN4mUcTIUq1LqcXI4he3Fqz8uKOKyjt1Jw3ZqLn5udYUSIkrYesXqjg2as
Y1IxDtjAIyP4Vn0Zw0s9wfOWfRnGU6Jo1vniIu/RZeAoj/ip7rrsWH+fbW0iOA/mSWzHAbCQbNgQ
Is9KveirN5PIn5CKHHZ+HqyNqtjyrB8IS072daLtCahXCC6KN91qEioEAPg4lB7iUHs3z1UxnUsb
YgqmfCaIMyrNLLg3anmTl/rGozxK5htDuQ9DT+nImt3Gneid/2tovxpam/7z72/EO/VaxG322v3F
3bi88pe7Ef7B0s2iG/p1V/Pr3YhbYlnsoHZkI8v9+NvtKH+CbOoQRKdTPSy36m9NrfiJOTKdLqxU
HOWm++8I8V/og9/kdjS1UqelXm5+9kW6vVAdfmxqNXSnaYMQ6aqjpJvPiVk5yaVhk3m+USrPrgVP
cLXOM+fS4TTkMY/jDplJg96kN+Az5UZ+qs3mOZvKY9YWt2BMfbVIVawkOEu0Kzj2mO6iZgktPKt4
Ok+RPjwBQ/7wYrIaS+TqwHbcEvf6vDVySoGI07ZDMs7kqSMTRCVnhZZmdKUNv7IvjDcTodDYk0S+
HcJeGhiM8ZweUTCrkBpeQ6NDKimFT/4VhB18hWK7fXUQS052Lbyj+xWdbX3FaAdfkdreV/pTswRB
JUskVPeVDtX/nBRFZpRol/SozKMF3BCvo/leK5sEPLngfKubUK83BKuBAcqG8a1zifIZ0PoLsHpr
FQ072XvNropdaIFl4IuhZg4ss2FrdeUZMku9NluqgyqKN/WMHz6iQCuD/sHUg0etmQ9KaLc9uugC
3JSNd7DX1GkcnCuvd6eVrNwlh+4WsOgrZclF1gmNTrk7w04tQDFVexnh9m0847bvtINrmJsiYAkV
Vp8muJxcG/ZGrI6Dm+/DoD6x+b7MzfGSLJA3fWpveUDvzcR9SKlhIkfsAyO8cqO+XdVZdZdVsFuK
JfJe3w1Oe9so6VvjABXABqbPRsOTr55sj3CwqF1zIloS77OAImRn5AMO3WYo5Q7LBVyu9hzE7bVH
AApuN18gY64oQgoRXc5lfgUDioh36rLWJj/FfJqH8oxDc0VDw2LKXlfJsPWi6DIJyksgDBcwqLek
eh8TB9Ocq7+YTrKVsTpXlnoLS0n+HmLwUHj3dgO/Jzd2dNUnoG1q1Xn6ZYdNfKqTy8Y1b+ppWNN5
PDiRdciS5RuGCl+l+aE10DPADvOC+sOzW1Yi2ZNIogdoabcq0rZB5ZxA2G3BSlzqSZ+hoCNW0R7f
en4J3KmGT0QyQXa0hYIkQcBVoTC2WjxeDGN0KFumH3JqPhph3gIIum2mFM5O2Ds3wmmw8g/RpRvY
54mMl6sm05MD2abwCvC8LOJ3XOErZ6yvIM2eBoNLqvPsQ9a3GvruofKr1vs+heOlPmIMya0TFoab
sWYaO1Y4KbJM+FZdvyCH4vKzXGrUYDfW/bTVrACkd3YevDHayry7T2kOLG3hqtuYjkzARihI4Jxb
OcWnFjXjYhwGtBEZ58C2b23Q5WuM9KisRr7xPvGuk0rbtSAaKjyBTGhSba21ItnWo3FWSbdLg3Dt
eCUsYUIpuDr4tkwIQl7XXoOGn9aF3RKnRYxmNLUXWR5f2UF6smptR7OBMhOKvImmY6jz94qdztac
NX+RfPtJMPFhKffGyeShBIbFIBrOarGIEoN5VMj7u3Wpm97ajIjZwbdyQswClU9pFAPlNyVYJk4m
HGEtny/Z/Z2xGH93rZpwQ2nug6pgEANnZcV87BYX/6Py3KPmhHupddk2Y7FKNuFwdjy8YL3NEyDX
UIh7VdH5Zh1gx46reov34VTWxrDCNnaVpvVD7+IniqLxPnQdrnemXQUB1/iWroKMjyaqAWlSKDx4
6BrXXsxSmup8OBENkV1EAKfX/539X2e/xYH7D2f/63vzmn8U6i9Ilcsrfz37UXfgYxAc4gLoEGDJ
3ypx4yeJqBi+0c//5ndnv7AYF0iTPha65I8RX5QFhsRyiVKasei/HGiTNvPHWpxyHxEJamHdXgbv
fzj78YEV7VyOtIIZJAm7i6ut1UfJZrFE5WJUW2SteIphw/TPQ5JfVC2RUS7itRU+ungdsDbxYRUZ
t+GSMSWdfJVPhVi7eqxd6Gp+dZZIKo9sqsGt241IGA1XWXBndZp7LnpSNqYev00F3ucSccwmCaNH
DsvNgDl9G3vySK78kefzZzpOj0OUgypJr+qsIafV3HNxL9EXHLTE11d+kiF5mycr80edZ3HodRGX
vvuRCMQirvaS9trH0EdovJaJE7N5oEtl/p2RC+NqXYMK3XdgasiLHhbtHeXD2xRRWi+qGDrpnlzM
jnFcN5WPUV7emC679hL1gZjwUtad6nHj7LoQBvTBrazbunXPpJl9zMxYp+LaNaoBZkB6SXTpFkfZ
U14jhWUtHhXOfe/Q6+vJ5xTalR9n5o1seHhLNtfMqtqHUlPmauqYIXVZlG1HxXSu9iCKNi4MAqgv
Pr5LDkWpM29FFrHRC7qouWQXkdP9r9uAnB5NuS0GoXCfwqXmyLd2yJOTWwfWtz+alHHJROFlxODE
nVKzzli44pUoBwx+qHwYLDQYbMdsZWulvuvG9uDoYLUbS8Vbm4jEfYc9LH0swgV+Zy4cPFJOQOJl
X3i8jJjP0XLJRKWz2RRA9HCT7kegepFaGO55q8RZBar1Xhpnjr8TIgIB3zMyj47JCLZOixJQ6MQM
tzOxOiFKnG1lUwDksxk/yEE+NoBM0Q15L2k85munhxox2Inpa1UHhmKS914BpzN3dhXo5l0GpgQl
pfGgdYHhd1BjNmMwF8iSUJSz+a+xtJnFVbsQNpD/Et7Wn0cmT/dcAYDcbVEuo8PxuphQOchuqDBl
9m8tcJELkZqM2JPoozKiEZbEpJNra1xqqOjVSifTMdccA1K86vZNFzR7s3Gzu9qts6u+FMV9ak7K
r8B9EvRe3ZdS+Uq5AEy7WYHUcvaji02gA7YJW6UrV6qcrgblBWs6afgHTH43TmwOFwp163aKA/eo
Jmz1QbWuo+ERTyTeS5xo0J+ICQttb1qZo60xKveGlzQZBtgWdeDHUhU70ofS99RyCLXuBjL1anlM
h2jcE4kmN41ahknNTAYL2LXmZrAM9lKhJc+yny5bjByAE4iDE0swHIi1ZjsuYXFqiY3TJAFyLRLY
FXKn+b/l6s9DIZMxyt+fR9fZ6/tH8+ep0PKqX8+ixX/PgeOyw0RU+IezCKmgTdoqXerPmZK/KCA8
5kVMizBI4deADc4J9stYSBI3aTA6XkjsfKPIp/+FAoLT689nkWMY0lxMNqyACXD9XR/aT0NvK1sM
V2rsU7yS6VPZT7diwXDivbzKjTp5B3NS4DG27i3Fxq9nSHonxfAJymtLE20zkQbxGcqaRyDQz1yE
2SZugrcmBAg6ZgjR+q64tb0shA5WBruBIa1cQKJRJd46K75z+/kpWlCj5gIdNSt7PZZRvmf0CiAO
UXG+IEotWKXkDN7xXv6gDHanhNT45gI2TWSXrANkCAxCH+wFflqk4feklWdA+De6PV5FYbtHrEx9
DjfVjHR9a8MxxtnYX48m1lnC5tyVWICrOZoo0ozAhbLtqrvkQG49dSzgDWNBtXqKZ0+64Fs7bBUb
K2VjvKBdywXyGlT2feNxZCEQ6Sxr0wG9WdULEDbOpwOyI3utFlgsaUyPjvc9pyVtTECgAGU56b51
OrC/KqE5J+miX3UTc2K350B1xumj18EwG2IrLMyMnh49hgbZRp5kBiwBWduAbEOAtokproZYXIoF
dFs2jyXg266bLrBHIPaY/SUSA0DRoQvSG3Mh5oaOeyv5hIKY3YlWNtshyy4bILturL+l40z+MzL+
FefOjAdqeMhB8yYges0KVq/q2VpWndGC4RcXBp5Rwr9Jp5j1xxg7OULUhI4weKiAAFfAgMOFCtyC
B4YE/TKCC66s7jSCD6ZI3+rghDkc34kFc1bOQhpuqpATdaEPm239KcAR6wuXGG3Oma/pNAAsrkki
D+xPo3KwNvPnDFCNKwHe2LTju5LZn5vAjdZDjP4JjJumKF+swn3m7KOFmcZXloVcXwZYLTaw+IhU
STeafac7fPIaiybNLHdAJo+dO+EPUN+hnoGciqx7By9SGMccEkF9behkmBppP/rCY4LZaFPiaxGo
58mSS4xd+pgoPqS5YIDiRK1D+2zeAuzeeOwuyf1DCtMuIGnERuGl2UHWbp9RLFrcc885MTPl4gGL
QmqDWdlkc8GnnobGOwQpdU4p2nGHjYh9cDfYpKEaCZFyUK5jcNdOwkFFJ1orvFRRkEwblQP5eugh
n6UrpwdwhSs5SO07WAMAKbTQeoztZAHodnfA1jHmY+kfQQb43tD7mUwSXxTejri6FsGulL4amuwY
czpv8h7ZfjVYz2XvJBuo/tUqi7iki0G5q2gE0IgXcU2yuR9Kb7yT1Qi8M4quxmj+bmIBjetQ+gxe
t/rQ+V2aw+KAp7kpXBn5RK/BuxKXo80iqIrXsy6fYqcg5RV2l5LR1lXqEEsYGABEs7G8zuJuSwus
1rPWXpRVWxFvro52VISXWTo+pDZKpckydrVnX7ZJcz3W3YOXeuDZ7WIdBsNb69qPZYnHXRc41QJk
/5mF/LieZ+BQ8aODuhhdfx6tkYUTstODM4KVuU6j7KQPUE0tw1yPccLyVjnPlQZ40qy1TWOln9Nc
P1SJeKzq+Jw19htzFxhpubhyFSOyrtQp8yNrZdX4FSYVakvuyhvU31tpFie+PEhECZ4nlYqHvO8H
7hDmGs4gWSzK0HdnzaZ89kioTsFIKG6miVtPzPydkXloQ1Z8caRuyUA8dKZx1A1xgWrllDpwItD1
KEZpkOmDPvdYvSKV6QQ+FjuHIhWk6kNDLgewuk62qvOgo1f6ZRF4GgvHDrJpYcDQD17Zcp+idH7Q
JrhcxjhBBqyTu2mRgTfowatFGA5kKPUFWvGBfKSV1qBBKBGZgsq4ICLwHSmCouTU8/sRzblWmMQx
QRcMKr4N1CrbCamyL1Gq6yjWRV4FfuB2QCU4HSqFfnmwV22eca21eTc4q0wPtebY6MZEPFIWFhvb
9dot+1qKX/OrEP6vQ//q0JdS5O8rotNr2378lSaUV/1SEbEn87AHu8RSmfbP+OEfJvPW8n9j+f3S
ov3WnX8FzVMp6bTMbNKAF/9WESE30wUqNXhBOgN1zBz/oiJi/v/HisjBEEJBRvaLTX/+VTH9YITv
O2/U2IANVxN7J7GJ0D0h+hZwysIpjgCoBRdqTkNrMyV9nz4anaHpPlLWWB2qOea87N05PbWQIuZN
MpqKxPqhKkoQ/YXlOu8j7i80X3RE80aFTTzB2W3oMJbUeu8rwX5qW9A+9Dwk2wfTPHuMecuByPtI
W2SXtRuaM3PldOAsnEvoACvMEqOxyU2yLje2MHKW7iDnfNWlBkohwpV3TR/azkNmENxACdEckK7i
pkQ+gVwN5dx+tKYu+RwsOSKUk7TAYYgPekN4BgcPOMujFsjsLQ4K1/dIedJwgU79RssaFycb6jSU
eTTTOecbizjnrXdaAhPmHAQIsbVUMDXR3M4UfbqDRu5ZIT+TgnRH4hnzjaj4d6QX8RDoO5hntL8X
UQjRUBp9RFGTo/tXNfPfRmMdJ5DUmIZKgQvjUeBxDx6xW3x3xhTre9nYDCaIpn41ZIaUZy7DY9Vo
2bW9hIuSou7tZFV8pGJ2dlZmhZsq6u1dW6p4o7NpWKWhgLXsdNl1qoPl4XDAKdnjuCa8dYN6kMW8
tD4iEGx79o1cFijKqBxskNEltQolzFvF5HTvzlm3NjyG7FHTfIohCEDIYT4RedK3/tCAqc+UKXZl
mbdHz9ET39Si5MzvTBlXuiVNX7+OuwRnDilgK0cM043nBc5u8Mp80y6neznkYDobW1LzBNDt5oZf
U1rfsiI1Wasm4appbBTviyamJJGKYxMGYAdYZClo6htIQNjhwkHdiBjj9TwZNRSrCUpPW5rZdta9
cdP2JbBde6w2oyE6Hqiw7oOxSPdGhmoEaXG+/++x+fXYdHiU/f1j877LXpuPPzeSy6t+fWyKnxDF
I7KxTLRbztKo/fLY5InqCEuXnOoLd2HJ2PmlkVyYDJjIdJ6b/3s2/tpILvoCnLsoDxiZ4zUz/s1j
05R/tKzxxh77SX4Hw17QHogcflxossKCDJCX3SUFO1KnuHtpJqQAaaq4L/rMn5rsiYCBeE266jlu
5OA7xtCum6K/ztvyAFRWW7WOSU/T1z5Mr4uoS84gDiEZkciODet7r9OhamUvsIoPlAKDeS5nrC2B
7obrvK2uilF/Qnn1Yrb2N6/mHpOkrG2DTCfCg6TDzAZoVA9RtAIVtBIUBKu4Sh4dWbxUU/nQR2Ql
lKqt1oHrPja1OhRj8aQ87SkoJpJYxZVlxec+jU6qjF/aUkIXBsHcWA4tS4hlnz+M1LfY3ZkmXiej
fCZTftrYiTXzY4mFq7Nhj6r0YTKrhgTvYWvbs/LNhKrRHpBappr8XoNh8WXmnloF+axAWiBDZ+Ok
8hZS8fe69a5jukFKSeanekgqZTAMl7Lqv2FTeydR5DmozSvysN9tCpx1lzYgsooBLRiE1rBisBfB
00vCl8xkdFplknxt+lf62/J9MLxzqjEIA2s7rKovJIMNFJlFdLPGyX1SbXqs7eBUhJk/o3fbEkK3
1ZvhGHrePjSd22nuP2kePkTe3Ft4BwNr/kZkce7rgl+SL8nTceoNA5BsUycP2hxr9wZp7Rni+ic7
vpKMO31X6oFOHjfZdrluPtmhc2urKfAJDL+3Q/OzM93+MMXLy52u2+Li+pZr3b6Fm89UzGX72IH3
6lSyc93subQTCBFVd8k2CVh3KjI8QxC7MTpzOqRbHZ/CinDSXa2I3wvTir674ltjBE6EIja9LyZ/
TUSOG7ftLmjJ7w7yGiBOylKdZdbKGeZbkfFkLth81na9hgpPi5+isUb6CJ92bhMfvR36RjFoazlz
EU8t32FuVuFmaOY7zBm8ayG3YdBvA727m6V1hEZvMZFAs93WQeiTgcPwokvfVTl+kyAJV8Kt3nQD
VmhRBlTVCwlEj/duDQWr1KK9Tq/pa4LERF0vd+6k7ww97kiR17w9w37M7L38IJT7JMeyh86bVFgl
1cENp4mhCk7IMB/pNB3QgXCluRoJJGCH2yJTB4QOytmeq/k6B1ZxYQP/9wllJyIvQ1cERZrQAxD+
Tb9pvqIQ+BiIRTCVCDHWx461db+CE8RXiIKtKlxuXpPhfDckqcRI8GL3eqrj6Nqqx/A57iAlZ1xC
Kzuyg8sKVFeiUGtKaPA6i71IoPGMalRDoeeMN3qm0UfXMcPln7VJHKo+0mwUS92Xeqn+UjLJL1VT
O5F0g86p/FnxlFjmt3RAWn3G0sgEOskiwx9d8a6HHSOm1J0Ib4GDvGDt6JmdehPHpgjv9S9Ljhn0
YeCjYmSLXeu5G7zgxyfLWzebXEPlP3bVf3vA/4nx8ID8/XF5Ktv/83+L8CP7+AsR0GIf+eHMZLTK
CUhTwQFp869+PTNxbNsogGyWfjQcC2f1lzPT/okdIPtDDjGSjr+iU34ZvppfzjS6EDRCguC6fyUC
Wk7EHyVAWG04lwXIJMKU2Vb+4cRMpGjlUHjJZZdvZkcQDraz66cfPpjrn3/aPwUfM1bmXQBgUDCA
MZKWw2fw47lcBzH5rTPiIlUmcUbOvV5gBWgmuQ4sM90kVovAfjINkpclzlwywtbZHFz0gKJv9Sq6
yWJCq5woPnFfdL5uaA63KWrazIj1tR5GhwHuUtdH57j39swCT/o83CCmP9dzeTE21hWmuqOepDzw
+kWZqtfeVizVOGGeE7IJ7zuptGzaU8aZicLBnGXdJ4dcQ3qJi9qdzREJfgGvHwWrrYlniXsctBk1
7oAbR2nttEo8k4TbbqbJSlUB1sO0HwMc/jsezBb9PQkvGhyyXaynkbuJurrKNszUmHWXBlA/jLnT
PvRIFDgYFpjoVW/JS3dqp3EnCEVYJFAUDcqqLPk4m7ULztXMdo02u87OKAcAiCQE0qPW687JOatI
/3C0K8KetTM/v/JbQEHpQoUsQUXJ0o59rPbYsxenYSNkvLcyOz12nIbymvdrrRdnCgX6iqnsS7pO
67ZE+zReR/jNidmaPKLoXXGEHBo+A2Gxn3qB+FhmExQJVXT2AT6WQ86sydmECKkP3DUyDu+hLBmQ
udj2NiSq2L5ZjREKYqJWcPNPh950erbGndgoPvMTAQHtaxuFeIVBSE8jrnGvjg+ayVwOqycqHkL4
bsHAHhN9gjZVGt5tSEQhRg1ySuTkRduyyuGbp7bflwaWyvhJ5sjn+ep6TFTxzD4LzWeLNxODwhgf
XbL5NkJN806pzFgXHsyiNupNqFB1u3Otfj/YBcDS0Wxv2KQZNGT5OS6yc9+0xTZv4hu7dA6SupFZ
ULYvY0LtQku/br3hThmifwBjKT9h565aAoLdYXQ/y7jznbz106A27nWt24auIhWvTDeelm9TyVEz
ynDVutX3tlUfRdx8TIhzUIgukrijN+ZbHiAwX+adPernSfa+5ak9ztUT3mWfg/1Nd7pznWvbbDBo
14j26Kb3gsSTsHznrDeovzKLppeVfur0z44bv2Wza2/cFsqSQmxHLvl8MnOClEPz7FadD0XgueLr
axVb90KKTdC7WzLZ9uwPnseg5eTGOUQ1vrIISyEerdAPiWMkvjFFviPENX/jLaUTZ3Y8hz6bGkIP
es68yEaoEgXmjcpYGA61usBpxMVMgklWjywOA1pJmU8XHjeRXgqycRpOVnmSlXXCyfGkzbDLHHHX
meFNUVcnwT/3pnfKu/4m8uJjZlYbMyBnKAxHAqVTNjfRwH69wZUeNvplqqUvZWq8oPI6xm16UWby
yJjyZh4MPyMhAon7GbwZhXQ9XcxCMLqgp5bR9F6nYt95zKibKmbUTPrZPBxlOU+Hei6KI4k93/Mp
EBgZcKtPIbsnZ7RShr8VJR001nnS6u0/P3n/Aj/EWg3CoQTLDayH//79kzeaDLYMbgb+vU5NBqTe
BCcVwz8h6Bm2JWvwRU98Casuhgzzh1HV7U1dp/q9nCXmxHG8pQo+6WPgp5540ke1qyP3E4dEiDAM
KDB5kcR7Tvq2nLmmM1qrMsCfNzC/YYLcm76Qak/GwBu5S90a9tqjCRJp0xuQUQ3cCDiC1kO9bseD
UaVipYICNEeDP6QnG7vctbn4PmX5HYzqI+uii7nNjnVnnkRVnmRrejs1TCDlp3hvjpGzJpd77Qaw
6SM72eHPFH6rt7f21BnrKnKPeuRxX2NBhldtIENrxock7m1cUeAqzMm8smNyzWvXBYIUp+e+mi+j
Njmkg7NzgOki0KgPQcH6qJPUoznrAFI0N05YnbKQqBNRmFdxNiDCzPeca2CrK+xS5QQaJWmu0iS7
hUQarnrkL75baDFOEmYjTXMdozLw83lxi6HfsicbBtEYvyIQvojRM+DCqdaymbeowJaol51R4c6w
jeckn/zcIh3Rs/cDzyGrLb+X3kJy0HsoRtr3wHBnuijQdx0bPRY1xkGrlmeZOsXC/Wbq2VbXmUYT
RvE85aaxTtop3dhReGXNjoEbhrWjXSVyT1pM91jiaLpgN9KcMwY/h3++VP+oR6JEcHH4khZHeJC0
F7D8jyVCMtM+NIzxLgNaJys5NvAn/vkdfu8+4EdagqkqDC4HqheSZ+v372C50LakF7J7cdHpuVdx
F+/j6rYZUPg1sCHceuslm39+T+a1/NTfCqw/v+vyd/8wye2qVOGL1LSzPhV3gMIQDvI/OBW/MQzF
nofDYK2k8+QG1oEVdbruR5VwVwxLZE1crotm/lZq4hQrW1+DBd9m3mC8ycgWfq4nDy5uHj9MWa5m
9rMbpOPRyIDocDUV5aabRbGRlVb7RgW0WBTTdOhGYb2VBenuNqNReof4PeNa3dS6G/k8gSdfSRfG
R+fddXY273gePnRhbx7yEPL9pL4TL7XnULpvm2brYoqlBU72lh5pm0SnQsmGothNc6eva6J//GbA
4ibi8XaBqBTE3oD8Ct2V44GpbvvPuoWO2VbxobHJrx/s+3GGoK2nR0fRVTYpxVocWNk6URil3M45
pHNyYQ6k602B6VsZOA0rSHnK6k89djEYfPlZgl4pmmHTBzNXMMBAFebriFF0mQD2qOZE+k0WnCsS
uUI0zUbpzgw4xjtgBhRwlYbUB1+XZSl9zf5np1Xk4IGIeYUpdG70fLFPrxs1KpQsx94htKN3rL0o
WHtV6IqKCXlTQGZU33SXqI9t4qycA2PQD4mgaB0gGq4dexdW9kkM/wsP/1ug7UKl+MerjY7ix6tt
QD/YI3PVzsmpuA4vtW19UT8Ou/ng7N2T5OhZv5vDyjka5+JluPjna30BVv3Fm2OgwXtkQqZafrkf
LnUgC7JIpa2dK99ZFSdzXW1RPRkX2pPYkqj+cKWtT0/9hqFK/8p/ZJfTSV8d421wiSM6///8Nr9v
bH6+7ywEKqglXdqoP5JbJ33IMUkl0WWkX1dWtor1p6b/eVL8tx/3759Zf36PP+hWoB91WhRlEYfr
R9jsvenmnz/Rv/wbBKn0Ar3nggj7/QfKYGPWCAbm8Naua5hLjUPN+fMT6j848ZK9/vft+/n1+0fz
+udp9/KqXzt3cuN5ICN+MmEQM7f7rXPH2ePYDr07HRsiKIw4v3bu4idBLw2TgqMGt9uPS0IG4S4j
ckROrgWpjTzUf7EkRDP0u/ttse/YSHgB0KDhFTpUit9fHhqL5NZUWDICL6edJf5LtQs4lUQwS2VP
FQlh1ag85qTTcZG+7oo85Oju9jqpYvYSLzZ4Dk9GJuAsZy5GiJKr2UtI4ehZJpJOtjyvERpCvkcq
9UhYOvL42PM2dly9Gx06QiW7S9WFMLP6Z5f8M4McNGcJRIvD6MX1Ml+jeXjkKNf3BdVbmA/BWgQI
Tfm1y21HxloZE7YWGuYziZWFXy9BbK1FJNuguTZ61+CzH9oPCDVEIC0BbhJD/pou665MoxsC7l5n
st60CSO/54b9unTo6FLNOTpLNFxHBNOqIooQ2Gv5JsmPi8iRyx0dh+rAn4j/ON20lXGNYAgRcXgu
SaFLlji6pHF0OmYTdG5yrRcWupA4U+thibHLqC52rs2Qtm+Hd/LU2nVmdPEqjSQbq8hB+qEn92i8
rrEEEmemq5o/KRMnMkTuWpL08ty4aYuh2SYZ1geNtL2I1L1IjRdVGekg7pbxOMl8ocFYOCyx72Df
K8kjccjXilvpE1A7PxDlWuy90umInxAJGDzC/0AMJVtinb+zTZ2OYR+BNCjgCbdLbKA1SG2Dof3k
1iQK2ljVpy4IbqYlbjCqgVZMIaeplyG5CJdYwmIJKCxdbVcu6ROxoIitXyZIO7s2RISSVRHNaSgI
zCLxUCzRhzZ5hHuXNEQV1kRuCAISqYvflReRyLiEJ2ZLjGK2BCqOJCtmJCy6YVOd47Qifysk2oDM
2W0SE8iok8wYB4ba9IXbHk2zvqXxi3xhIm9KlkhH2WEj1VtiHhsTUXfYze9do1sMkTvK8yUWMlkC
IjvwAvs4ITRynuRZ5Lbny9H9aCriuTFFXSILKtaW4lKmpxv9sI8JMQyZSxmae4cZ/KVfwipjeqhV
K0W2Vwih12043GlLuCUelHf2Wii+chypaVhAVGFs7desZAKdeMzazuy9ljvPXmK+0e3sxBKlaY5I
YXONEEZNopojb3OO6rfJs1HNDqIW0Ko990af0FkdjZmZGgW6Q8c6NlO+sgZSR6OnMeSeN1NZMjzp
gI6JcTuhjLwWQ/4MVQNtvozZwLdoGWtnehzpt+mMhgbasgY9YiEjsg8iRq0EZN4NuyHDOxvDwQtw
6axAErgXhBzVq1oieySi7H4ug6vGrU7d6LU+wLzPWNV3phUdClNe9BKUqkJnh2HdpHGOtOisJ1iB
yokdsJ0xDsob+1Yv3R6hfd0vDp8LaTH1oRk8EDNjbpi9PQ9euG8H+4J9+qerxLZNCQkqQa+VABGO
pTa9mkuR97U8qUcFcnnq3WOMGEhCVyNGORFKPRUossvtGFWo4ImiLO/wmrWPtLIDkwmT0DRXb/tm
b4GCfoEY6BxZt2XhdRZmoTyoWrNfgtA1g3PixOkux3bkd17wZDCZ2DijyaURoC0NFsS5XRLpNizY
84HrbuMsKHSuwufO7vYz1F3wgO4+WrDpYhHPDXEIgQOmupznq7EAz02kwYzcLb/O3JAye0Gx5zgF
KXwBWndw2sNG3DSuDi17cFB1t9We4KdsLaC7M+NhntA/1gv2nbt4J+HAo5GPGLvM154dX3TpBM6u
0l+N8f+x9ybdcRvpuu5/OXN4AQEgAAzOJJEtM8lMkqJIcYJFUhL6vsevP0/IpbJEu+Tle6ee7Nqr
XDKUmUAg4nubh3W8LMZzQhLaGA3KrikK2teZFnOvqc55XfgzheO0y1JIX2CuSA+F4gy2ZvGCDzfa
0K6HMwsYYZwmr4JKzDKZXidghUU9V6sFfCERL55DRTR0QBvq06lgbphT/WgzIVp2nLZ22uCeQ0VF
HMAjSjCJS95xoMaf5QBQJP9prAzFVMwUXdHJx/tc8RYjRV5sFIOxMKExQrPNVwnNF6hQZL9BNpqD
btDeiU1AyPouTmzMKo1DZWJ9KRXxsVbsR1yqH+pI3FgRVEg7hIXaNECZnOIj+dNLCUBSA91H6ks+
Ju7wlowwJscpO46KOsmZ7BgAh7JrVzn/zrPiUwpAlZUiVvZJRWRFP1StC5fXjXeAL0OKF0pj1QO8
LMzY9LGSroo5W6OF3zsespoBIFOSDN2Oiplput0xURTNXPE0MYVu6f69sjpIm31M82QMfBNWGeuz
adARB6tYi++zIH+pe+cgMFGk3XwaoHimyrWrY4NuFODTgfSZG+GXBHHUhgBaavzTACZoN0AHhBGa
i2j3bRv1737SZvv1v/eTH+CQxd385w2l+mPfN5RC/IbkrRsWni5B7R97ze9SkDB/k2w1f8+Ccw74
jw6E5YySXw4AhiVwXZD7+tFyxn+vs53EiYGIQ1bsH+wm6dh6v5u0sHQoHIrHf6hd77vdJMAAWddt
fimMyrKuW9Hj5p37WGfWZM6qN3CahsFVfSpv9ZA/L6qdBO7EvaX6SkzndR7GaFNRZNLgUa9Vswlz
jQzx2rlhfFurUCUTxQrLKtolWSPVjiIqelKiipOqak4ZhqjzSfGeW+YMmmpXsb3xMw1/5SaiY6FX
DSzsRo+T6mQx2akqlmujl5CrVG9L1PF66VSXC73an6l/Zdnom9cBnChS+bzTKYDRKIKJsO6vnCnc
O053g70BwUZVxtj1+Ik90kPWzQwcaJUx7e4phFa0Y+2gMVhVz4QxJTSWgb++V8U0Bg01MMqYU6rS
Gpc4DFrsuYT2SZBd3GNrVajk+HYS+lWu21+sjtWqGV9aVmeL4bPfwGpH1Tgie/O/9va53jyRRjiU
Uy/hqIZPZSufvAQod7nWLfOt9by3RrTnZokf7XJ6Sy03XwtTX9auLS/E8ASHxHGfg+JEyAJet2h9
uJ3T+L6NzZu+0m4Wsw78RMdmMgt8Y6xo+SExYAXaBiT6UacV2R6zY61a3WwtcnxcfcckkuEu0Xq5
rcPsOqp7yKDt9CBb7YphDCqS0zGDGRJs5vm5mi3Pp9vVPTRVIXYzGCqXfC/tHT1tZXPm7lInataJ
ng8bOQSQ+3qhw4Tmnzqz2Dfh+DFwnS3m6YvU+7POi8snplTvGlzRE0RIjA3pQdgh9UQd2oQ1LjPv
9OZAvqpBdtOCHQ9a4I/lcOTcBJxxARPXNa8JSTY52Jcx1A9h4ky+FMkOn/lD3ll7z5iKVbrIhw5X
h56HHzHkfaGVEM7ZQqOB3UtrNdQISoTznoB5V+tQYJZ3qket79t11o4PGj06eKjZHSyZVm/MIb2f
NTHz7sR4bRiUENMZ5sdldW3N3jm12Mp08yRWbjmyrRrGzYQP4swOLuRZadw1RxHhB/jBx47e35Sc
10sXsFXVW5zGZgPuwkyTxx4HcxY/mB1MR9eLUc4Myk2sAXMCKNcdPIoCf0hT7SdDBL5Z6kd889d0
FS/rPImpFOGgBz0y2sxFTfZe0EemcNKzRodJbJqNP4XLgQa2l3RSOG5Tv7fMK22mS0g1+oaEA512
Y85TQoeLs3Gt8iMm2a+6AbGvcqyvzaJ/8loPP3p2U5GeELTMrOxWizZyjtBI8vou6tuXjGkk2zlU
w+XK6mGsU0RPc/MEMcVtLb9x56+ibZ5DrT+OZXebVdo177B0Sy3/msrpa9MbJgQFdh/QOwDu4Mwm
9h6R3+i6r5XG2Tij/gVXvvPCAPsZuV5ftaWGj7OkTm0aXfJy/Zzg/tJcGHLWE6suY/OZiqohk28d
0dwVY694zYJ8bLVm2oUtzp9oGa66wKTwtwnvZDS9JLFN0NVKIYvXbcZ5i2R2a9V7mct1HcXAdaLp
vrPrHvZksclQnSF5Q2cpCrvhoSt5JFyJIz9ONuUUUKhElMXqg8l3tPAegMq5rLx7RMm9OXFKkYXH
jnPO7oKquglDo96GnZs9NWNLQndE5tQdQXRUPdh28shwoiPMM6ZbllU6ykX0OhWlXGEv2pJ/vGJB
v5utcthjHJnQRPvbir6vFYmJ9QC+aRfpMUd9jucrW5YfAre4igK6ztM6OyGR3sY2jnpBeVuAnkGA
tKHBIcz4s8NwbxOB2S9F/9qWCUY4jMcrUYiIuGSNZWbRvtJoxPsiauIdTINb0pWv0uTZrjP4QWT3
SRhNzILRg4sbxHt6H0uQXS6tOZ07Q5WYiXGYAipdhAy2Llmz7arQOUvq3RbEwysxgUcCGJZPv8eW
PANHHH7yFa+7xh9NM6UUTg+38Gb5TodYHlA69l5oEeAlCMxDYxNBsIaHaIZSzDsRWAyJnpjGIQxV
dugTeOR2cxUAKuG/owE6PlXaMq5BFl3PmlkqC+zoh/o4rrRUPtjdvCNv/Nku7UsSVl8mg39dayVP
kt6/1dhoSrEpTgY9t0BvFmq7Edc4UKvJzaHDt+1bs+g3qauXT3WWZIeWOIcpePCzwnzUZuvcxd3n
sc62XpA88LLXj7FsOXy43qGNwzPFLh+8Jd2bWgtkMxpQ7vqSPkkLppPN1pvOXMpZLICkjRrWOM4b
eHZtDa+SqjqmJLju3DsDD9rGpmmQ6OhUbKoKng8JjOCgN/OL1LgZOoRzRCuX+ASOaTfQroAkvjRE
psIUQ/aUVLuyLvnzTnXhKGWsSk8PN5oBDTWZLFx08SdLx9id1PKi9/JjacldUGXTfgnNr4lOk6RJ
W/tKgPKgrbQggOPQ0tAhW6/0cub2S1D5jHj2QKMYnyRt6J6VUvpEGwT5KFbtaDbDdeLQ8iG15IX2
p+uUGjy/A3NPqxo2u4E8CuAvBA2i3r1pJz5W9n0SMgci6MP7rqMcsBbq4ICGtJGe+zkKNQ7+bths
BxqEyZMMw7oEAVmmi1pV5SO6obEKQ/i2ea19iJrxgaJLiuhizy/H7NS3Bg7v3iV50pY1GbLovpMO
nmfwrH2IITzXvQcLcGuYQQAxFcs1rzSC6JLnyQT0OoVathagXzV2TjyQ0GBH0b5WHDPJGfLYYwrQ
AcfWUh9p84y/jBVFFpX8KnXtg2bCmnUUdTb10q+O4tCKTLwNgGk93uQMGuy3FmQtpBb604HYcnwr
1p7i2k4yfQxzgAD1RHu720s/wb8QBq9Ank5sDKwV2kC5MvrkqrIbFNk+SW6QuA5BDVPXBa4bajZC
wJh8MCiaW1W9dufkVOMLkLyWNz5O7LmoBl1gz1RlsakVwXe2+xCoDFRfbI+MhUZIvyXIXxf0r+vO
eF4UDZjn7qsURB64Z6ZNmJpbHXRwNfDoRo1xSxZHdYiY16aMqUq16YDu0+peKgax7Rgm28uJdbop
rqE5FBzNmMu43Rvya+tTn/NYK6px3usPSxZfTXP2QSju8QgAuXT012GABYHJCoMhaX0MBP2pIltR
KH4yJTv0mSimcieTLx5742gg+FSBXV7y5gpJmBEgJUBCFE8xsTdGfQ/VQEauZZfnpCx9kQI6R96I
j19BnjkP7nSoz1Lhn51yImXInk/BoWMo0bQCHQKo0VFavARu+pp0/dmy6qtc4aUxW24h3POmNOv9
rAjUkKgnG0tUAJua6sZ9ZXkHj/6jWk8unWJYK5j1bEabCLo1Bv5TA+emh/Kb2fogrtoE9Hz9jYqd
FYt8mr+xsmvNHtLbzCYKgOtJYleqtKt/z6C/B5+Q1P73GfT6hUPon0+gSiT84QRKgRh2RBQxh+AT
/+iHE6guTEbEGPgN1R3430Oo6f5mCiz9mPex1uMV5Oj43Yzo/KZK8gmJm6jqlkoE/INDqPimwf+h
liNpkAQgP2AJOgzx8FtKEftBQnTxO0qp6cvZzKOPNf1ffoZcviqqGg17ybduLXcGgwx71hDKvY+Q
bfGg9zS4slB8SFzr2iy7Q54kGyi9Qbt2nBwGc4zD5yErPWNTCv021Irm0DGM89ZFlmivVGAwqisM
6k+ODpHDCSy2TrtB5iT7lorUTd4n/a1eVKwDvbwfU6UXD/PZs2m1ngpzXUU84PVUfphn7SPsmwf2
C/1KpzUXlzIzbm0+R7F7RbULfMH2rcFqTGvquAoT/a5KxIXj5UcxtGTRO6Y7QaecJ3Rj9EHxdW4W
OtGEsQ0sJ1zj4TXRV6Yz2JkX3vvT2h7Mfg206nM95su607FReZO7CfVu9FETjG3qSIfybM2aDyOv
cD8aw6PRO2equv3eiI4LiDvwA44/5HjXDTEcm6F6jHTvk0bXBTsZ8zYlbd7Z+cc0XpZVkywPXTNu
h96oboxAvXvKr4I919DEd16vVBEzP/GuORj5/DFt+yNhia96gyyia7PjM+XoqRvmtKxpaUfDW7qv
W41uikj62lyKdSBQyW2k5LMg3kUYqGYu0I0sdCVZb4+odcnpFVv+rG1cqpL9YqICFbTCWzSHV4Vp
zLsuSNjcT7j3XMHUzNz3fUNHEjQuE38Dx9emroidyT7fQQ5UEeQsP5hd47etTR8uWDOzpNc3Kmjp
1YPXlPd8mk3ayuoRH4rpJZQlTRzMQ0ta09d06KxGVm2wCtqL3oSJ3wwUVBspBqfW+wKZjWoMvtiN
q7c9hWCRPGWjSUq0aO6BXVo3osvLoyFCHI6Ol6yXpt+zI6O8RWYWo1Bn7aIY7fALsZXl/r/pMcM6
mnXQ6vYjJuG93ouP48A5I4xafd21wkBPF8mpKqDKhR5IhcjGMR4MibYqJvL/JhOb3WwY+k01meKW
1jA0knTYeVaFByO8ytMW0GctXpDWbYrK5vjssLn2Pdvazi7EmI4OLaJuGYHf4nVuy60Y4qcy1Mii
wAYPI37PJJszXi1g4af89wnj/1Td36niKkTEakP3DpMxhFb8zz+tEZVJSUSmecY5y4lQf+Z08rdm
pL+4hIfia6o5naEL/Z3wPlfh1CZwnM5p+9qnl7n6UHj/dtj+p67klywI9Y6qyvblz68p5Zz6/poi
TGZyNHVoz+RtRarrh9cUnZokz35/fQEJ/+MtRTaNXK7hIIszBFK++B/eUsjtvNLwnlvWP+7NVL78
H4wu34R3XnkmM1JQbOoO+fkOTBotFQ4Ji3OuL1ZwHYnOfp4MnRpkuymK8FKi1lwtfS2fZWSNGEO0
ok5X46SNn5rFaT96kVXee15sL6rLZyy3ZuF0j63ZG2hYCOEbGQEKsGLt4yRYfBjAWH4mROqLSbKr
LXZ9aJz7AVp1Nr+M4fIiosDiSbuTrZtvAqnvREYbnpjRjo1UbqYhWPdEz3E4AWqk9hmn60BRlj6/
pHWDJWskbIVhtsXSxIh1xvrpM77eZgUnQ61wXMZf3sEKG1pUxmBf5fLOGuy7PJb0GJo4NIPpZnGb
cO0NvJeK+h4603PkJoCjAt4VRcGZn7wwhQSxl/v4yXFpWvZdIp3T4LZPdNdvU1lkJ86Xxz5KkSwD
4a6t1gGY2HBWz8fK9aslvRvq6qEm9HNtNkNJlQWCESeFCXWIA+to0UNAhIfTuYmpfGL4cKLni45f
uFSyHvzW0Csqn5ovS9vMG1hqGVPMfp+1CZ0w9Pej9FUO9YOz5vmWRRkERo4tMgqHhITvAEINR/jB
tfdxwf9nDVMP46z8WIBOQNK5da1o7VbZm5FGH2TJzKXrEusU2MEhrrRbKv1gGNhO5Ad0rnDAk6eQ
vAjvEOsukpIuSrBe+NE+y7I4UmZ2V80udmfdRT0rHGeFYp1Q3jQdC0XZ08dhZZXFLos5bAqrZ65k
kN+qi4+JbHGX0g6xRfXbyKq7L2zJAHVkFxDp7taqneGmV4YCZ27dbtVYhy6V+Uds8dO6SfvbZeBd
ZpsRk3FQcTUFqutk7h+aOXkNhhEfWdQAHLH0rdO4j2CCnxxaGgUbkiwHhTupv4Y+3Gmzu62D5Zxx
3sZIwRyC8+pcQgjtT5mXXpZZPscSDbtIF2PbTPDDLKRWSD4zFVbcdoadnEpR8vJr+Itr7qPm4Obo
7DH2jWSi9qqJt+mY0kybn02vOUIDvwwteno3NJhfHYu+yvqZtCXFpYIJbxauZOlcVYM8z/FI2aNk
a+JhfR5qNo9B+8FNnFepTdeN7L+IIP9AMdnBcOQpGVJaZiOHluaMine75HcgdPw5M0YesYXEtTtl
/boq5JkPD1B7jJ7qhtpIQ8/PIjAu2P22tZe+InH4LhMOBi6kHXMzv3R96SIPsu3Mu+IxUlg9Xpti
pdFhdNQyolp2NNcqWyp9J89fiHCnG9SJW6MNnmB5zD5BXSL52H89dzllRXfdG5S/99YnGl1f2E1e
LTYXHcGV0e2ZBd4BKuCZINvOMhkhVgBa4yC77tnbrwrLZTRGis4SqXIX0/thR1c0+JnHmHK82/Yb
EHsaYGPPSzEQHYSX7SlyNp07j71iaYffsNq1ImzXmd7tsE3gZFb8bVQfcZlAcuNnM24iHiyf39w+
F4rcbSuGN3r/9LgorjftbNkxUazvjq9gMyr+t+GAf6gIuJirEGVCXw2KFd59w4bjLM2oAoAlriUU
eP57lPx2lBQc4n5xlPxSfC7f4uIvSi7VH/z+nkbQhF0GopR+SR515XX773HSUuY5pU3CWEbtxM/9
XdP81kamc8Bj+yhMS0XFvx8nKRbDsKnETDx3/+QoaUv+LT+8pDF86rYpHBxydNp7jvfe7u1kHRga
EWpnA7g3o0S8UNbyJRhJKVEzw9Tb1LckUrbNHObZTidLfOeRkbwVzqCBM3HKwqHb0sMyTE2ruWYs
1zxiqnHmNyQC5ug0cTF5nK1dUiM0tsJdkASYQLccl3fgbKBdNKO7o7F+2gyV5m0bQzwVVaq/hXWW
Q5Wcqm0ZORlZmo66rlAtHSX/WxPuG+Mn0TxX5ItWIgSysZDIvhoL5ypJGtg3dGfYEWfWttd2vehf
c/RFxKkG97VX0FShDhvafD2HpYehwN6wQACCLOB25AoV4umuuaNnMqKesqKtKMXLXJIwMmnD2bi8
qKkaaqrNQjiESqT2krTMroq5yz7x8pvvDeMxtlryuFp6Q11StOZEf5ssyExMoK9nna2Ly9JIie1b
G49b6XJEt7oMvM1gU6DtTmQwADVfFY5Gx5YZT7DnW33T2jVz+IYNAwuqDj2kIu3Fz6KdGewRcQ49
FM3SZDhrkQCnvyodSohSLNtoXFZ6Ow064giQVC9lg0OImz+ULku85RVQBCXth0AYkwRkbQOPETuh
w2Rgmix3jbOLGD581YUOkaIK7uHaV7shSSp9w41dHIpmGFjMyvgqkJp7HVsjaQq6F69TWBggMQzF
xjD66FOmaBkR2IywQTUfQUpvmJ58So0u3ARANthm5D5QklMWRDm0g/mcKSJHBJojWuw11vjuPOf4
wHLF77AaN6UrmuZUbZCHZoDyIRTvY0jm+0gRQAQ4ECvi/3gNtqTJpuzL+qbUE1ce+Qt03zT8ZhiF
dT2oMdtM85pBH7B5se0Wu0+DnUpvKXk1KSEnTF4lWXcCE4A3khuNXspRbpvahsBlsYhrZYkZUKlr
7tLvzCh7VqfTTuekjVrYXo2TIvwMobG1rcC9SbEBaLn3WWjtSSb5bdn3DwH9om1Fi9JKaNXNrKH4
CQmqD67QXunOq5wT+Qc9CYKN637ptOkYZ4RgLOc0RzRcUrG9q6d5I7E88ZlpBi9Odo4XYdCOthGf
8gjDTNzbwXXh4oHLqWPd9hHJ7HkKD3WUHRqAZWnNj0Qt+lU1xgRBgJutMNK9hP3IEyjj8zQQRp8K
XsZaN+QwtmvfkNnBA9vqNnQDN7SdkBDzQVtJJ2Zpybfs6rcVNFN94DAcCsY6nJCjKjk4g3X0xskf
DYVi6shC4Cl6cDP9zKbtQQ66y03qlRILLxXRgbt8rWrjzl76gypBN/N8I7vJ9PVoOtpa6ifD8BJJ
ExjcsGlDgnWJ7V7atLhzS/HZo5+M6kDzS+fNdxby7ZoG1uu5XrZaSkk6vzEhnti30ERIK/nDotON
FuRv9K18GNX9aKTJoemjC7XA5xz4j5OESvjdO3kJ0JTLM9a9zYvpZq5nX5BrK4J+rblsQBZtx2Zx
7xAcySv67tppq9kqDybiN+kCNaKIHjIYxWTOZq7Kc1Hp7qagE8Do6HFP+vAiYE7FQ7ifdHedl9oJ
/+yWHosXwl6rOZ38mkeEJic/aIw100g/6LIvTfalDPq7ibBs4up02DFtGIsnGwcl0Nq1YXENpjpW
IM54du/bTsIvsjGeTHfW5H3IkkWsvSxD6hr1XW5RMBF43IF0gDAE3bpe/pUCgBtWuC0GY7+N3LV0
J9yxbXRgzLSfluZJNzq2WO69lNWTG7V3IdWOff65mKsvta6TbKV8wTFpNJYVRV/zOg2tTYQYFJrR
rdlE1+Vg3rHZ/Gpo3Uo0utInVpWu7zVv2LutttWj7D6xy1NnGw8cbVZO4LUraVebQBuOrd5veRRv
Ws/dGmZ7ZQYzF6w3YcUXNhXtuqyDYsUB9m3syyf+VTiqYYjMLV2wPEn0IUcjlGfsKEXLrEw7opQe
Fs0hluxEq6FJtxEgeuw5FM/hombmJZ2d6IbHvC+eu5qikco5YIanwMgK/LJr9oVrH6iV52hme+T4
hqex0R/LBmafZmAQnNht9nx33iYsOphSNnenAzVluAU2eqzI3g0adPDY2btTcKa541BY+RWNftdR
SW6m6ONtns2XKlBeO+pBRvc2abyTaUyfKqnaXRgdCs99CBp52wJFK1r7rp/YLbpGe98rGRvdaNUs
nNvs7JTZ4RUDNR1aQ3jdqIVqKZ/mtDuKhrLgSpH8Rs7no9+OatNT4AAsHppqvjJEedTQ5c5awHiQ
Qq7svqWgyF9Ed9XgoV7GkZFlyosnQQ2UD0mXY9IjQKh8Mp+wYXFiS3F3gNGLjc+SXoaiq5/SJjro
wjiz3lIE1aTMudsjlcg8lxls4UU3PkV2W209M/2QN13GxDndpaZxSVKQBik8rqIczS0h/30Ab3IU
GsRtSv0GsvWUXoS+MYt1mpFXjIoLfuBdEkxXEyJ0pZHFbpOXjl6UivcfTwDg4mRwNn0fbppIK3xc
yzgMe1AgvCQmiI4DNTHDYG/bWAfD52xjfdowbmT9aTGQhtOynfLiiNB+bDr7A7Z83jWYYwpEqS6m
QCcatatCQL0AgmXA7GiM8pBp3fXCiKRtqjcClkRLWw+ozXQ9WMxac53X3w9b2sufewn+POWzySoJ
VT2k0krvI0Ld2DRNHxfaWc/xiKerMr3T8Fr++iIqt/iHovH7NpRAFNNU02JrK95NK4k36NK2DO08
ua8NPuv+01R+Dc11Tq/Yr6/0VxveH6+k/iY/aCdlgOS9BFxJuDeAQnHfUF65HEr5Memf41L+3vvx
D8awfHs8TTQ6cBhEN/r5cgLbuBtkZXgZtOeuP9bhW5G9/fNPxG6ZzTKXMa33AZdAOpPuzVV0QV1O
xl0/z5ssYvYf7mJkEdHd/Ppyf3E/YN3j0MJgmamefBcQVVEDMetdfIHDtYpNispAIqd/85neZcbU
seSni7yzWbaB1tky4CIJ07SuOSVetP7/9zHUx/zhPhi6hRFIwRWIVsD78FO8OsQ0fn0RJrDvb+uf
Psa7X79KZ2qK8ja+TJq5InntxRfo0yxwn2galvAocVf8+op/9esQ8QEBbEsivO/DcGns5jGGjvji
1Le1HsI9PTjB139+DfodJRRi7gN4rz9/dXhfNOkOTXIp2giACC2zpQ9D8tcX+auvziTVx/TYMB3K
tX++SDlGjhPHU8Lv86mQEJE4e7AYeMF90h8tMhdjcPvrK6p76t0axBL3xxXf/VhkjOkkMGaiTKhY
Q/tIRfjfLAbGz7+O6ry0DceiU4KBuOR5fbf4tKVF+eJk5JfkhLh64OV5XfqUht1Gd7ZfbOItJNPt
rz/Vz5f8trL+9KneXZKQWj5hIkgugySEzOxRgPAW5f7XV/nr745BP+5g7jz73a8lFwrQO5LWl6Cm
MYzUCsacX19Bffvvfx0ihtxtHqITStrP90MF8o4gn5ZcHI6+syvYbT7HFiDHJPmbz/JX39iPV3q3
wHEixpTnyORi2F8i99YO7uvlb5a3v74E0DLDo9SIStSfP0xMAbVrLWF6KYqzTfp3wmgsevk3r7q/
eoS42f57lXc/Pa1eUTeHXCVO3zKNsgVKja2tnfZ+2l20dJfZf/Mb/elj0cOK2d7CtoriiDn0548l
PIy+uVNml27YYR8dJayuu1/fBn+60d5dglnaj8t2MYR8oVGdXUZ8YoYG7J7W5P8vl1CxVBqZPOZs
P18imSZAQ5y0Lm32pi0HRIK/ucCfbmU+A+ob4qzN4I3s9c8XYOl0RqNY8gv7vLwnW5ocVPs0JOxv
H+TfkImy1vzvqexdPHxp2vgz3xYAIuImh8//9//8rrqqP/h9KmtYv1lok4D9dNZiJZF+H8oazm/S
YVBLzwhDYE+BIP4oHNPJmSC4GrSFIG3yyH0fypq/8ZPSmEGN03/mtf/A4/Pt9fbHckdSmY2cKjaz
PUniheKzn++RSBQc+HpTXGPhrSvnpGGeZR7nWXqb62uPrsSz1wszXUNwx9wZqzZ9Y55xjc8digGz
k+zcl7VG6HLSDrZdmNc9lZFrPI7FMScKfQ9SYDz3k1WdiOyUb13YjVciH9N7yxgRisrEK/xucr4E
Irb2peUGWypnVE0Fg9xnuAy6x8CNhGQzVohS2S4VxrheILK/Io0ZXzUzXu5EK2ky9CLCs8WM855i
1NVSyRqiTiIgFSQY/SMnveR5H3wQbPLu+krLons9sdOw3WWOUS+HpYoCypiYrxNzM5yCRMHKQj1j
5jEYloFPcx7dcn5hHDHcNo3hjvqqbIS1hjMx6DcMHZJNbsd18qAlCwSmekgdh4iErBucuyZpUXvg
ZZL2vXmwBqqUF7LsaxqRVuoY63YVpqrCxg06NJ59HCqzeaEZSdLhGxHqA+PaMnqs4Qzi9CtME88I
bThzRGBpXS7W3WLgBN2LgaaY0kneOpoKryp6TPArMxM/uLUbD3fUbRjbubEL/IIRN+Z4nXsQ0LTd
vyvC7zoNj+//XhGuy6L7Qt/XnxcE5JP/Lgi0FaDS8HSzwcDjZ/Hq+b4iCOM3SgR5IfyHDcMy8n1F
kL+RBMNiwwNLc84fy4Hq7HU9tpPKScE7+B/pNBDPeN5/XA9sIovgmTBoYLcxcCf+vB7kVWZxcHXl
TW4uw7bSAwu7tPPJAVlbOv2j6ORDutwGAG3JOW4EgNu+Cx8CRbxlnG36hC3WNTBclFrAuOaYPuSK
lGsoZu4MPBcoQ7fC1nSowOrqIWGiqi9RfprAjxR7F/Pas6ZovIbi8pqK0JsoVu8SJSR2IdkHYXNV
jJw7EzN6zBnGFbP3aWFgl1Uu6YG4fpmT9JbO0ZdGGk/TMAufoa2Kp5T+HKWIn3Vy7HtUEDsvh8dZ
d59jQqTHogIsYYz0u+pV8pD22bNO1fDBypm6Uu6NcLLsl1o8D21+42FQnqVzD0k0pRi99mjHAavx
0EfxJzfW9qNePraNFl45ogJPavl5MdwYCbVc2XwzzfGNsgjUM9CyII4+l4jAYVeQ7pbjjafUcJJG
B6vc8tiugF3R2nevym4Yanfpp1pE9Yq/4q5tFybkUNIzi1FkZ1O/nSaCcZsVrEq7bfeDZGUNRpPR
knaSeTnuyw4neRAr1mfCUFyeyDIvW4tiBh/S5L4us88Nw6B1J1pU/kbfNXKJgHj1l9n19nrCSFfH
k7yLCsbaMcpPVnC9jGksxFhOm2BKlzmm5YtzFMb1kjHWJANP1QOcGLids8q7yStrLRMazAmjn8Yw
opjMWZOqoC7DYkie6TbRXKWzhwy+fTmSQ8hSKrgyp239OO5YyR0c13PsoajkRKs75wUx5UBLQrft
W2bSOBuVFHg7OrL1HYMDcG2+zSKhh7dO7gojJxvFL6dV5oNNSrnOM0htjnRPtWYcMre8Ju7wjPH0
Y9Ti069d3HUjbcOLlNQ+JJS+zg2h5TTpDsPcleuB0sg+xhaxwDDgNZPfBq1l+qBf9rnRldsmpJIA
g8W4SsuDKWKIYQ5aBS7DsqrOVhPhttF3tpExrWfsTzUUM/bMvE+W4plGzWNnjJRak/5G07uiQuCk
Y8AXOX2BmV4d3MF9Tdrw4EUhNRgCPJDbfiBwdI9f/4Ex00EvaJ6m76iU8pDq4Rk3w3PRZg8yrflS
l/Fkmc1RwW/7AQcos+rbLB92UxCfLBV6XGBzeOXBUBv62dozfr8KLaSKZjaPFe1qY6tf9MjKtv3S
rIOwexoJsKC6Ltu46c5Vr6h7i3PVeOLOjqtjGg97K50Jt2R5f0gGSt705jqsHESIAYFyxr8Rivu2
bB/Doj4GU3LdR9Y6Cue7Qs9w4PDQpxnRkjF+DFNnZ4flPpexe6AUYUeYKuLu6K7Nwot91zFv6bU+
sP+5zbUBk49e+1HfHAZPf9In2p5cPcvWnujvxsg+9fAQVjQIQopa8id8FnunHwhIUsc9LZrfIyya
mXxeXG83auOm80YykcOnAn9oa+tflzZkd0R0bMEMEuts3VbOohX5nWDjCJBpzMTWLW3WvskksGfl
dF3K7OiF/QmnzWHq+m6lGd4xgn5jDdkxCOdxxVD6egxo6Yi9QgVnqYxqshtN93Z16d009P6pyuNt
XuvGJraNj7HRnybKP81Uww2c3BOTkWvMe6+VMfE0hht8o0cj1B4nfTibhnGjpwT6JbQritlfhIaV
Oq5CRKn/x955LceNpFn4VfYF0JHwwG1VoQyLxaJ3NwhSomASJuHN0+8H9WhG0qi10Xvdd9MxzS6f
+ZtzvoOfsmr5LGrd3hZdlGAwyV+VaZ4mP2+ZGdd7WaY70mWHTePoj2yaLqqmX8Ux5I5Gu8Gzpa8N
696NOpBm83uauXez3UaXhV2pg4jCW5UXJ23RdYdVFliz/aorZ+ca4coyETWlLbjLoR6NvcSDYRjR
h5zA2DD/wS7pTpfIDo2tTsLTViTmzq3sGklwrBDksf5yIrFv8u65GZK7qpgvpy66D+tmj8UyWqyF
j8WQ7HjN99GUPbXQ1Q+jdS0lKwCBcTAlxrnNx51tlQT6RfeJmJuN5/R7DfpaO+OibZybOdMxxvq8
NfpZw4iCTWS6oU68I3zeC4ROnr1XD2RH6cONMp1Tk3HfB1mjGVnQDVXyaGPx4PB33KNR4OvOsaht
48ohVIKld+L1/Drnywp1w8qpeUnTpPb1OO3cqPCvkYaRqEbOVjBr6LSMHqNN1KPR6rv8vcfuajlF
uuWGYfeNDHOjjGw9soO3y3YfxjAmxgxBdNn7/UWajZSpuEeLukHDAKZFTjDvzLTWV06Cct3Osqe+
jIyNmJyaBRWaJD1uXG2Vpw7YtTwiR6qFsg8D5DnVXVR29lxr284b7JsGVj0bnRlNw5BZUIt6iBKE
Qc2g4nXtEtnEBTTFa6jgW2tMA9eYH/MqvI2q+thVQP9dvJZG5nVBoVfPIY7JZW8S1Dqw716Ou450
4cBs2/eedGBdei9WaJ76gR0+2irwots2JO/KbO5Z4E0bz43fOFkfhVnvEZ2chT1+hKl5hPhhQ91l
xZOY5brRzGc120c3yYnAzsy14+agiNgdKRZfHVd0PbEIdurwnAp7k8nyFgI+8Zz5fFCRc2mPyV6v
5wUaf8h9yG6lkJvERdzvpOaNP+R3Ld6IvgSonhfFfQGdb51r8kj88EEI7YTtck0ptDPG6tCGPvFs
8SFyqyM4oSfHMo8ZYUo12QEgGyHRqk9hSp6MjG7GkEphYg85h3FAy7q2q/Yjj/1LrSjWDV+6EdIw
Nt5P8LBA1/rFgYCl29pIAzy0a5o82O85bJRR3DUSt2NbYIQHq4y/LApAQWJEQk266Pg7IpLaVN/n
nfHMaAlvrj5ubQ09B5IwSotqBX234nSXz5lJQKiO/3aoDeKimT51UQbwMn0ktmSHse0aVxJpEK1+
Pw361kzVU6k7gjU7mEutTz6HddnjyyWavI3Nq8EWV2Fkvo6idQLGGIEVurvUTw5+IvwtBr5jL+cP
NdlXrdJ5xQPaCcfgyxKVgw0ryh2opZQehJPjnUu9vCisLgAn6+DzEDcEQVxmLTJ/0s62DY7iVWjH
yFkbllHx5LzYAyoPn5OGnd14OY4eq/ahfBrt+UZpzothpOFWJdWzoJsm86XbyqbPWLDxqr1Q3/vL
0YMLcdWX5K1GdZaubSVPCk2GjLT5rBn1UekR/kKW9Vjb8i8I+7DuTRUCQP5pktNG76u7KBkVoan5
YXDZ1E9tB1N4ubVt63nU+aGlmPs29cjevJqsK10mV4gy11ZqxQc3nptLxS4WZbL5hI4puhiIQvSb
7AV9jbVffu4AlZl8F9zmzPTMFy9GrqqsG30Yk0sfY6Gnq0OkxL0BOWcubdIThm4XCWAIubysIvJo
XatGNpt/6bySiFpC5iPTu5dteZHAI5K9Q505ECJjtM+TXt36Y7W4idyrVI+ucrS+mWtNR1wRj1Xm
v1ijecu+qzzaJubsDp/H1mitlznH9tbo2oJNKHZFz39Yq/RtifUP2afV79MM0WaDtgsOl5UL8w7b
ukEbUdeaFYDEtgy4/aajBYaehHP692aTFk2d4+Ne1LnjkdSJnxooIxFixB+YnFPFqK04NfPINOXu
u7by+s9+7HuG+0+TvX89iKNb2C5Y0Ls/TW1kCEVda5rkLKaDVpwE9l3Num+H+98/zE9D0D8fxkX8
bbEmW5h2PzaDIbMXugBB4W58GcoHzfw/Vr6/+O+7rCuFgbODt+vn96rxJ4eYhTw7FwNftL0Xvv3t
5w+r0eAd4o1alIw/Pv/IxaFu2lV+9ug77Gv7X66Rv1y6/rTj/a/356fPGji2HhPDnJzBHsGSkEin
3Y2F7PojSze/fym/eKiFybsMdG2GiP5PH0XmkRA6zKU8i3TP/r0VKwWpz1pzDYMu+/1jLU/7PzMA
QJosPr7/WJg2fD/7Jk86710ny87KXIMXAyDNT4szdeq3v3+gX72o7x/opxdVuAS8dN6fD2QCv8KE
Hm+5R5arWP0f37XlSf/8ovxl778AjaFELkuM7/awpl0YJRcvYdIm+T9vPaCT8NPvX86vvs7fPcTP
X7cZ7EwJ5ro4F95bGr5Y2v/j67zYMF1rsYSSjPnjSyDp2m4tjTzslBPQBOc3/T8OL6S+wjGZ/hgm
3NgfH6HQCup7Ry/Ps/s2uFcd8hPR/h9n168+dL7Ers3GdVm+M+P6/oMAP6iKyZvzM4omtJV4BHT7
picvV22wYv7+E/nFYzEnZ4yqux7O8J/PyTgkCMNP7eIcLz11AMA5hrheMbbdGbdfH+qfJcgiJfnr
kefVm+Jb/PP+Y/mbb/sPVOmsKrhDXLbrFov878adxh8s9w2ONV38y//8bdzp/YHZDAM0U1LGkI7L
X31bgHh/6DYZjJCNbUNwafwt0pa5bFm+OxgWk/Oy5bVYtAAUcfAy/vh9rKGOWDaY5rNSDeouSoxV
7RNdqOzpQU+rXRh7n6wBmEeounfRhRhlRlzOo3Vs7DCDF6M9LPlkwp5O9ozmykaBaoCHIIwrOTsQ
LKfQuyZgFM+/3hlBhbpRjv5pMO3LMi93XuTvu9SgocDr5RFAta4jMAOtM9w5dtltsY18aE5B9CEx
S7K3opPrgOLSCBVceZUdTAbZVfiCdjmgKmEP7loZ3qOrzGsK/7Pto3PrSFRDl9dnwPWmXThKqOe2
f5Ol0V1EeVjYqDwnG6F4lJViM7XWx1BG6WmeO/VWtDzOZPe7WaujtQldVnMo/zUptuCAGPlkYMZa
avAWUaq66EQkA0MNBQY29hIyriAd2Fu/yt4jSPJknikmXM2uq2qEZ0Rx7cYZWKYriAYZ5B6/XjBG
rb+umnhTW5l+IPDkaApADjocWVLXfND75MKGkomiJCTCH5y7Sk8crLB1u2ZyzKvwa4vFlHMoho4N
zQyzwm7s7MB47srBB2wWRbtu2vC1ibz7FErXIdHMvTWFH1QppNCiHfR8h5hYRrooGDC0aRabqThs
VpXMxT2zUKSfo32ghxs3VqRuscjska6769hGiRzNTbUukyZkpduD0hLkxaiU1DTagWCOkymoQpIu
IWZ9qnUatL7Se2Tos3HrV7qHWFNiEYZbCFE43mitLrb9IHzJcW/kaNzD4uB0mr2PPIAhg+bJg/Ls
zegS791bFmkuhpvuWhg51b5uopJgdjBqF7oTf460UgUeCKsLVl0Yt7L6UFfRPePaJZjM2Fuaatec
/0ETd3bQexT8fVEeC69eAsm/lMTukvE1HMXYP6uG8ZAzJ4+dUQEYNn1z3YfquW88EbjNfNkV42We
i4UVlQIj9aABl9GuHexTQXLaFGqP7aCLNbQwAsrpXJzIOrsEaHfsp+wkJePMIo7Cl80udY3LzMHU
Ifz2dVbhuRfywR+ZgueY+SKjsnfMYfN1qldJUKdls03igrQGeYoJSh6zKA7IKTwVGSlnXNDrwdU+
J2HyAMC0WkdaFIOvFJ/NRD320tto+OJWNTabt762gd9oL721AJta72SOuBb1yZE3jrRe0bocG939
7M7Nkdb7atatI3HrZAyX9nksS+NU1PkuE8y3lOscTcKuiZMQK82Ib/tIQBBLplfDvZdaYE3eUSXJ
1u/hsBN1Vq8LuPdJj+GyldkNLhdtbZT1i9JaXJpduGaUdR3buCgcs92YAxBjAFWa5uznxfKC4R7t
e41csyYiKYv9ExHkaN/lOSGburP41A3ErD3MvZ3M51ffAVPTgl5yvD2jNOIOtDQiyL267Ib54Kvk
HZ8D0Ri6jv1v8FcqSe/azH73a0TL3Uisa1G5j5EGu1fPQ37E8FlWZtwGecVZuPLnbNw1hTHlfwoE
/7lxDQry39y4H/3b51/dufzVv+/cxdSFmBarF2UcYWbf3bn6HyR1An3jLGDBu6g4v925ZIYaDhIF
CiZIfPz5f+5c2OvC1jkhMZf9XTOYaf7YYHy9cmknbZ82hk0nz+LHK5dMEWXaYTKdk+LanEj1NkKm
3WPrP4wzgQhiIiPFJ9ncm7Nbb7LeJ5VpINdmHbQDlETIu9g2SUZvpH82Bd3CqDnv5A2fss5/nBf4
1lB8QS69rZaQ9QQZZKZyBbrOMcj2m0FP5peos9GFh4S0y5npkqiwB9B+sYSTj07kzFuTzhRkcMX6
LYSUadjPMuNrPs3vBB+zWFtIgFX3IJP2uiYxPmHOs0OudJeTJV+WY3QVki5fDr0CM9UcdY8x5QjD
Ih9LXvO8SQneAtt06EiqZ6IQYh4ptkWsPXVk2eNuWSHuu6Lt284W4Vl4jsMgLBo0xEO3SZNqW3k4
0Uxs0UgTPpd+cm4kEYxRUk13M7ijpA8hXqgGpBQwNjs1Ey5uCwIFIZAkWdkv+UwCkTOELgxqkV24
hIluqkFvNtoYEj5VphtvWHaLS4TSRGUyEB9v6t2dg2OEmaD9WFdsvtZRUlsMxjoubSCcJcry0WEz
+aAPA6MVHGoVCVNVK0jJTtu+ZvsZpUtudZShmyjZ+lXA2ZivB7IBCbrAxIbeCTrsNKs0inajsPq1
O6PLCPFcWC5sLMxYHyq1T5lo/BXy2tfZolpDLMyAL+we2qJ4TXCjhDa+tAxUpNUcpq4jdw4uu5MW
e6AzWhBLZa9I5zj5AnawZJkVx+JpspyLXLFdzO3prdLt6sHKcZHkFjd8vxrUcOiMcTemabhP7NBc
aUm4R5tKVFVlHomf1wmVxYQxadO4mnPvUetxJzmVth18A08juNYl980Lh8PsA88SpSI0MwLY1WvE
YlVql6BSWQl3vi6McGt2KPo1FHt13T3OTOIz2/hSmrxnHPDPwmP1HcoHzCEvUV5fj7FM1mPr7WUx
Pzc14ChRxnsWaO4asH1QjO1F3pFHZ6Tzc4/9ian6WzslAYkGRz9NNnqiXpxkaDehyWpMCobdWZ3d
c108xDS28L+shqcmj/gTAzXrYL/clwrD8arunFOt3Ns5tnbChM2N/WwnJmxzXfdqe9EtSJ+tqxdn
JPnnUaHnqZzZuITrDFrAKS5n2V8ZZrSVxWcJ7aVjohc0Q7grk2Eh4FsLQXC6ToCfeOTArvwBI3zr
Ns9z14wE8xpveQjxzRayXYsGFlgWIdjpp3tnpmgYy8xdmbV7DwkCDJl4mb34RPDmjWloO0ozKHyV
/znMxT73Pb5GbkXuT84XMFwcSWMQpsaHnVqKH5R+z9f42W0JGNPD8qpNsLX45md/nuog1YbrMmTl
kze6tQ4jg1C6sLBXmROz/m7Zp9hyzK4n6d9K/P3LKJrwqp48nHzSYTI4/vsYtm8yq65DvSaYxrXD
TTOIcJ1PlU9ZYx8V5M3r2fR2gHni4ibsq/ROFfqncDJJ95bzw1yWl+YcvetsCbqsm/bIr7SglQYo
3giWpoobTFyscHD2f5TKnYMO7zuUAbUY/SoudrIBVg6uGM4iSHuhVV/OuntsDf0i6fRDHLe3NZsm
bFHmwZmtq7HTjmXOq0xktVFtLNj+aBZhalD84hziqWv9OQX758pfus6/vvLv3or/2SQf0S/838sf
frv1decPQR44WOGvbfFyf38TFiE15LpdRl+27/1ZEHy79c0/uJDR8SOoZXSNjug/t77xBz4PE50S
clsU5USu/A2pIeKhnzrtRbpES089YDHBQr/747UPMS9uYpaPJwadVKK2rBADrjvHliDvoIpwOfez
W8PSEMpgMV2QXtmV4SaKi+jS7FL3TcZLPgRlu6heUzfT9WtuLHrutOf3tGr6wj/nZTtfRGaXJQdW
2MY9rnTNPuiNIG7Z97X2nIdmeCEnRxD9IGWq3yUuh8xxjuas+eQXkTOcalMR7qMwoveAUD74qSWb
skg6nOuW18EnWVR0/ldBXVtN7cHKDPC/xC1IQoDF1HEluRxSbhWLo0FcwbGuqtRfF+iWgnjEwVpX
dRt0YkqOsEehkoSz6lYphse3rik4MawqpEyBxTOvZRF317FhvzG7fGWV+Cl1OM4ZEeZr5dgfqs0/
HL/U8aznlfUZlQ2yBhanVTQcilnY21ZqHQrpyFn1hkiS9SCJ3yNznBEDgoInXUuQKMkh/DQmbLlJ
GDAOMQjxS6A6+V7qtXvlVt2IOFJVO+YkJTwtFIu5LMa17SkmtjVKFL8noCFu1MZpPQx6DdncbX70
Oh/XQVi7p8m254O0iHgl3ZXFkB/vgJ6C/YwAdpqTl67LpitY8MuN8vwP2C0alOp5n+kUeGggd1M4
oI9ocrmKQvCU+Puel+jnjRxmkv4IXSVrlAUjIFCotcOVNEcugzge1362gFSYRnJEK+PMeELewQMy
byGOFR+psOqLvEqKp7THcUqaHmbRPv0z/OqfU2uZcP/1qXVNsuJb89/DweWvvh1ZaCE5dZg2uxg3
gBj92KiQO0jLIbCAGbQj/25ULAG432cdYqFftHSE0v85suhhWF5w1hkYir8qJf/GkYXw8qcji6kl
02N6Ik5N4qV+dhpYcVQUGHn1s50NrdxDyiNH1avkKQ0zYt2bGy+en0IAbUbVZrsh8p/IHyWmfgHY
M+/ww4z+g4YAuyWpHWV94/QlZDdx7MD0OPl4MMdmM3d7O9VeyigipnyLaf6sp350YoQE/9ie/I2r
s0SUDRIyZ5o/U5Oz+13oq/j6X1wL2qdnaiQIDu3LXOb7gWJqY9r9NdWcGVSg6vj/xXHuSZhHAn6y
WPStOjd7LLRugkEhPhLVfBlm47NHuh5URRnDbR/vcm8c1ghwXoZJe6pn6HHjXNG3OB5udf+qcKbp
qFny1tFJ0xgL0DFjmCLlc/gXw+aLHXYW/yKExV7fYNI1NsSEJCuo2cYmj4m9nUvzk5DP1HZxQzBm
I9YJZPS9s3jwQretN3Rok8U1gYcZSSARgBtF9AEKHLP13/SEgKMgGWsW9EUfA1os5B5PTUWjoYEd
tkYViAVfwRJz2TgTB0VNKlHg9TWEQvioqyka2hukhnAj56y+6Usz3XUKy5dyGQIZC3O/qSGTxxWx
OXkhUWJXznM518aKGnQIrNryVmVJbFXbxfZq9MFbhX5ooy4aphtUvBZm+lRs0qFfx6VTXvis7smt
tpJTiCZ9M/hdcxFj2N2NdURFTjJPs6kM6kstNsOdLrsvhl96ZLwCKK9kGO11R3vvSYRcQX8htrWn
GdYrpsUJCtW9JZwPXyttwFPDEKCno3PwrUMmoBSXdppdeybDWZ0MbfJKqPx96GI7KzMxPveNvfPi
6iMfdX9nL1HcVa1l12QpRBe8c/MqDYfizStRxxlTIvahwBHVEAy0Kgwg76beyhrJPFjpvNaKdzVh
2SwBTa0am/FQ62n1cXDL4RgNXb3zY9S7IAfMnWqdLODDI4Oisb8kLL4gZsTY7y1z14CUjFeCVExU
HtwzNRlv7yKnwQT1wkAuT1zACcgZKmX1QRgNOhkLYeHAhOyyd35z0UXNYG8/zLJogxhnvghG0xuZ
sjHj+pLBKt17um7clDo0U9xmzZGwCoEWkv67FuN9pukRctSM8ETTl0h3q0dQZNFazCGAFn8oGZNy
B/bNixZVT1lZAHXkXg3inLahz8sSNQaMY3dKH/WivE6rJnmdfPRdRhzFqNI88CAK7cbc3YDNB+pG
LvAazE118DvnI876106E2yHygKf52pchbcFdFcmLqaUXSH6fRwfKsNlozjrL6+UQ8U+8FYdO+l9K
fqdat2wRcu+eevG60vECEHazKuryisLsk+H4T32m4XOoR+DBtXcAprEv5+aumf0HQoXDQLTUaFVX
BwBOEnI/k2lnGvT0MDcZB+AnH6KG6W58G4mavOsIolmXmdXRFvMbLTLGycLYJ2V8Id3w7JnDSRvN
ajORqsIvhVQrEk4QGCUZTATkmu+pR+PuyDbdR2aPpMrqTCQzvnXh4D9dWU5JDJudv/sNMa256ArE
KtV1OWh3jBuGXSplchGhx6PhI5RR4tTgKdFVTxqcCTVyJoXlEN3kSAVowtEodsuPZxbgl1HQpPtW
2XGQkqe3EwSg3mZRrTaegaaRE6bbNamD98Ie/Z2y9CmY09hbOBkZJ4w77UaiCoKQSA+0XrkV+HPq
oNuzvzRTNG+kNR8QL55pqI+5mV5iw8sDcxDGzhzMLDCFCrcSgM82dm2xy8IQooYoy73hjPYSVrpK
4mxGWZUYO8NcGHkpzzbO+dUaA8NeCPPQuuJsYW5xSgmweLuh4JXadW8v5NKIQCTd2WkpQ5I0h45a
RSD0ipwNBMfUv1J9/yl1TJbtf13qLA3aiqz39lcdGn/5XbnDzJOihVUoA9pl9/2tQ8P6AbJ56cP+
3YZ969CwfjB2hXv6raT59yrU+QNPCKt+8KssLv9mg2a6/zWX9Q2b/pEGEjM0RdRPc9mmo05nCaKR
cpCn66w89Ek4rIrMQaW1SNmlO+21RdxOe38jKJrW/SJ8H1DAD4sUnhHfYV7E8WqRyTP6LVfGIp2v
FhF9gpoek9gjUWWvSlSnCRvUvMju6bPqwEKJHyrzgeXdLl8k+lGb3eLeqtAymp8cVPxIUpp1aIob
fxH4Dx7yzjqtCUF3v4yWM27TQd3lRvrg6jlTUjkDDNCYceR+9Wx1qtskuiIATRu2RDwgby41wtJk
t9K1ejdIjaaE4JBV0xGXN8PD2rBeQQ+O7FTbhKP1qrJem264yb1+C0ZmgK1UNm1531WpUAxhdQuF
pDIoBwZ/q3S2KH0z5YEhIDpXkxn0BKFw7abXXTrBmC+ydV7C9exE+rl1Mb8Jy8cM4hHu1F5l/YPR
lO6KobhPKChplox87txRlys9N15ThMQcoagqkWjC0SRYxwmb5qISxTvukJQkgCwuRUDImc7ZkFvG
TSUjSQnlAuedSIOLGbe61H5ABMWGEetzQU4MF2p5VvNYXooimdaa6weFS/sVqUORlVeN3uxyzAqZ
716MdvhM3c4MUJoTSIt02xWWOOgd47uY140ud8SI4aABFBlOM57Pkxe1yUWfIChVvH0wYEJtMafk
ZzQa99kigM6VC5MFTbT1VR3dLkJp+VUzXX/VT5MRcprxdYgGwLdwGmrRRW5dK3EXob8mtwBVIpys
CmW2hna8Qqltp+4Bc9JO9mCcFyl3j6a79fLz6ONgGg14T6i+LeLimwHLS2p3OH7SJxt5uFsSOYdc
PF904z4C8hEhuUJQXiMsrxGYQ+nf64viHKedWjuLCn1Gjk50ELp0HYX6iFTdWTTrfOQpiOr0gxyN
Vb/o2rUpsgNz0bqTbUj5yU2OCB6iOEN+VPFtl51mZPL5opefFuW8qVl3STe8F1oT5M193en6msnl
TYTkXnFNFWq+wPD0KPx0AGaDPQiRfjKllCqU/EkjX/NFx6+53IaLst9E4k/SF1vgRfVfIf/3Q70M
BPnlszOzD+nP8EmfDAwDZaNtSgwEUH7fTSUwSC3Wgig+D1gNqnq4jLEeZIsHQRjTtlpcCQkGhBCb
QpoXALIpboAevPeLk4Ft5aW/eBuQIxyzjH8N08OwuB+GOj942CH6he2z+CPGEaeEu3gm5Ff7BALP
ae18NVXEqAkBczrRS7qk9dhptyIj9susNXscJi8N5ozB7wM29bvU9F5bzBt5Z2nrEjsHSwwCF00E
/Op5WvweRo4ZbLBI5Da6W0+vYOCgHmZbaz4n2EUGiD3Z4h8pPevGxFCCnOTGWBwm09yf7MVzMmI+
CQuKKMAO+xhbSuLJp9SQl+DcHlzwWqsMuHyLkcVQBHZRCUjRPcncuqsXx0uO9cXKl1VWfUqwxIyL
NyaasNum2GUyg9Rw7DN8SS7KxU8TY6xpQlQBi9Om6/rn3KhgEqLa7THjlJhywHEfNSqLVTVoBwvb
jsC+05IJm2PnGYBukTZzOfotSM/5pu1li4K9OpkYgUbFV9bL2a032QOhqa8SdqBV2YcWC1FjqQv6
mINuxo89FiMbqxHG54zSNdz2NhpjzEgSU5K+uJNmbEqhUV9O2JaKxb/UYGSKS3lMMDaNGJz8LDJp
J1iylZVYp5igrD7ZFpiicOYdE0xSX6/kf2qTZSrx29qkffuf1Vv9/variO3lj7+VJ4C+KUAs5rSM
V5YV8HflicCrbgiUzRQHFjvFf09jTPsPXcehvmRFIMpiVPyfaQxeddzltHKMfP+0uv6NaczP4+Nl
qLNATCmeEHGiUfxxfGzGuja08BivYhCDzdU4vnz3tvC9B7BZfC+qRnj887Rn0b2S300cOCAY2+VF
fi9N7DDu4RoZuyvMM4FhqC+Tsq6yML216/YLS5wNBQfmEos+RteKAwqnfV2lrFGQejuaA48Rt2Xh
1hRJ4j7t4q3VqM8aJr6V4V92dj0iO5LDao6zs97rtkST1VbmOQJmyfqbMNCINxHKcJVPrJ+nGYq2
sA8juQRfBlvwA81jB31WgsjYSrLPlZGFbK9R5lrMN8BHRtpzmrH89aX1qYvHfNvqbrRmPVoddRpW
kr29s6tcLci8+tnHmBigM0XpZlnDdToOOsjQst3qNZRzvLpHQiRepWFc2tjUfT+fsGv21T4ryj0K
qnlTh9V9aGfcXMnJi/ktz/ywNTGwWLXGL5Ra55aRyKrBY7Nlbr6JVHvnpqTUcUKYlf8qhbYvVHfR
EriztrvpZpTeBTu3Ausn04RWXlSu+xbq/cC6j7bQ1zadTN7aBtRrs4wKbG+fRelZA6tGdcXCzXgB
mwkk2d0jPbm0CuwatdGfMtDIDlkdtSL5DcbdqrT8xzSZW2KBs+s6JD+imeNjm4gXVRlLz5heWIue
PqPiMmY4qObM7WuCH4qbMQ46LzlMGbYrO4VdGabOTlTQlkpHvnaWHwwCqY9AV0Rbj60rKi5gE+Ky
6Z8sgKl4Da+cxnlp2vksE2jjOVTALsyZ9veneKgPJSOuaEyf8JQxdfKHfdZzxRrZHbpcTLJp9mQU
zaMeuk9O2G3L2rnwZpuCp351rBZjZotvyGxeSl48h+vIunD+jHIhYFG8Ziu+MeV4qYbUY0wUATiY
2BS3XmNgw8Ui6biv/ApIaktfojAEdk/kylbrOr421ZepTPcey1nLVK9LsLKm4RciS3klmfuR/7IW
dvY+y/BG5vrMijO6lOlCzotIebY09z6eEfYpgiWjhH2kyOnmdVLKNEU96s2uffJGQpqSxJk3msLY
bDt3qW89d6qJtjhk4GOq5deTDoRzYvroiB82qqFCXzBCB9Xt29HD59ZNXXZEYbUoEcwm8DPVrwws
5MHQOFdRa+Aesp1HQYr7xq9CMHB+2wcxwxGChZWDSDGve4Jb8kkLp+UCTq7GOnEuK4U3yeetIOZR
RWtCB3AMZmW8sWIXUHiniaCdWZEXbShvS88xWJJ04siOBrrpZKxafG1tO56VpZpDAQ9jpZtMaHSj
avbgPtIgSrpLR4+4J6UqdvpMhvM4+8E8GgQXW5kKyrYqGUEm2dllLAX/U2vAwy903VB9sufpsQ7N
N1dWe843tjF6vvZ1aLtTpl2G0kCImBFlJh2bHQkZO3eljYoQDUSYPXUwS4e+HpC6OGcLtiMny7pO
rY3p6t2mVMXRrVwORJ0n7Q43RUfUl3LVijPqIqrCPWOfIO1TQgHaS6avu9gmcDwTT7iIkIyKi4E5
+K4Y5auV0rU1SYsfK3SOeguUNLQS910NmrFGuAPH2KqG/F7qOaE2FNMmupS1OVcetIpZBnOS1KfZ
k1emofbSb270iqYww+U1QsFc2rUNR97BILkB55FTH7IJL6Wm7nMjX3doC7JNA1M1mIY29zlzuotB
OOVrYbV0VIn2BdkpAtiuJt/Gm61NrQgdAdBbg9yQbr8nl7PfAcGcdhz98VNY8QhGl90XaG8ZcQv/
optqpnNpdFUATVtnEF4YyOFys0r33q7KlP+VAljMDbqXyQpDKEnVvRNO915hz89zWCTw4pEw2mRK
rFy8ve3kaTslMN2XU0W8PH+4YrLTPddJ5m1HbyLEkqSxmFspbvdWzzZeDmprenm9mfLyxelp34gf
oBdB1FBiGHIvZDU9iDgN+gSYMZDmhy4z7r2u8o/jNPbEUtNClmE2gWZAAauEeDEZQmzM0aqeO0dh
KS0Z9hPSK29d2MYrAA/PBuXkXWjYI4msBDakLDeD31/Piw77BwOHSYWhU2r42F8gK/5k4ICu7Jhe
lBZXrcRlPM4H2xluhrrZ/v5hAGb86nEWgwIKc372PxcBrUs8MSvnqzzLTijGHjiVMN3mrxyXgFwm
f3GBZvseYHjmyX1jxJcEK5JOURw5qS5tZMIp+RNokW6dSgRmTIgICcVFFH4QWMXWgZ+ANXtXjoje
fv/Uf/nMYQIRT032F2y+H8sXO+/KpPVlcUVm7SqaADfn7B3+TMr5S8+T/9+eChckEVJ5j3fI5ov+
46M0ZPFNuez6KxWx6UJUdjBLDgYRVv/L3nk0141lW/qvdLw5MuBNRL8ewFzHa+gpaoKgKAree/z6
/kClUtRNFdkZrwY9qElFKZgkrgHO2Wfvtb7FvgGFdIHhfhLKtLiCc+dOJLEP5rDgHlBtL+2bOc4g
2dL17kLFusnZlbqix9QOtocmEFs5CqVleHaMBOL7fE7Vg8xzo2fwqCdLm69BJTwlbYp+mQPtPCAN
ayTdC4mO8pJWeRZqeaXRtHVYlXRCNC3Y0BVDhBDcBlsRpU2ob6tZfmHe8DQajEs0EqxGIz0AKmCY
bEzCRpSG+CCGWKzmsQupm9oIZkRsoJIK7v1Oym6rQWP/kAKA19jQG71sN7o0ePg7nWpxYk6xkXil
KJ8wMOTuONOHlZR074tPHVGamrFlXXw0BY5zxiBtplh9TCEQM7VhjFAikFME0Z1VSo+Rx8zFSF+4
o5Bt6haQeCaNCO37J5Jqw+cp1daiXmXEDocHuViiuJtqhfEZPZ48Xme6nh4t+uKSPo8XldEc3r/n
AJWdPy/g/HkgTW4HUwTYufz8jbEK2luR87P2aEjyk2I1mTuXfXrUCcSyWU8/Bw2TSlRyjqSPrhml
OH2U9MCnwryEs/KGoJsD6nebAeRBK8xPikp0aEPnY9V1orrNNJm4mojOEq03zPWFmm3QEJTuIEWL
zR45I07wa6AYOfNDLLJZNDqY1KEeDx1cFHQh5NWt9Gx+rgv9iQ6o5vRSYeBel+908qBV2vQIKSWX
EQPKDMDedj3on5hzbgdf/gr1NLHLgWXASjd6Pt76Vrw3+prkVQWHxsQdwuBjkm+0vj8kcXhTRWTx
GNZan9pPRKKpNnWj6OkVlvSw6r2mYxpoLmMxhdaiCPXKZar3JHBPOKWlPEqK8EkKMZRU7ax4Iejr
fiZVRhgL4PX1WhTjrZX3HilhMPJ7V01a0THN4cIgi22Q+oZtvlxChm+VoTxa5rhtQFYxb3iu4Enl
hr60BQ9Jl7sJgnCU2nsj11dDAWPDAE0S5YTCWdFVUgrJFpeWV9DN01MU5iUFTaEHnEt4GHvBuhqq
9hvKdJ8JFzr+Ll61bZc4OsYNGVWPJEGXaZQ14Fa+JSnIPDWYnWGpUJMOdQmwnUQaHooC/LkQXQIf
sIMQg28iXGTs4gTjMZ0j4qAkvISkYfKOVFeS2DVTf8DaDxWgzogPEqoYG76wjgfzYgYabFgR/Wgp
ABONXYBYAWkV46nQBvPSN6VNkLfMIKs9ZGyq3jYVoAUM5WZKjZ0aDBfktNFvXqacDAElZ8BrGZYM
rhpOCSkBqkrmFYR20re81DXPSPBfmEdyOvVpVagb3+gfSlFgNiYedK2uvdFX93E4wCsg5fOik3sD
UA59O4M55XroZ7ekbtjQk2pcaEKbuqcKMQokveQeej1s9Q+2tg+e1EWH8fZJlUNrYpSadLhgcKI3
B+DxztgzkR5OSX2QOLG8vzb8Ok5YfKS/rAyLguPX66HgyjNWhqJ4wSnRj9fYkPLg06Bu3r/QgsP7
tTbgSotNGdu1aRjqORZ0aHArgO8g90qaaDBHeOcjX77V8L9swwKDbDL2F2UZYQfCt30wKxrtelyg
2YoZCw/8XeKohG8oI66IkDRJTezuhag4gb66SSnfOPU4bSPfjAH2/LwNVlkbfc5j9UEI0/I66JIe
jndIxI7WXWiYPCgsvEnCn0OJt85bxXiwZOumBH1BJ2XXKe02UmQkZ9NWK63TkADmZts2QEEk8pIw
LqAAMJ2xlB6ysvai1N8OpUSfeTTtVsueZnHSnHQIHivGAHj5faRsjRJ88Kn+2m/5/vW9/VBxCrz9
+hJdzaPaN8ejOX4O5y+T+YEj96O/f7ZxiEJKjRwkE9L5G/xRdqXcfXBbvH9X6Gf3X6ZniZjIwXTU
5MuIcDI+JjGcnPcvsnwKv5Slr7eeiagSrLhGus2vn9JoNEOIV2k6WrIjt8/tkFGT3EWj8cG38WpQ
/nkhNJrk7BkG+T00vyhNpbMLTXHEWHcu5SNlzDObmnubrnxX8BhROw92bj9soSvsv1xHTng/ek/Y
tb/wRDcbZfv+G5aXPtvPF/K3x/rcSW31kVVaActIu+pd0UFWcdOtsytsDJ7lpPVKWvM5ryQHU5kd
epZb9p56zJ/ffxXa717F27vzbFaZQsU3ZQxOx0/jVvYMu11Zl4Z9ashsdtcPmrMncGNtHcPVuMlv
tM0tMtL1uGHds+d1YdmNS+vMtVxh323ydXMiWAFSvntf2N1RdKa1trW2xcWwqe+y1c37L/1MB/v3
B+usghbkJkpLwlaOml3YJFG8lKvyVnIrJ3YJg3YjL19lu2J9+bz3ui2Z16MT72Lb2sVHBveO7+mJ
/dV37t9/VUvA49++1jcfqH62O0RRAS9W51WFW8sOnXmTrf3bHOQWzj0b+YQN885O1+ax2sifaaR5
719/uX3P7yokdn89R2erDUuNMDXlNB7FufCMYbiYCTTqO7K437/Osqq8d52zVcckKJ4IcDh81NR2
PzyL42bQvzChrUQUpuXq/av9fo37612dHyaFjMVfq+LuCH2Uk991GVz9zy5wduZTRpPZKCDDY6Jd
yDF9QMtw37/CB1/MuYdeyEozNwDQHIvyiAB3Vco4L8wPvpWPPqezxa2RiH3sjbg9jsu3QlSzNf5z
tsFSI/z8Ks5usA5xU5c32XQc+tGJAFwSywIb+f0P64O7yzhblXQ/ECaac+wGo+6oVu4laXtSICEZ
hNPHg3zsIaO/f8nffj8aenqUG8qCAeWGf3P+MqEe+GXUdkc1+1bHKwh5NPnW71/jt1/Pm2ucPTRp
YDVCFarjESsM/furLPugq/DRBc6WxDnJRiUuqv4osmjTjE6U9IOP6XV/fO/BXzaUN59TGDH08VPu
Y84GNhaCHdlTB44Izq52Qi84dXb2Xff9L1slS3Teu2vN8q7fXJKkGJSRcsge9YnGMJg45xBwbXt4
kvbztrcvZ6fkB7bmZY5km1eCfd16y65++VhdKjtO7Wi2PPQim9wJ1x+9vN9u5G+eCP38zonqQQQT
2B6l07KRCzYkZHWbS46drFX3Ibd3oj1dfBO/cDir76YLkrU/WL3kZXl670s5+957oQGybk3UEm7v
zu6Soqbb1kXqXuPV3yvrzn2UV76d07Fd1ety/XFuwUcv4VUC/uZLEnAxqflQtkfMTPbo0tmMv2or
yTUuupdxU3rZ3lgLa+Fb8Kg44zo5YW56ef/pej14vfMpGGf3SUJIu9rk3Jr1alzBQ7GjparbJs4t
cMLtFnSePR+xUj9AkHWzVbk2LhE8uJ0XbjE9fk6dD17PUhj/7fX8fNy1s1LAFCxmQzlLSuWpa31N
mNO4mlfzPrqQ7Gd4uKvEMbflhqbefnSMO8+kOsi9dp2sbiJ3KRL+LA7+M7pfasN3R/fICuv8qf76
2/DP5bf/mt2rf0jKIhBcwnlepYB/SQsxf5mYKHQVyMqfY/0f0kKNn6Af5EBBvrpODMHb2b0J8ovj
tEbyOhaaf2b+kn+9pzQQMDixNZ0DjIzbTBGXn795zKxRE0oL5chRSEzZ1Rb+uUmw8lbvYaL3r3j0
tmpJ4dEnAWw6hkZaNP5QNfEdQGc8y6+Q9byGt55XJMKLyFfhsAP0pL/VIViAzx6M1QytfUx7mBKc
J19J7oq+2IeTV8Q7XoAa3nv7Cn8325aEag1cgp0LhqjbWMDi26xAfqdimJSdNBGJdpRIurFlvGur
sky9uWjTZjOFtJlSrTPuc6kXoNnibb4vcZACPtDKeXLUnLG8IzRVDmquNC+VpC8flayKHwWt1DY0
pVsawn3qnwxRCkw7NePoADeEdL7Mn7PAMSPdd6xC3uaBmDkIhzsob0Z2NPS8v85kHc4jgyUV3G3e
bzrB1+j5VeZnGVX1jH3cKmaEZp1OL8mM6CzG7EXXgmQWszO3WbRJa2N+zmRBAa2rTk3uTCL6NfK1
LS0uFwprB6zY7JV2rdV8IY0bjUL/CPhVknAL0J5SYxI2cw+vBvR7SPb9vBjdB2WerY0VIKwnWbAO
1obYzldN3cefFStvriyjMVZxqkuWnTZqeJstPUqlKTHPCnyal7kQ9KIXNIspO/CLrtqGstQhH4/k
+DFJG/l2tLC2omrsgKoMuRilG1HJW8MWzNKPtxXCy3GXGZE6vOiDGbxYTJPWwHx9YL1hAZ3SopvT
CA0acgFWW2JGzadQkcr6VAmMrfS5/V52/GflUqif31+5VvSTn6Pm+XeaaH75x8IFHwqkBJw+SEw6
VSxL0F+aaOUPwFDoiJnssTgt7rAfC5fxBx0zREXWz99qiq4N//u/FFI1LEVchhEIrEFL/aOFa9l6
f26FC6oCl7LK6kfMFdom8ezUoKWiaMZ+PZ/m9qEyfbv7cYf8yypx+Qs/r2BqIn9VNAGME8vMuqie
bf4QbfRyLBXp1IwCGp6VlhLmq5Hnt3nzBVx+/4u/yJs+uM7ZEYvMxxLokoaVDYiCVO8H4+v7Fzif
nP7tnZzVkwFWJJmhnnSSR8Pu1TsDJwo0P0sgQqT38Pg5Tf9YdpsuumwL35aiFxbVgLTR4qrNQVGB
FCDbVgtgFKEBUq+6+GbIQhIOsw8+isUJ/e5nvhTubzYjJRJ88gaXz0LxWG7xED10Pe4bST0N8JgJ
drej6ZshYPbj/5p69EGFBaPs7y+AmD5NF/n62RLPKqzcZKTYi8Z0wm3KpEGy6nSfwENDfFRC33Ys
cGDw0U1zV4+NrXXDtZQOOiteAeVJFGbmVBXK1ZIx4KoNFoVFi7MqzT7JmbIbfLFBWSnE0t2oZPFa
SSzkPr7JEDqOvRrRQon4G3D0SmonFNHTOpxPvR55WUBJR5ZLp8/rerQuM/kSQOrKB6YNAiVobiFm
HRTCLmuilntwjfIA0p6BmsHYcYpLNyFdsmTgo2NKmauaD1FyOqDkhph5y5yl+tQgAJsE0CdDjv5D
vYrjQzxm6x46412mpXapMPUqrNtW1V1C53F2MznVokCFq1mZrmhisCmS9LGlqZ9lc21bDNyXINcP
DqRnNfnfHnz17HEZIquJ27GZT+Ja2fjbed8+KGvw3ycmbPt2w6TQM13LQajHAXKXUZiPj8I2WbVr
ca0folX8waB1eXjeWybOjq9qmnZGttyyRbJFsIbereYouSIw9f2n+Hd35tvl6GzBM6NsTkMU3Sch
t9Pb8Wu1RDg7eDapR96/0pnc8vvK9/YhOC8Jef+1YkXyKcRRcgmKvhuB3xHUTVnhBCfoH+9f8Ne1
/M/rQSBYGKBUyedRf8wDRsNIFfk0wNnK5y+98EH356wV87oASm8ucPbZ4ZugGgtk+dT07uLPHQQH
i8UH7+Kji5ytstZo6TO5dPLJ6i/matfqt7L++f0P6ndb0tv3cbY8TuzVNZHp8mkZlo8pHlr92oqP
Fi3y1wv9u6ujQ8Rsvim+tf97+cvPRTnVURC2/+fXfzbf/x28FO5T+/TLP0iWxhxw1b3U0/VLw/T7
hwx5+S//X3/4J+XylrTo//6vp6/kW+JZauvouZWpZs4TwPha3i+PdsVTRZ7t73/1r+JIJPaHzh7h
XKYqvTrd/yqOpD+WcRMHOmpYFXDHz+LI/EPBXSYjxoatrL3azH4WR6op/fnHFgXPPyF6fOen/lyU
WCQXxQdJsJqoKgtS7GwbIyo2G0d1qk+TQBZXSbagxLaU52YMozDMT5HKUhga4ZF5+JqDgnZVgcDh
oCVeK756ndTdSyGi0BjHkDCQ/iI0pBWz1z2qY0foiQ/Ipb2ZS+4sAwnr1RESmLKnvYrIpcuORK6t
/MDYN6GwKibhSo/DO2PKHzTgD6ZfgZFAFM30n4CrbYKAJhSExSupbDUzvCfxwhFU8WpK0mNHaA2p
IMfR6PFm6SMWiJmDDwqAKLjTEPoKvCMvrYcvVtQefNzAba18VgL4IG27y3191SrWRa9WRz8Mj1aB
yXhWnSAsjx2YdqUgvGeUH5hbb0JCN6xpsoWkOMVSfKQq8/oO8lYzu6HYP1pRcxmG3SEYJqfH+q1C
vyd25FjLmFqtbw05Kl4GEp8gk243W+aTT0R5pKsPcdxvhcZye625DoMZv2eMZmO29bK+mZoJruAY
nQLN2CQGeTaxfqc12WaemuvMbL/k8ngUzPxI/tm+17MNife7rJ42XQXoMii/GXF5pIghXsDaKoF6
bYSIP4EFbFqDrqaaDghKDMGWJpwqfvKkFOq1VepOGKGgZds6dUK7D2SEQUG/rckVJ0HiOrbGrST6
96gpMf0pnp5Hkl2RxOAvmR+hL1bOYkqJzHQg7aUilmbqfLeI9CejxyNYVuPaLDUiBsYSlxIG8WwY
v+RU8QG8LPgwXjNZAziWxqzjDRlz4bYtADCe1HkeCY8iJENZE8wLdVHC7dePzZYYA3FdVF26HCav
k6Itd7mOgrWpiHhAPKscwP33bj9JIBJHQF7AYmRwWXN8LUsyuXQilVobbOIcihq4VvLuI2l2cnme
HSnv0OuURuW1phg7nYEGgiQljfiU6SZSp8qFvYQYVtGT1dyRzU0ZBWUgaO7MuhW9RKdgi1P5KjIn
MMkxdgAfUr8g3wqy/1yYigsm7zTL2kqtk2PVJIObIDNSU/8FJOUBz/CDgLErPtQdYmf+W3gCZYeu
XQ+8KCuu5CK7HzpEbmXftKDWiG/BUITAuVS/BGRT2WKdE2HdVJ3bqNYReAL5HGP8FT00uSNqlzl9
Dwwykc2XoLQ+55N8p2n6C68f938hNs40KamrlCjasS6XrpYjIoJgS2ezlDZlWruKGZ36MNtBmLxX
x+lbZ4i72DJ3ahEiXhXIkQnC+2gmSSJLqyM4mGqV9XAK5E7QD0Xqw48PET0CDPXksFfcTsXEQPrl
p4EsPrepsq9CYcIQHYclxyTIV3Eybn0hXcciTi5r7kFngBQlA+IUicYXjNNfRrWv7XrMuG8NfaPo
+KaMMIW7CklIrojzKTFmV4q89gv5U0taC3IjzJ4NPNkA5VmnR5+mAO6eJajPkY9CT4fbYXXtF6Gr
3UYmx2/0RcLS/AclgCw6QZWd5Q4tFXkhSocgWm3rzp7r8jbEJ+mKMYHbxGmB3PH9TwpYBwyzvsH9
payAEENMtAYe0SiZGNjyWNaDSYKEonzLRKB1vR8sgD5K8iSij59VW4J5dF5bvyvN5jRmOPKnuUO8
pGyHUAQZ1t/norhrB5OgKcGy7EiYMDGK4z4JxZshaC+0PLyVJkO0yW1z8zrubVMdFFcfhX0ExpUk
xuSuDlUc7Dg73dQo0+4mDJN8VQ9NEDpC4WOGBA3oCAQub9UWC3zaq3YuongmRwylbF5GKAezYjV2
MrDHCSRTAyVIGtMrptV/Hsr+3cXI+qU4PmUvza/Fx//XtQj12/u1yL6Lmv91+hI15e+aNfz6j3oE
hxj2K0igliyalrk0K97UIwoZp1QelkgU/WIe+9GsIaPQ4ndMfmCCm7D4rR/1iPoH4YX8GpXKn2Cy
H6XZny0Nqrp/2Ur5tcBfyhGCC/kfVebv4QA9O1DUsqI1dLmDE+kmdiNfROpHkjZyI349hyFqMxWT
P0SsNk2r157U29ZBJhWiVaboFIgf28LmslYj6S/1ysjGw6gA5SCmfGrW3L+k6wglRnCpNbUbmYzB
AiqWpR+M2rCwgAR+dehqwaycrFP06qDrgjiiRiWa0BVLCet6M4heUQ4iVocwyzziS8T1SIt7XRPJ
5A3okdY8X+x0xcAhXy+hsfT6ZUxy6boEVO12RVCvI4jGxLDUBb6MPCNC4iav5/BbRsd6pXwPQDEh
ueCTeQ1GsVL+5Umliok+VDNRuWlfk1TYb6urFnRFHVWMgnDbIEkNPymldBGOIVKflBUoseDr9NUa
q/5+6HQcDK1w7ML+XkuU28pqbmpirYK8v9e1LKetUhVQkNV9VateoFZ74sO2EjnSpM1hwwlG/WJA
FE6NiSAvKABo0vQX2TNmbCfYfR/LOCZaLTVIJSyqEyadeMM+v+9GJpZ6Ml2EpWKgwMNvYaYSRJUi
RY5ueROGdRtkOdREVcEjN47aGsjTfFFN5UXvC+sxSzatEAXrLNVqN1JmkN4l4PbogDSVhpFCHCHF
3Xqe661fR9ehVrGP5FruBqhm65neVtBI27wZa68OcdrU7UWogN4QJlF/nvqE/bBGoirK+mosuVVH
KfJUZg4UHrmb9f52LKvDgPzOlmI2pQSoGhahPraDWLvR1Kmw8WKQO5fj9sh9C56Sr8I7m9pDpfeC
A0NhS0TWtC5S8UXVu68SkWFrFKzZhWKROW2HiRZdlbmZ4XRWI434LEy4hiTsLHh4axDez4kQbmdd
OOKmuWuBsaWhr9smoEs/MZ1OYXydmVd9DksyhutU+x7ySSfTQbgTdLc2h1Z2K4UPXsuNTSP2D9LC
4iyRzIOi/swk51CIrWJH9bijw3o580d7CY82BM5ZlYAwCU9yA/deGLeFOu8VX9hYxv3ofy7MeUfa
lrnS4sCrDe2uAgq8bNY91UzXmi3wgATD4nQZ+LHkKHKCcimxHmGCPiqgNEgRlvaWmgdIkU9VuMFO
GjrhDGtGm6uVEQq3uD3uVPScY0BDQguDS7UH6wBYipFBTxoj7RfOZKk999J9KYS3ppndCSVq83xY
LbWybIy7yhJ24yjCtIr1XRVb61RP2VqNxsUqAWGgU9trdYh3vL9FLvqZ3R5bgkLjlyTRcCUrZXwE
Q59skPzLj8VgGp8as4ALPk6Tf5ctDrPRNzA9jakEhcrH/Ra1oVt996SBdyGPHbaqjIdgWLxrfalF
x06d4Wakr+a27tXoFrya3qrF/2YuTrh58cSFmn4vUJ14PXY5PyzBDi8Oula1Gm5mDAn94q/DlRQ4
gaxdt6KIWaHChRf0+PEkjHnkm91ki1MvHoqSAg/3XoKNT8fNxzfvVp0wu8bi9DM52Rz8xf03zuz0
iV58UYM4hpg74RHELDio2q24uAebeErWAYbCeHEWTovFsC2+dFgOY6yHZixjAsGMCAz2UcGciEeF
QV2MX6v9ZtTDKdXoYga4DWzYto9y3K1CjI4cGe3u1fkogSL0B6LR2yYH7AO2ocEoOU2RQ3KhF1fy
14wMWc4cEHny/rEHzqUtSvY56j43rboqMWFWyUDsg/EgYc7UOg6hi1sTFdPNmE77HBtnW0HjEIb4
IQinbYTRsx/HQ4/xM1gcoGKqX7dYQjWsoSMW0SJWHRPL6IB1VBrIzzKI4+1VTjcj9lK+DS/Hbjov
vlMLAyqtUgBkiye1xZyKShnQ5OJXjfFQSouDtVm8rEFu3MJb3rWKTgJCJD6yE3Bio50oQOKmIGw3
RRw8aItHFhjBRsM0y3IDS2okU5N3n4XGnjDXTY3NVmq1R6vsSb8unNJMTgp2XJAGdrP4czM5eRJM
wdWGaNORMmpXnf8kYulVCdKIFo8v452dium3Wdy/sdrsYuzAtaZ/9rEH95zw1ba/8cmGBVczr5rF
SZxF4aWItdhfPMYTZmNRjelzYz+2sCFX2JGR20FcwqDcL05lc/EsYygDPCeT7xl91v3iQlzczfLi
c84zUcIKrA6XkHfQeC9+6ARjdC6G+E1F8yQunukhr6oF9A8Rf3FUQ7d7jhaPdbW4rYdS535ZHNgT
HCdbWVzZ4+LPll+t2sMkH1AH+9/e1Gd/lj1vJzlnHcAln0ldDFhUIdCyJP2sFSwlmpRluS8c4/gO
WnlifVG19f/sEkul9WZAMnEX60nHJcSKDEpO8OVpjD/olp51Gf98G/oibCbhRTv388tyNxEnEAUn
EWeXaTBhI1jvFsfq+29lkRD97FEtalsLZwDG/iXQaNE//PpWgiKeFCPpEXjBFKk4dzaESwrVXade
Dj05lw0HH+27tP0/RwmFT/f9o8ThCXj0b5qa/OKPQ8SSCGRKtA3pGJqiujg5/zpEgByWoe5phgUN
/JVA8eMQYfyBHEXGA7oMzTROET8PEcYyJmaIxn30b5n4YmIz4VwYwDDkc6EK/qyuyvRpOInFZR2o
Hk6+f3ZHMibgEELPVOMdwplQz9rrcPsSpTMw1TdqzMJ+L4gni7xUdSP53JKQlrw3X8Jv1gv5XHH+
tyvy2b19nGUoRRGrVEcoId4Sc1po/VNTyJldBEWDi7Ywd32rlTiDNN9u9JUeA9KsfOyXXpu17IFB
rn8eGWBvdQXqzFSR4i01hWIrZrjXCliippw4ZS1+7YXkmzUKn0hRviwkWcXRpMaw/PFQ53gVQUyE
MJtYQe0MDABh0Pq6mdJopeF5WAUcktb+NGLlGyMCf2sKMyjGpHHKEdhe0ym76NqkUYxXorCNqN8L
lc+3FEd25psL76Z11Qn3JdZgn2giqgJlUxTSZR+yUeDoy0VoWkkcXBQWrnpFuKuhPNp9/rmflcvR
CDc9eS6e1DbrqAWOWZq7MNJGO9SLYcVhriENajrgAZtvjBYtEfIhxDM3BcDEjc7YNib6d1ORp95e
za9z3C6rx+KUMp5sOU4egaQi/gH94HLmq2DlmHsd3jRx0HvgV9sxgT1t+Zhhk+M06w9SSnbRIkwh
8VVZ1XL0rGri1xTGpzdo6mEs1Z0vK26flPvWHzxS7beTEl2Kc+XkPvvsOO2Hadx3Zl247ZyJTqAN
F00vPlQEUakqgLMsn++0lBGrn03JMeryyzxpCeEBoTwnO7FIDHsEfMARBJJqNZrk8vSJCDUi9ZrY
uIOwDf5KEIOVnJVkWXRDC8JQBotLDsU+nQqssaZ8kWZ0CoeTGprXTVfjRYUCTlg0VhFydf00uuxy
4Wboc3zBfC3FQjmMLJhE7VcjhCQk6fGVTPav1WUdNg2JzO5lODxdtV3Bco6cQR/U9VD3KxEkdMuW
nEmiWxTFzZyrl5lfVc4wwshq06S/HqfwWvelbU2Ohlman9Qkd3AB17dY9xhDRvW3XOm5myz4jBAF
ZgbfpFdyROpfxCG4yEnUrlSJ/FbDIoU91h1FiTjoD2QCBJdh1B9ULSZGJ1uPoualmAW70b9omoLa
BrTD3C4B2Uf2LFeGzcRCcTVBRgP9RvNYUf1VZSn3at2QfEygZJUAjcu1dNokAwFWdZoTMotAXpmE
XdLMtwinQnLtWhqyxU3cQ5qN2dE6n/FpZ8pPVhc/xYZ5KKoUkkdM1NfQ1BN26SEDy92bm9dl5j+b
nkoP6N1ND76Sk/6ersSv/rXtSX/QNJPQUy7SWg6bv2x7oI1U2Pga6CV50UD93PbQdOqLnkl9ZWRT
vvzonen0zui0wWTiPmFe+4+C8NSzcfzSPRORWolQszWNqy0v4u0mYUiBlKa1VpxkEwCGvCD8pGHp
OcN2tuUxkPBDJ6sU4l+e5egr6bU8ZtAAORavTGBiBZRAA8lerAmnWQAgy2iHgGij2KcLWpBH636C
NWhapeiaDedpU2i9Hh7h9zztFuP7K6awiI2rMSDJwq7nuBSBFelEDJsa3TBpFI8kqPUAzNR+Hfoh
SSUai1IutiHxetBS4rrE5T+5kklytV9woha1YtPpQ+YKPpEVDBCJUwdjq0OSdcOxHd2+F+96qXWN
ePIGGTNua6kYmUU64lqtPeu8T6fM+LuVRV4z3NjXMQIqoTx+tiLGPJNfgPDJOF6mE22TXPW3acnK
wHDUK3JBXIs43i80TRj2fgTd3+8zTJ51fBdVAO2FtMUrB8eoAFerLazdYYbWpne3tNpgiCTV3dLS
LCsJaJ4y7NWR9B+l8pf2f965uYDfe1AZl1k1n2lSdYeyjIkKnIp0BR5mTZTBjvDT+yzuGeIv6qYB
Xc0MdcBQiG6bkuhrz2wryOfjLGc9sylVgRlbf0pbCI1dsSSVlfsuNEmxE2WEGUnnCDMj1iJBG9UU
HMHKNlbcVNa3catfJf6Ef3poBleeA69SM3M1CMVzJRPrzYiMqBfI2ZWwLsSMhLjoRFlyoSgcc9HA
X1Q994zfNZdVpLe2STi4I9Jw8NQFJEXXpom7dVUpB0MLGcJaheBUfVyQU4CfvRTWdSygIymaw0y2
BN8eLZPO1K85Sh1o2hZePeH9UTMVk3tCtqlSzJGdqi2Ck0QkT3Wgj4XKaSRdbtXH+SFQ/c9T1U+r
VDDXAa1lV2vFe7UifEKpgEGQ8jtVrQ7VILgKaCxJ4zLjHBnAWV9rfYA32jd8ho2+DSqmm8y/923X
nCJAA8JVURjp/DKNabIxmDFZSXkP4rsCmU6w3DK1yyFt7OLWeiwS8brV6q9mOTk1idnlHKyox9yy
GXZWK6xqUb4o0vAYFcVujJtjXqSXfQ6fCPxCx37cDVvd177Rz+uoxAZFXUcdZnW4y/18I+vzIaio
bCQwMqtgqXYGRee66pq53HpY6iHQUXC0lctae2yWeinrrLucnRrQzUUt1xRfrcbUSLGDcr7sZpnR
JkOmSeuuWOwYRLWuTIQcTQbMTz4Fm9K0e1TsdH9p2BWUdIZkOP4U3MwlJCd9qfrCpf6TazLl1MzI
11YgUQAtdaJCwQj4I9hUSw0pL9VksdSVQsedk5fMZvOl6swoP03KUEPNvxWUpdlSn6oUqjNZIpqU
LHBpalhtqWbF2jdsZtxfTITUe7I/D4Shs0yI4mVWAHolNkk6AWt+Uciq9MR5eOkagBWZPl5DqAdm
lvef6fasKlX8NEXGwUyrFRwMmDxUzHRxGhVEdPCQo11mLMsebk7M40hNL+tLK0ovRACq81LGaJV/
jAkYciM92RSEXe4MQbszmXtzZVBKlnoriZoMX6kA+A1nBJZqPHqVIB9GHoNLo7CuKUg3Y6pGQFex
9htEoctljKOkUGRbM1qobVBW26RRHSuqnsKKtKt2gjlA3rOHPvxbYD1HpXHdtMp1wmfCPiA5cpCn
VE/mZdbKKzEU+BZ7wBZMH2vMegOhIn28Diu6RlGccrJoSVjkz5kmuUCaFuxSLTiG8DCRbUf9hSpI
uccXOm00ACVjjik+KxHvF5Hkdma+IRWeHjPtmO1Y/F/2zqu5jSTLwn+lY9+LUd487EYsPL0TJVEv
FRBJlfe+fv1+SZBqGkjdvWDEYiMa8zAzpJhAJTKvPfccBJ4kUNrIc9E9AuJufYP9NTjEHE+8ntai
p/cLyS+u1cBdAosqAV2YDYpmVAkdr7qDegndM2goSsMCEF8UzF/RAwUvcN0Y/YkuV+FU0oplg7Kl
EeVnFCzjw1zpzr26v5KHbA610UDNxzrOCmeFGmQHidnQLLpGfYgcet+VZV1SFAvno+C5/TeeIvUF
KwRe6i/jKWRj3lcRxF++CKcM5ggMoOFEQHT+XoVTmgJ1NG9mM/ApxIP/DKdI80RRCP1paghiZO9F
OEUQpNoYG5no6J/hxkHCvao7PYZTwNapBxLTAYR6qyvsuBJ0Kbadn6dgRRbohpaQEcbqLO7TL0Gp
2XO6hgrFqBImt8iioWDUh4Wh/GhxjJMsSbqjDq0kpESgu6rlZuVl3hz2EAj8SvLuLIVxRTDQh1b4
vXNLKKhRKSKThbs1rtt0btHzYZ55cC6gk7wxSniKi04bOObjCdO8N8A6sqkcfHFD7RNuOD23BCNz
JriZG8HSLNOUOkogbnZ1VCMix7nEG/cTOvEPUGY3C0/lMqTcCqo8x2HeDwu5T+dS1V8RqCCAykWi
JXjWcrPo7S0NcdVa7lxilde+uITlkJ1W4lp6tbaMZMdHNq26G8TVRQmlnVviOmvcazQNr3VnWPji
wjt6OanKMjhssQWK4lukdh1TtULCYWQ07dF29GiCCGvSQzUzi0vm/KGNch8tjrA9lrBCcQCLdIJh
QuD0yBGWKsRkjZiuUNiwQFgzTNKyE/atEJZOEjZPEdavGbVFgznUhF2EOgiiN9E8wGQC8bnKqnsV
Q2qxXCMsayBsrK9Uax+W7Gkl7K+OIQ6FRabTo4DCgTdcWOtB2G0TA25jyGkgZxdFopwWwsbLwtoH
wu5TBlOXo6p+0oVPiFpnZuMk0FR3joiFwHfhP0wciSw8Cmq/CxcXU2X1RYfLqWM0BnBBmfBFihF8
cYR3SoWfcoXHcnBdIy5sKIavgIIWhAjfdOHjEq29IpghGcf98c49YhrxQys8Yyp8ZKEMUIjiNV3c
pyP8aKuV3xXhWSFOVYHEUEDypcSaFxZDRvMhrQpcKfx3FJzAjuRnXitZR7koR/WPlSnrsUql5eDR
acYT/NjdUWtoyCdaizLvV2KoZzC0bqa55a2jQ8MMlyX1pJy3AHYEvGlVdkxdNwZbbHvuUkr88UbL
M2Wiq4D/tNy6tgvzuFaGh9gvohl19avY9b1jc2znY4IooQ9UzgkZ4jZpZUJhdR+OuQOOzLoHSOxR
+4JQ3GidCnrs6hJ2Rra4PHWp6szoOuVHmUVQC0USstE0uDMgga5nwzjfD/xFj1I1hB7DIlTcH3Hu
XsAy2Mz0pJbBQTVI+zZgrt0xPi7UVJ6PslmsvAZiTHgxLTc96kKVoSwYT0MERCamWdcnvi7BEctY
w4Msu9GnTNZzuENtulxK7NPJ+Nc7bbwTvY7feKfgodxKo8xf/fRMMmq5DGOi2mA8wW9/1reVA/Js
kLnwtzDvI2oAz57JOWAG07YoATBppL0CyTgH1LWpSVvUQOljkJm/AcX8DiQDXfNbz0Q3BLCphWOC
T5mxpteJ/qj5ia9mgXwOWodQLhlBqijfMu8eac4RXd5JiSpnIOQ5g85RT7qcn5eqdW6i4dkU+YI2
8VWMtic6r4AOJNSdI/9rWhrLAuunpfZp7pB9VdatYuqMSaIXOqIbWht0rAm/YGP1mpu8Tz8x44JI
gyPH06Ig/5aD/NZFidREkdRAUSVBoXT0sTgolqq6BE4GDVPfIHYUoqbRGKwqKvWTEL1TxbNWnRBA
hQ5NlHFvIZ6/GVFIdVBKhaI6mURop0pdCl998xl2UehuUVctHWkxorYaONQ5ebJl7qDS2zkInwe1
OdFcG0Yx1FprwJ5IJtk0UPWlhZ5rWbX2ZEDhtejUnvR3sA5HIf/aufpxKMc0NDtpZXYB/gIKJeYz
wWLo8NQ8qsiaV13eXA0obt/E6MzGQnDWLOwjz5e/yIlxbIvpx1zuT70oN8CAwtdsoFtbt1I47VGy
1VG0RfIvYzbJOBqUe2Ag3zyUbwdKJPAdovMy2h3syjAAxqTKMXq5mhDOpQ138zgL28mI6koUG2sh
szt0rYm3H1ZhNSxhkpvnKPI2FXvmeYj0dhvB3gi8UHlW97Xiz10rzJa1QaoIHCIYgGzkcn2Y2ZRc
asuh9qLWdPGLTC4hjX2U6aoeJbvitugoERhqPTMfRb36R4GvRM3giYx1UgByiGmuO5D1F3gH9MFS
IRRG4UadaTpyUPRt+V8dsIaxuoP+mCQmKn6IIAxyFZJxIUJmCTkyz4CbdMyHY0uzziRftae1mrMG
U76Z5H+Ne/02tZE3a/v2Gk+BfJiQPtML4z5EC00d+oexplTaopLmmSifaYgowC9GfQVYWSkk1UIh
rqYb7UX/KLfmRCvdL2/tyKgXaDXEcwNttqEm58l14EZI7dxTCRdiKl3PyamdWSrk3WQh9BZ70pl3
G7ezFAW4FFitjiicgTicSsWDeO3YTNNlmOWXrRbS10dOLteZPzYRmAOXM0ELkhhLNr+4QrHS4Cc2
zHreWFwGiNQNulSddNVtahiAwAcpO2a8egxmLNULPd+ZRLsCBwLqWfLh0i17RAU6k7K+X1w1Q+Yd
Rr5/PJrpGUjUoz7Nf5jEYGgKt8wqguYv7/71Kxu/QoLwO79SRcGQNVtyHv7up2dRUD6EBJe8hnFR
ZlNf5DzaAbOzoCs33kMkNk+eRafdKsNrKZvw15kOo/A/cx6UFB1RbgYyqcuiKG39E8+iPHIB/dlr
J+fRScRwYYLr3+SjkHi9LCFDuwz0pjSzi76UrUXa6h0aZzrsFXq38i3QzO2ANHYjd/geEsVjOU6U
dGIGVnQYY/a+BolbnZLXkVhrWnEdNqa+go+/OusiN7/Pa0GTHmOe/NgaCM8VEDo5nSWyJEXqL6oy
qc+LEC5VSTbhsXdVw4ZzVolnY+qmZ5GXO/e25F9RczPOPQW8m+r53XJEjfamtgeDK0hy0qlGc1pX
vsXMSMrIuNVI0UIxhuwzlK20rbRKfYA7O/5qyHG68gyGLtLcrdat5shzX7aR1C6dbmmFXXkM9jG/
7IggY1RQKK55+axFNQVtFSnV27sMHLR+rKTuOMD0nEUNtN91Iz3onhP6Zyh6NAVGvkrLc8vPAT57
Su9f+6FDC7drIIIea+pC3ZmN6h8YSE8nQ0KnDrgYo3stnNozQ/Xi4NiUUpBfyNcO38NWLVAlQqMI
7vP+1uxibQ3fgpGB5jTTBdUTXErDTELdZeNaNAoYNVQDGdZM/ErgKc7SzVvvOycpmMrpOK7dyh8f
zKD/WkrFIvWCI8kiSUkUs512BnIoUt5BZW0rzbCMQI0dM/g6nERZzxAAXMUklEkGIjHovADS11qj
yt4mOZ2A4otuBeSQjnKjRSD1cgkkii937cRgJAKVyMq8tv08Oayl2rnJ5cI8Q1lXnuFNHJmqlZF9
cisZHHcbO98lq5OOtBiegLxPzlHvlWZl3YKKl0hY511cFPWsdwMmXaSsOhxyN0XV0mYkRB7Nbx4i
2LPRscKb3o3gfg318BQ6pPAWDv5s2o0CLhaN2e3Y9NIxhxf0vpV257S83a/2mHQ3aViSCmY9Leyg
zy/8FnHtFFaOeJbqeluBmNKZAoJKoZ5XvVHN6JV3MGAwzLJSW/XBgTQamcYjq++0S8oINjJvmak8
5Fk+LgrROHTyypyA1Df+jfGVjS3+/XReRsq63mKJ+aufllg9gBWFIJoY33oMyf/EsGjIZmuUpcQ0
/+OM3bMl1uwDMgIdawtFN5fnpVSKfcAgHyYd+44NlTGd/yDGZ6bvVYz/OOsKMSXmGP4EzUYx5bUl
pruBWIIcyueAyICUGjYNFk0zm7sybOatzsWTEzdaMQefglpwPrt160/ckiEegBjf6yS+tgBn0bBR
Z01dy/Sagu9oHBxWbXGCjBkCCKhoUtoA/2e2NaxjyrfO6r1lpXbVcVIUh0XLPRiDc62WDhPfOWV8
Y6KUFZ1pF5LddhjBb1T2Kg2onWKpLNRd687Mppk0XjDu5ApW+ysG4hmJsySioJRJPUmBrl76JPn0
ddw2ZP45CMB1msdx+DUOhm+dx1BMaIRXVQkJa1lUU5DPx4lcUCYb0+WQZeqpnOvnPu2Viawg+g3k
pU2bY7ty73OnOw4YpVUHM7rUeyZyvNQFhV3D/61Kt+TVcyI4ZU3dCvm5yJ6NVfk5UOV7zwJU1uVa
MaWGftNb0n0jdLKz2FlFkX06xJ4/V3gGV45OgzFfVyEE/60bBXNE82BoVwvw54ZL7cqHWh44Mfbn
HBjSN0Cn5B2WetLbxbLWIybOwP1NWsTH7coD8GicRyr9TKMbV02nQFs5Op9D01k0nXHatf5Srm3G
1+zwEqgjWrxpf2JXI8GgDeetm38NfEOb4hCI1Z3oc1HhUqOo/mqM3XFnMr1fV8mPzC5PVUXzTvyI
UplPkJ7WJlIaDRTPtbqqXGLPqvA+qXF5KOdU222rdo46s8nnkNTcp5517bnDErncfk4z5WjI1Efg
zUOv5yKqBGlUf+FnqzSjJqi3Nu0cFVCrH9YXaRXGJ06ffDJPMiWKJ47FDBXV3BnquP7MaqofpIir
0CqXZlv4UxgQvAX/8FRpinmeNclEjtp2AsfYtdKWy9CIbvVBoZUEf0xuG8cAWJxpnUF9naYJZBP+
sGBybqHX0A+OUNwMYsoRIKZNrlmS08YQ+yeCanfQlqqXHUeGjhoe+JTIKS/1qDsKfWiC/RIaL/TN
gaIc19R0wfQH1nDXeFn5xYcNEsIdh4EGM0utKzWH0s+b2GUiXcokzVdQkRPCK33AQKm8AISPULPq
/oi8/sE1HBk2/3iayoV1ZKX958osv9cRIUKeZZeWh+yLH10q1F2BpBtTDbB73sP8o1ntLIjlcmHD
xAwHvc7DMc1gUZfS+nCV1b0+910iNSe2xmnYViSfQTKrmWLVzGHdm0D5+/6b7dpz2Rlu+KLByobS
4RBIJ2nhL/1IOkxpz5qRMvXCeOZI7ipEwCiyEQHuAWUN+nik5fUXpShBlzPdokKZ3Sa4MS3AnQYF
HahIBSttLTvwTkme8IV8rstwOfTNAizStEUPDcoObxKlFqoW1cwPnK9JCN93Vfqg2x0mhIuASZzE
ZGAuooVUyGeIRN9V4IJkVOOG3mJ+VndmjCCewlV+2JVEGomK3K/adXy3yPhIEJNU5V1TtucUMmdV
qH+SAw8M91CejBFDJjqlBz3iFsqMKRQoJS+USL42GvcBERJOZ0ssAvUR063tioJEP5UKwF5acuHK
tHR9EO5hQE3eDlCD1pvTzkqPe4lBvSRCStyzEQBAttq0V1SJKY7LS8dqLgKz/SKr+aFLn8uEMGQe
hTH2r08lVAKyKw1liWkwlue6TCLvhSsxFZgH7Zlrjp8KUSJQ60tXbY7KogVWT+2lJz8fR3VhmuVc
k5RD5KvbWYV4MVZYWzhGfUxUt7CJTqcOlcMil79DtYt8jdp80xjGnRIea4fAoS8UMRHqeZfKaJ84
9tBOx1EKFubYHclmNLUyCrII5VDGkQIxNWw0CD/3F1osLaJ4uFAd+wdywoCwc2ZgCXxKW1oEAXxZ
nVSfD3V+UVv2TR+gFpQYjPn2ieHM+1CNv0bosaMl1f4Iq4bZI/lz3KRUFbIT3wHjBcz7ig70TAXI
ZXhonjRKfub30OqF402kqIyktNFnLPC8So3LUnJRxZKdW8ksv/RFfwzfTD6pmsSiPEzNQPGPVaYx
/Z58AfCXXgtIhD4cugVlYRBfBdp66A9Hn9tY6qggS6mykMa6m9q9PY/l4FA14KnKu2Sc9Zl/r7da
MxvarEeFRlk743iulEDsCRe8mQdVfQ/ghRng4odVtxEsXvBTBhbmEkDkjIbGlyxUL7JEvQKz1k3a
TEccorqj3Eh/SLSKh/PK7A9HFftVItwDciy96Qfpc95nn+KAUkSXarM8BolgA29tI4QfESIBJJeD
3mjC5rKsw2Bu0MxY6UKF0gSo0k8TRWv9v2DGVF9jv0kULZPhEgacGAskW7RE8+wFvhyiM0UfIOc6
V66TyVdj0V4UUzrqU2f96ao6Zdxhnk3rVXBiLNH1WmUL/8hgsPrUX/5bbNgEuBSWf1NsIGR7KLcE
uPzVzwCXUgOlAjFjINgEBdnTiyK2Q8QJm66Q41FF7PlnERvhYOoJdD6fkNg/26v2gUVRAL4jmLwE
ndc/CnCJY18FuOIEEXarDHnqNLw4Sm9OUKumal1IznBOQaRaQCafziv6+RHUsXA/UEQNe4Nc0pAI
Ht00P+265prq6tKwI3CYJU2TwJeNkz7tCwaYVQBclX5EkUSexoNWLVSlhoEUPZpV3xb5paqD/0Jf
DXUKlFvRA8++OiMoUMmQ71JwH/QFx8skYJLG7RgzlFBAmWgeMw123E7TrJWBxljRNMg66tm2B6aE
hhgq3OplpEnxYZuARk0AW8ulb6wkq+8nhuZWhwolCBtGitSYBnl0pSv2QxcV18w+o5rMJHspm9Jh
2Ev9kefERC21k5/LDTGsql45eO2JSzgEBr+b6Sqj+wJr4XbOqUwjlcH1eNJ77aUcjZ+TJr+hVH4c
+NU3YLDLME/4sGOnTiG+ONENUbQhphxz+350kB4bhqiY2mp7PFhZNgVoXUylBoJSHx1mB0aCiCoJ
eXq2cDG0llScghf8Ggb0pi0td6eBn5Tzzhi+j4F6RoWc/wPjQuB7MQVRrbAvKs2mZI6EPS7G5/2Y
+GmnBShmW2GkMs+WTNktZKosqlwfN8ITl+PDaFN7Maz2OO2NcsqUrU1mDRYtbaocFBFiSKUNCZXj
Eax0qv4lR2S3kTQPPG8+b3sVmoDhwUUhBXhIPVVdbz0M6Y/G8rKZFTHcWesjfXy5jgH4QIxVDubE
Mgt5Bdru0i/HtV1UkJrVDMYxampOS71iOtNERFutP4dhdtnICaSVZo74cQzgp4DpLYF6WEuXjWJC
ZOl9YdTWmdRJdeyVdTxrpYTBPJPjalc0SRHrAqM4jPLKilPsYwLVfSakH4LC+Qz54UWUgB4rKvPY
7WwK6gVSFRTp1/IwMrvUZmur10r4iKRgVknuuHJrIt+ujpAp8nQgXGrDdK0y5rNehwYMkfhry7U4
U7SpV4hvndYuaJwmjRyoREaJ1E/IpOj6MZ7v0lT82xQe6knaJ/acGbaTxFRXpm3D2uI5531aVbNY
UiEK85VD2aNkgYwYAL0ONgNULc6zXjoss5pJnC66wxN9CRPtez6gSqk3/Qz1mAeMFCQohGPQGpy1
nSHPIUdjLqBK2xNnqC60XLsPRVW8yv2VRqWrC52zXk2vgzQOCSHG2xiqAagfDY9AOAwXuUc5snYR
YswK0OV+PCGefAhH5sYG1V2ODSUYQNjmpNJFcOcF15nvgcD0gngu5dGXtMu+wDnKdFSrr0s5/Jaa
ZByopNfE424uAFenTWZ/DkvpGFW/I4bRZNosxtz08yM3MyAByRoQEQq6Ho50WxcDJcPsJCuTeNIh
KjHxPetrPaK6E3mas2pzy5lVCVR4HVCSCQhD/VyNMkbsCmMM7v91i49u0fhtb/czJE7Ntuau+LNn
v6jYB6YmuqYQszITLTgpn/0i5Aig/hlCMiDh3cw1PftF/QA5dJWCjO481nf+LMFr2oGq6KppwdbE
DJPAMf2Dwo/weq8K8CjYChAQLWaFhFB/g+HuZQhUyzJtzsYhwmCinIURCuxkUxj8JdEC41Xv38iA
kkpnco8eMg7jdQCngDEqzFDPz+TGcG5QmJXMaWLFw7gCkYX51eq00Q+ZBR2vAf7BdWsqkBTZlneb
ZyGsht7gHCuWqPRapdFf+IN2pQ1Zm83MwbOq4zYKK+1b2xemDaiiaFtgEpirFoVoEk0phsItZk4q
yPNMnWdd3AB1kRj5ngSVm36FA8WZi5KXPKvSOyPWuzNLz+NzvZFzdONyEpBF5vbaNKbHLcVCfdcK
ukw7l1sFVd42Ds/LmgHmJEchyXcuNEV+MJDyTQtvQVH5k4WRSDttaQjNX1XmKegeEsa7CyeZG31y
6A4w+mhRgqlFNTgeih++7V8xEnSmoCrcaO11LCSxOkDgt1ZEvVzoqZxKVl6CHTbMozhwSEoT8Eij
ClWdJGk/9LAC3eJCzZLWBazkLaTGQSyhU9wJTkbnrEqBXI+q3c48eHKWdWrdDIr0FfmiYoZmF9WV
uvZU+txMYHEsXNoAtP/nti6WANepRGZ5U+q11s9MO/WvKgA588bC4Tq93H/VKbCxiwzOIlAKgY0u
lcMsBFdVmDVTUhLEVi9C0m1Ta+9gChCD0LWC0UPncnCsXx+xYigLz2Ny7QzF+3VXTpRrpq4m5KRk
BunKZe5/5s1pCM3LORT6R/pCm4M8nv4l3x43+sWdAiuI7I4FY6BpMEdHiCVymRe5itEzKgSRUXbm
qt7REPv9NEL0lKxOR/XRipx50bpiOssECO3a8qlnle6RwndkRkUyHSzEIFyZaQd1/Fb3mbOoVMYI
6jpfuPb4zTKQgwxdetvu2H8p4twC9VwMU6sCUt8jQEdkCWWm4ffzQXOWMBox8g7tkA4X7Wg4q1FT
JoOqLlGEhD4LjXcojin1Jekq7PVZpgGXg2Ft3nXeiQo0iwoKuLiWWkSShEw6tMVZ1zvasvBEMUXz
bjwiXkVLTpvelild5Us54qBZToFqoRxe//4rfm1EHlGYjgnzLfbS1EzNeWNEnJFGVJ645ZncQlOK
IWDspJTTqRT4cyMDPaEXf6WRuV304MV7vvk2pZ4eXxt51VnhabeGC6cCpTlqudZKTxpGpVxCdZNg
3wKKYMSwYRl6OpyMqMYyr2KcZIH9VQ7ovQGG++FGzP4DKlYz81J2xzvDK74lHbKEBRTlm5T5/8F0
1dNH3EqV+BN4JH57kaFo/SmbvyVb/Fv/6NnpbV/oH3EvCijuq+T38YM9sj/+dp14DUtkcw+7I40a
HDK+WqSVcUbbcvNzieQWmBbtG/zVy5hq+6d+zzX5qy36wKcXH3nnp8fqOqDQYGMRLyzi601Q0RrQ
aXwp/Ib3enFC/ncP+Hc26rdfHZEbBJ+H9//5H5sGn0y/a+dNoMKhErRZ1Cx4gWV4vQnyAc1cKLt1
TMj//Sa8rOYYhvO2/vN3rgAP+OcNsA5UgxF9B0zJ44vj/urxCXZhayfMZFDw8bUPm8B39PYkqBSO
djwJ1gEjmNQobfWXW0EtzCLmlvd4KwQRxgdsBYmNzQiFtnlSPPqrUyHI/C1YNgTy5//+Tmw5DuIa
73gcyPIoi+IaxI7yemcdIebl6sBisbcuYvc7gYN0QCqDYt6+CZgHomaGbISY0V6eBCEKsONJYAAb
fmUVWZ3NJnC/Xt0GagUYR5M61976ybcFkb/jJ9i4F47CYaodL8hR2FhH8dtXEZOAH9q0m0WNYC9P
wjtSm3++CY8uwoK0Bs8rXtvsIo0SIsp9tQlCxnXH6wC6CcwRGlRPIQMx2OuTwPADw+Nwkm82afOO
+xc8KrtfCvMA+nUcof50Ht5ZBqInfoeL4KTs5aUQvEc7nwcgcpQHbfbz9UGQcQ6Pkyebk7Kvd0Le
RPabsujPFO+fJJI66aIoX6kinxKvd4ZBx3zqGgHTxh3t323QNid0h01AkQmBObDhtGofX1sMA9RR
1MadjQ/Z2/Ow+1bQBWfsy1Cf4mcRkr+7Go6woY/SQIyR7al5EKRlO5oHdLpQJCSIhDJavN4FDrgL
GVIcTYw57KeN3H0TTFARCpVl5SmLfnseRBwNpTWT7vsaPQnhkR1PAhmVIO+DtuvtbaDQBMMlh2Rf
raNgUdrt6ZnBgdRQ0ekBvn16JD2FbCb59sZ57Ok1EAOmu+2BxgkwZY0H1Te24J2HkA/4JeNLAtnO
a1/NorL5YLs4SxWyfJWeF3Hy4+vtVigGe8XgDQQXj7/f263gg+94KowDJIdEoWXzpOJbf+UsMY6i
UA0GbV+j6Cervct54Bk5C5QWf+UmVSSiDIVBk72oQ2Oo35Vgdw6j6ceg9qkCR/zFpXgUERXtGntv
HcXOm4Cj0Km3CemN7ZZBpSMhhosAV+6rp/iIAJqRC5PD8NSWeWseOQlAX0ydkv2ebsJTyr+LTdBh
kVBVDWzGJjAgDn1tGLkvBM70KTe7tLc+4iMCaLp0xIfWU/nxrY/gUsgmzcpHPkv80f4l2IJoc0dH
SYItZhEN+SmtfHseuBSGBnLFEs2KvdyEpybqLpeCM2+QOAsg3XNg9OpSsAkA4ggg96Nhu81R7n4d
YAEQ1QPoAX5hGSxGUDUZ2M2+2oSnrtkuJ8E5oNJOrc16ihbe2QQwl0CANIQz9/Q6POW7u2wCJWj0
P4kVft3AZ8jKprCwCdT3zzA+lUR32QQLJVToAckbt18HvIOYZMFPbhLPvb0UOydTVKJ1R3boOZib
rXhXbZAPKNHSz1X29Ty8Q2//8z4d1XaqCChA/wLZREYJtBu9XXlfHaW6e7FFOEqIC57vxLuehNgE
2MYccs49NY9iGm3HkMkE4bcB3f8imVIOUBqBeX1voSxPRY9dzCNftImkCuzyv9wEIfAs8Ll7ehIE
ed2OJ8E5cNBjoSXzVIInJngdN0KSRFoNWey+luC1jdva5SRoB4ysQFvyVGl7X2rDk4KEpF+9rzbB
2PkkUGChqIogFROsm9fbkwC6TWMq1hRhFa99jRa0TRFsl/NgM8oEwovZ0M1OvLsUIpwQ/6E+u9db
sXPgpIHyMsgsKTL84lSwFbIq08LZWyO5e8xAK4q4iWH9p+SabX1lJBXwwtRfwf/sq6PYPbc2CB5V
E3+IXPHTmX+1B6L+iv0E+Lm3m7B73PRYXrUMWlTvTwBShCgiP9+TfT0IOxfiwbNA6A6xFjHyr/wE
UBemMJ+QhfuXWus7O0tNP+AZRUnxF86SLMJEK1tMiD5v0n5WHnd3lqYovyo6kgGbJ317NUTlkYSK
Usy+eognWOouEQMBIg0HupS/KrUoB6LaRDKxr2G0vnOsQAQJ4B0ryHT444uz9dpFQBto40nxI3tq
Hp++nR1OgsA8Qm/OIz6D3N5vAqIYCGAK5dr9tAkbB77DJoBoAZYAQc1zLvHOJlBfEP2K/U2txcD1
bqm1gDaBzaAx9WQY32URYBdo2uMi9jWVeiqO73ISaM7ZxMZ80xubwKO+tgkyNgHRW1vMKu/ldTB2
D5lES0YBtERRcbthZGgKBIuN8fz7m/A34qqfs8dTH+3tx9Hk4KF6hHBvhk7/8h88j+a+X+AF0OVx
4vLVv/w05A+btTdwGPH//2t9j5LOLKjqMrir1cde9IvfPvemH9/p6e+fHvH9m796s+fnev7hCpWK
dXnnD4+/GJ4+6Nk6Ybb5v2P+6379FqYjGmbPPxPv/Z//8frDvrAFv189D9KH54VeDOQScP75qP/b
xZP1fVY+L/Rica7UzotPBCna8zov1saF77z2dB2vW76S6nmtF+tz3ndfP4ub6t1XSlGXxP8DFk/r
EoXTrKq3vQXR3M5vMXuI/zjLyq37j+3Zef15/McsKzk8z2u92H980s7rL8qHKt22OF5/58WX8UOa
Pq/z4oN/xHVdNcn3LL6v3y8vgM07f/TDJH8og3X8vNSfn14AZXdfPh22bLoY7Nx56eOHcsuei9bo
7ksHqbfFEIips53XPllHW2yYQKF+wNJV9bBtTz7igp5k1R//nXoP8cO2nfmIK3q6vscAP+/Di4P4
EVf0dF0G27bmI66oWDvPtll3QW2w89d6+pDeZ3fBNuslkDgfsH5593D/vNCf+y7AHbsvnvHZn9d5
sfZHXNNTVAC2LP0Rt5Sl4V99GLYs/xE39WydbznoouKw84afPbTr97GjAYPvByx+Xq4xAc8Lvfg6
P+KKXsTru22ct6JWv/O2XMRNsi24E93pnRe/Cggdq+B+y86Ixu/O61+v70pSgrTectxFJ/ED3iD9
Y/KQBlvf4COu6vVavEGZrsv7rYZM+4hLK95kFjx423bpI26tWH/BDbgLqrtt7/ER11e8x1G2Lppt
3koM+n7Id33SBNUf59+DKt/2HB9xmcVznK7rh23rf8R9Zv16/cdkXX5fb4sZRPfkI3aK95jG29/h
Yy62eIrpr5WUH0mzdkj2r/311pxQFNJ335/fKW3u/MmD38qt7bx8Fq+3RQ8CIbD7xvxOnmjnT16v
ER6M1031/En/9MNi5nv3T/877vldP/2nB3+9TblJYIN2/uSfiPEhmXte6c99EYXy3VdvsARbXLxA
gn/A4hSIkm11OVHf3nn53xMn7/ql3mbxFjsvSB53/uC3zfctkbIod//F0tvKsj9ni94Xa5/5Dbf9
2etatPgXd/HDuvyv/wEAAP//</cx:binary>
              </cx:geoCache>
            </cx:geography>
          </cx:layoutPr>
          <cx:valueColors>
            <cx:minColor>
              <a:schemeClr val="accent1">
                <a:lumMod val="40000"/>
                <a:lumOff val="60000"/>
              </a:schemeClr>
            </cx:minColor>
            <cx:maxColor>
              <a:schemeClr val="accent1">
                <a:lumMod val="50000"/>
              </a:schemeClr>
            </cx:maxColor>
          </cx:valueColors>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b="1">
                <a:solidFill>
                  <a:schemeClr val="bg1">
                    <a:lumMod val="50000"/>
                  </a:schemeClr>
                </a:solidFill>
                <a:latin typeface="Cambria" panose="02040503050406030204" pitchFamily="18" charset="0"/>
                <a:ea typeface="Cambria" panose="02040503050406030204" pitchFamily="18" charset="0"/>
                <a:cs typeface="Cambria" panose="02040503050406030204" pitchFamily="18" charset="0"/>
              </a:defRPr>
            </a:pPr>
            <a:r>
              <a:rPr lang="en-US" sz="1200" b="1" i="0" u="none" strike="noStrike" baseline="0">
                <a:solidFill>
                  <a:schemeClr val="bg1">
                    <a:lumMod val="50000"/>
                  </a:schemeClr>
                </a:solidFill>
                <a:latin typeface="Cambria" panose="02040503050406030204" pitchFamily="18" charset="0"/>
                <a:ea typeface="Cambria" panose="02040503050406030204" pitchFamily="18" charset="0"/>
              </a:rPr>
              <a:t>Where do our customers live ?</a:t>
            </a:r>
            <a:endParaRPr lang="en-US" sz="1400" b="1" i="0" u="none" strike="noStrike" baseline="0">
              <a:solidFill>
                <a:schemeClr val="bg1">
                  <a:lumMod val="50000"/>
                </a:schemeClr>
              </a:solidFill>
              <a:latin typeface="Cambria" panose="02040503050406030204" pitchFamily="18" charset="0"/>
              <a:ea typeface="Cambria" panose="02040503050406030204" pitchFamily="18" charset="0"/>
            </a:endParaRPr>
          </a:p>
        </cx:rich>
      </cx:tx>
    </cx:title>
    <cx:plotArea>
      <cx:plotAreaRegion>
        <cx:series layoutId="regionMap" uniqueId="{00000000-126B-46F4-94CE-ED50A6E2AF6D}">
          <cx:tx>
            <cx:txData>
              <cx:f>_xlchart.v5.6</cx:f>
              <cx:v>Qty</cx:v>
            </cx:txData>
          </cx:tx>
          <cx:spPr>
            <a:ln w="3175">
              <a:solidFill>
                <a:schemeClr val="accent1">
                  <a:shade val="15000"/>
                </a:schemeClr>
              </a:solidFill>
            </a:ln>
          </cx:spPr>
          <cx:dataId val="0"/>
          <cx:layoutPr>
            <cx:geography cultureLanguage="en-US" cultureRegion="IN" attribution="Powered by Bing">
              <cx:geoCache provider="{E9337A44-BEBE-4D9F-B70C-5C5E7DAFC167}">
                <cx:binary>7H1pb9vI0u5fCfL50sNe2X1w5gWmqdW74+xfCMVWuLO5b7/+lrxkLErOoYERLl7dowQzSahqF/mw
a++qf9+1/7qL1qv8XRtHSfGvu/bP915Zpv/644/izlvHq+Ik9u9yXeif5cmdjv/QP3/6d+s/7vNV
4yfuH9hE9I87b5WX6/b9//wbVnPX+lzfrUpfJzfVOu8+rIsqKovfXNt76d3qPvaTiV+UuX9Xoj/f
26vI/6nzxF+9376G/3yvqrJcv7N1lZTd+3frpPTL7mOXrv98v7UKfv/uj+EP22HsXQS8l9U9EBN5
whAm1GRUPnzE+3eRTtynywbC6IQxyhH84fnHXq5ioBzN0AM7q/v7fF0UcFsP/x+Sb90DPIi//tMD
uNs8iM2TdwGEP99/Svxyff/utlyV6+L9O7/QD08q72y9uctPtw+P5Y9t7P7n34N/gAc1+JcX8A6f
6n+6tI3gf0D3QiflOl93BwCYn3CLWxYxLfPhQ3YB5oxTTji8O4/v1SPAb+FpP8Y7K4yAeYfmyJD+
K4Ldc786ANDWiTCpwIKTx51sDYHGJ9jC1Bri/AaO9sM8XGAEykOSIwP5Y6WjKk4OIa+tEymwpJTK
x+0MUnlbXpsnRGCEBIaN/nI7v4Wn/TjvrDAC6B2aI0P6ryj1D4KzOOGSMI5e08tInljwYcyi2ziP
52g/ygP6ERgPKI4M4dtV8k6t82SV3/uJPoDcpifIFAQJQvYraGSdwIY3pSW3gX47Y/sBf2WdEcC/
QnlkL8Bf8epe5wcAXpwQ0MYmFrCDhzLcsjCWxHwU8gPLezxD+wEf0I8AekBxZABvXuPzyi/eXf3w
i/QQW5ydYIE5klS8qrQ5N01wsvbs8Teyth/z1+5xBPivkR7ZWwDO96pe56viIDsdSY4Rtp58MPC0
hhueC1OCH863ZfybmNqP/O4SIzDfJTo2tMFALw7hhckTvAESDLfHrb4DNT4xQd1zSdkA6tEcvYLz
Nv0YkLcpjgzhWx2tDmKviRPMEBWbkMrDZ8cDA4SpFMwcbubxHO1HeEA/AuEBxZEhbEPQLN/s4aI8
xE4WJyYSUhJivRIZxSeIUMEsBDHTl572W/naj/beVUZgvpfuyJCfrKN3lxoC8v+8rqboxGIUzO8N
9pvPThiNgoSnBMJog3jpm5jaj/nuEiMA3yU6MrSn0buJzsEJ++fRJuLEwpIz/BQzlWB/Dy0z2P4g
7hnY5/AZuGJvYm0/5rtLjMB8l+jIMJ9Btugg2pufWARxxhB63N5DwDdxNcHgFxrYZ+M52o/zgH4E
yAOKI0N4Hq2T5AA7GhKa2GRIYnCltrcy6GspkEXYQHCP5mQ/sNvkI3DdJjgyWBdV/ENH9+U/jyw1
YWdyROkushBC5YiYkPx63NTb9thbWNoP8c4KI1DeoTkyoJdxus79VfTPA03wiSWxYJSgB51rDlPW
iJ0wEOEMQfR0j1J+C2f78d5ZYQTeOzRHhvft6i6H1HVSHsYMYxbkuyA++riBd4xudELl5hdUquxB
/G287cd8zxojUN9DdWS4L5PuEIhzqFbAoKmtp7qjHTtMgLaWnAsx8K7H8rMf5S3qEfhuff/IkL31
1/lD/KT652vKuAlVCOJxs+7Ib2yewEVTcAiS7dvNo/naj/HgvkagPKA4MpzPIHt9AC3NToj1UDj4
qIQ3rvGWvQ2e1CaAhggGaf4yPjaWn/3oblGPwHbr+8eGLNSnHiJfxU8ANKgVo+xVJ5nDNagJHUI7
lqFXsN0iHwPuFsGRoXsNNWQHSUfKE0m4BUGvpxjIjrVlnkCqWjIoQNreueM52o/vgH4EwAOKI0P4
fBUeIIQNNd0QoEaWCQUkD589OUiJGOLCGqSbx/KzH90t6hHYbn3/yJD9pqNDWM1QFWiBxQzl+gNl
C2X6cMFCEAfZ3rJjGdkP6Rb1CEi3vn9kkJ6vimJ9AEMK4loUyjyFxI+7dZ+5zOEyFXygbcdztB/d
Af0IfAcUx4awLt79lbjraH0Io4qemAxjIp6NquFJGwSFBZRASSBI7s1nsJHP38bcK4jvWWQM7HvI
jgz762h1tz5MlaeA0l3IID4V7A+DmSC5IQgCoU78y9Z+6SyN52s/4gP6EWAPKI4M54vVPRT5HcAd
5idQ4ge5Jeup8GvoDkPQw+QQ4aRoUOM5nqP9CA/oRyA8oDgyhL9VPw6BrzxBoKYhsfhaDScclASD
WsBJuoEFNpKf/ehu3c0IbLe+f2TIXqxy/wAGGIEzVRZlsHGfqkCGmhnjEwYHNLglB7Ho0Qztx3ab
fAS42wRHiG6qD1KUa52A3AXJLJ5M7KFshlCl5NQSGHzmh8/2Dt489rGcvY701gojwd6iOTK8L1fp
IeQ0WNESQpcQm3x0p3bsLTgGC86UCS/DNspj+dmP8Bb1CHS3vn9kyF6sk3t9d5jTchs1DFvUsp7g
HW5lTKA80+KEbAo3XxrSb2JqP8a7S4wAepfo6NDO76D3gv2Pt6awTojJJYc04aNQ3lHLEDgRYI8h
a29RwMV6LF+vob1FPwrqLYpjw1nDpv7nYYaCazjLDskGxB9h3qnbM08YxXAOGg0M64uxDL2C7xb5
GHi3CI4O3YOU224OyzAo23vawjvV9GB5YSwgQmIOvWI9jp/XsH1BPQraF98/MmQv1/XqIA1HADqO
LUHMp4jHjqUFkS048wo7d5BmGs/RfnQH9CPwHVAcGcJX+Qqi1v+8aCYECjEhcin4K82hoDWBYHBK
nQ+D1eM52o/wgH4EwgOKI0P4gw9Hkwv//jAgS2EyQp7KeHbreMAOg4PLUOsxENFvYmo/zrtLjIB6
l+jI0H7sqwEtzQ6RQobCSwYHWCFU/WhuDQsvIR9BTWxCof1Aar+Nq/1471ljBOB7qI4Q8Ym/dg8B
OFTTIwhuQkX9oGYApDfiREDnmadXYdth3jz10Ty9Dvf2EiPR3iY6QrBnoLLv/OJOPz/zf6KXowUH
ZEzTgpLpV7Y2PqHQzZIJMpDkG6h/cTTGjngd7t1lRkK+S3iEsJ/qVVYdKocBm5xiAPjhs8cYxxIq
OqXcX3MNb8AbmHsd/+EiI9Efkh0h9hfQm/QQ8v0huWFZUKz5uOt3qjkh4I0FRE3poKJks+tHM/U6
4ttLjMR7m+j40IaOFGqV/1gdpNSAbsT4Jh35+hlmLgWhCNrMPHyelcxjY1fA/W3svYr9nmXG4b+H
8CjfATs6zBsALhkUikF972uhcXQCVgCC2MuggvsR+9Fs/Q757UVG475Ndpyo51U/xop6Y6tuqDCy
KKLmc6B8aM9DmQI0EwQLcBhvewJ9JFe/xfzlGuMhf0l1bIh7q4O0H4KqYGjtCu4Zea3eCEOjX+gc
Co0FB+J9NEevIL1NPwblbYpjQ9gvQr/T1T+/oze9hgi4Y/i5ZfdOLAafcGgCzKBwcIDxG3h6BeXh
CmNwHtIcG9KQc4oPU5NCieRQlvK0l3ecs4cYDadQpTTAeTRHr6C8TT8G422KY0O4XCV+Ea2qQxT4
WyecmtBehr927AryYeamxN8alBHC2Io3cPUK0rtrjEF7l+p/AeK/Z3HrtjdzN/563lN7YmxvHZcC
vbhhGgoHz+sxzDIsP4J8Nkewz6FWeJ/rBX1Vf014eSxO2sfTfoRf0m7d4+Mt/v6h/K+biHK7mXdz
iPMYUEBGMIZmvE8A7VjR6IRvGnzuZK3Hc7QfvwH9Hgi3/glm/gwojgzhj2tvdQhtC5YzNAbicNjq
lfAI+EnQaRnyW+gxVjoIi43naz/OA/otUPePNhpQHBvOULQPw6oOYD5DQzDoUwBh76cw157I56bQ
F8JgQ4jHs/QKxoMFxoA8IDk2lCsIdR2iPAF6URBzs1Nf17hYboJdbOAjfRzN0SsYb9OPgXib4sgQ
/gwGS3WgePamGxAxX+u0vCkSlHBCkpsDw/kNLO3HeLjACJCHJP8vUH59St2vWX+TVbmaPkwJfDGo
7vdXHx4RzDYckD5V0e8xVH8doFje//ke6vEJMxnEm38NINwstFWDv2kP8GyMb9OsIYr25/vHcYOw
1TenJKF3EN3s6Wb9dGmTvYbWnuZmaIoFf3z/LoEe0B4MMRQnEsxyYTGoZUAwyhAUQaGrp0sEOkNy
QYSEE/ZQivprhOO1jjpXJ7+eydPf3yVVfK39pCz+fA/D1N6/Sx+/t+EX7g8y7BxcOGhWZ2EBbQrh
+t3qw6YNDTyC/1PmTZBEOGiv0tIxVCrKieXkH0sce3aAu3LSo0R/9GsUXeEyjm+LyskXhomqRdU7
yEZVq1ypnVJllFwSqGufllHc2p0VrEnPa7uEwpwzL6t/yKpJP+pOF9Mwi9pr6bqpHceJZcvK0R9p
UV/kZmWpMpGT2vf0VexmmWqaxP2AXCuZV9D8ZerWDpoUCH2KexQtoohU80CSecqqJenERzer8llL
AzzhdepfRX4b25TL74bJm4VsxOekx/6njDb6wsNdMit7WdlGmLQ2gkdw5SPhzFqzlItMa3blNpir
MpbxokktOYlcIhdp0pfKda2vukgbRdMgUvDwz6usm4fS+NZAk15V6sqWmgU289JTs6LT0HLNKXbr
0zA3zmotPsPTvNDaSZVZ6lJpXsUqCb3vrKarlstW6UZ/cbPwS86SaJp6bqMc178taREpEhlckQRZ
NnfdRdjX2cLg8Zq4XqTahJ/yHPuq7JNKSRYEs9Jg7sxzGlMlrP8GQAe25OmtNpxLGnU/RO8viBOl
cCfk3umKa6NI6vNQiFzlZW9Os0Zckl5Gqnf6S6YB0jJtJ1nXXIcx+YFJ/qVvwjvDSXOlPe80jNor
3jieslJUKuSahTIavNycMLajqi0mjSuvmBCljWO64AU/120sptoijmLI+5a6/Q3MiTsLMstTRtsb
qk5CqeD9aG0uslBckc4MyA8Tc9YtrbIIp5bnnhkO7WM7R7k7iVheKM9ia6MIZ34lqEJGN+O9kylH
BuzCrKPTOvBzZbEkUDhG58RigYrqOlCOibyJy4Q/71g4FRkSqjB6/CFnrLZrkSc2dcO7DKdUdZ7f
Tf24q6Y6kDPTDAPFwx4esl84S6MrMttlIbIb2OC2CW8qcdMPUZK08GbTZStkodIwNj8mnlMoh9IF
0kmrchY0ypI8nmCnsXtqJop0zrrr8MI3BFuGjH3MS+c7TpLStkJiQwb9khYsWjaUcRU3lamsiC8N
kdMrq+y0akVe2iny+azN6W0dam07JTs3/Sa1ZdJJ2zTYaR5V/inq9FlGI7TMtA8oldKOyNcCOVdG
486a3mpntPHnZZb7oS3jfF50YarczpuILPrhRWwmdApbHbZJmlotPNj4e+oVp63VpMvQsMQk8hG6
8pqUTJzK8D4EfuaeJlSEqhLOZZ0ZWgWST3EnexUlNbzndZwoJ21vOlQ0qsvS8DTreqEqjJ2FmZV0
KgpN553ryIlpZMUyzZIz1zOtaedW5LTgbn+aBciYU52ZU52lN9yQ+awPu1PDdL+mRkyuceC3Nki/
cGn4VNpemJ4apLHd1nWmPEi/ZVbg/iySeCI92MY3VhCs+6AvsUokKXP1ckDrlmS+02mX+673NF/3
11//56OO4ffDxNa//3Eznvfvv83XepPyLoZf2ujPX9/6e+rrRl/9GgE70IKPM35fUZG/vfgm/bkp
0ntdfz4WOe9q0A3VswaFqj5I/IO9DGFGCjW7oAufNSh0GNmcYYe2m9B5EcJYkG541qAEOn5ZHPqe
E7CkNwWBf2tQAnkmDokoDstCSgr07vNT2MIJDIc9GhQmZAw0qEXgA6UqoOUhFooEuGYvNWjGUec3
lulc5BJ5U9JHoQS9KJ0zo83Ms8Qq6lAZZld9p4F36jvdN+Gi3k6t4I7UDE2MhjXWgntRXE8zYgZL
M83SaRv4gWtj7unPbl7zzob4XeGqxOtSZQQ+xwo2U76ikeOvy8p08hlOmDdhRa3tpNWTxGmDmVf5
QQYKucCwoXNaz7IcttlpZxlSybBThVNJqUI/5aEKWJurNs9/GsJtFQtjVzHfqZWH5b0jUKd4F4FU
JiDwotp1VdG5nfJy9zSq0FXa67OCmRd939wg0p97tVw4xDinOloi11u2vtPbjOegSZDBYP5JXU1w
Qb3zlPK5mRrXQZ0FH1JHnJWpF4BuE4ntygKdJ4XObWw04bTjQaDy1AgmVlZdtWVxZYStUI1LTdVR
NO21bqaeC015VcRLI7V90uU/Q1Le+pF5C9XBMbPrqEyujSzsLwgNZ3GWztyUe1+1X9tWKWyncOKL
mkauItr7aRVuYOPUcqdYg+CR1UR2JL41OGtmqchKZWU9nuR5PE8yuN004qrFZauc3uITjBLvqnYb
Z+GnQaUIK2Zla+gPvGFK8sYuzC5XRFaJSjGyfd+4QD2Z1Rz5qqtS+qmQaGJ5oa/yLhIzM3J9FaWx
3VZ9rvrUSr8xpwINhgzpg9rBbmEXXR7MX2zFPa82WLrp36ahgN7EUHkJsQghN4Elwc3tFzswvcYM
ZRFcYtNLZyRq8Mrr4Dk1XZh4/5V/j/7D5hjY6/LvoXP+rvh7ODv2twMBszogumdBt2gY4gKS8Vn8
QdxPQvsl+A19PDD0Lv1b/EnoRrwZ2gQtXKD4nVC49OxAyM08XVgL/oOgdhamJ79F/PGh+IOKnI0L
semOK6C/5mYY80vxl3SFhdtKyCsc5x2IEdSn85xoN7khRuLhKfPiwvkuCc5vSOSAjRrXfmL3tTzn
gTzPExnaaRz+CDN92mWRqnHpzjpKtadSEoEFn5N+mbQkm1a1vAlF8zNyYt+2crGSFZ4bFrbdwgfD
LZubbjoXCblsU2Nh+NEPlrdgJQX63A2amxD7YKWV+cTN+QIOhyzMIEgVyRvbl9pQftDNoVXKJe7N
iY/NSjUei2aV2S06VOcqMdCPIEaqzWq2zIX1NaXWss+buzRpL4TMIzZ14N6+yTyYlA6I05Tpdd6J
SRgFJtg2ZadCU2dXvWHM2sBMbFyjRVbqszqMarspzUCFxMinaWwlS+hEDHebGOak0P2XGFwj0aNY
NUGBVR7SfIp9ojyK5wGp3FkeEtcG49eaBg1aiTA/C4uwnmTUyhXS1be4db5XQXDrJfqq7SxfGbHD
ZnGBUzsxk2XjW5aSftGCMInZxGxorXQs9Dz1ajKpjDi2IVh5ngbdTczCZeFmLuiE4L6La6FMkVCV
a+eziChSxO1WCa4alSP0s8TGKaqrZVN25wHYjWCAl4GqCysBV6xqznWOgklHDUO1vDzvw2gdG0nz
FfA8K9n3PuYX1C9AYkfXURacmty5bYqgtPMmDIoJzELJvHMDJ1U/TfwQ1FEaRdrjCpWhzC5bl1nL
qBDUsFntzX1waFoFDqW8wJbhnVqhrufYC/USnktqTqnpp3PPEfLWCUEj2lGH2kRluueLmnV0nuaM
RhPwYNw5GMrgaVlJjs+tKKq+CM3FwuhD8+t/zcGHcIoJSuR1cfg4eHmPPASqX+YgzEOhMI8Q5szC
UU28aS74Sx5CRyoLjueCKQiZEsiW/C0PIaCyMdPgWBg4mFBpClLqWR7C1FowH2HytIRuOSBn0Zvk
IQN5/EJrQkBFYHB0gEEI4FKMhvLQza0mCIiIrgyUfXP9slF9Ff1AHVtGCJyagPd2kVdTi8XKrK1Z
T9xz2WWXjQCLy2nibBn7Wawq17Bzq8Izl5kzU5Pbxq/xVFgQXKjd7twsnQk3dKp8VH72BezlCEXn
HssiuzbyRRQWq5i3rqoQvXcwbCTweFzwStuzVtT3YYUyW4RmNzEJmfKuZgp1ST81KyOa5DFrJ1hU
4GSC0WPTzuR2qZNulujuGneMTbAbnVUtI6pzy6+kLdtJkXT32uSn0NsgnWRtAs5hXYSw5YhiXl+p
xJLXvURfaqd3VSBAGnie0ajIKuGvPPDt3k2ximPXUZazJG456yztqCwrfIWb9nPvuRellZylTnrm
wT0p3YETH2P8ofHDCZij8TRM8IWD8Eeni8pZDY2IFUS8alUWdQnetiEUpWQRk863HZF+ESw3bG6C
s+iCiMh897bEQfrdzJrPXU+bs1IUVykpi3mEmkgFWf69deuln4TzOG24ohXTijbgY1fEwQpkx4Xn
4s8kK4iq/ObK4JRPw7DqJ5j17rSXvlBuLo25oasPxPDuWeToeROC4K7C8EzzVdmuUtnNaMpXRUf0
vMrNOQz8dKd52sT6M3gWyW1kRmm49t3+vmm9Dz0xy6lVpdpSYe4JsQKBeunA+700y8RctCXWVzh3
5BWNneK0k45NZTVNGosvyrwLlOmZvu1R2V2SoAe14Ou4mUfM+tIkzcTyY++CtHqd9TWoSu3KTOVc
eP1/zb4nsw/MpNflnP0wqHSPnAOqZzm3aYALR1vA34TO5QSMvBdyDqqrYNIA2OYwUwaMQhBmz26v
BF+ZwiVoI8LAAtwU5vwt5zZSCVrcS1iUWyAd32D34Y3E3JZzcIQWgeUJZulmOOim+dBLu69tHDc0
uEOvQnBIumXPNcQEa4+UzhXmNonjCyMw8EI4VmQblXfbUZeqkNN0AjaCqZDDfdVEWTitZEknBYvN
hQnKfSJakttVrVeo6127Yv6qz4p2EhOvmOQFP4tAkduZE1wHmfycuk4JRlNBVS0Kfyq63lz4khcT
EHEOeFphrRoDHGsvL6OJx8uzKkmlQpb/pUb8xifJnEdxbut2ktT93M9AWtdmbKow0De923zWXC8L
CLIpP9LcxqXh2jIrHOXn/UoG+Q3nmQlzkyBSLCN8jc0yuqhor2ciZAnE8SI98YvsJ3HcVRWARI0N
a1p266bFbNKxbFobBIKWcXLRYvolTdxUFaJJFxSiTmD3QpguTJGniAbx1YOVaaO6PSO9H0xx3q8h
dDardH2GZDNHEKKDSeDzghTTPNcTHCCIvYO4sPOarEuJ7bBxeiVNhXtynnT9ooeoA2gZJ4d4aWnX
sf9RVFEyiaJ0EYfutNXBx0gak7JMbtLcPPOMyga727VzFt/UAGkVU29qtn6ezEsDiZng6Sli8Y+k
8CLbt5xzEyz8ZGPqQ4wCrH5Q5fkNas3U+R7kkYunxYOPYPRll85jlHTKNcGM6vpAasXr8A4zMmu9
vFE+ru5k4c1g7qFrNwIu+1Wzzigq7KBopYrrdlF23iVNHDE1mrabZaX3szF4Dqqm+8ZN+bHs2xtU
o+8kh5C87r/5dSBtzgoytVx67+P2tDHd7nvkZaHyy9SyKUlsUee1Yma2CFh+48hoAT6HcV5Z2cfO
h9tKoyqDXIC4ctrCt0E0/qSgGyuvDCF6wuW05J256K2fKNB0ulHTdRl5kzileBIJfBm6kLlghn+a
O/28TREDxVvntqG9OzfMegiYd/1MNEFqB507x0bxzW/0QsO2sRMB4WLRgYNkFf20dEHdIh4u24Y6
tsiN684xvualecpTgiYBDj4xx3OnAqZ5Q8SnU7CbQb+DkWCFkEYo9WnCIMbqxaldZYIpj4c/C6+8
SmO6qgvnnEc9OCddcAm96M5S4tWKa3mWNJGlMCG1HVBL5Z7vqaCsm3nWxo4qPYIUljDOOBTfektP
44gtIXz1jYQkve0NDoEkT7QqwuwTGOS3LTaUKZuvmUf9ZerJZd9mZ44r0jNHF19568yRsCDywpce
EVeGLG48k69T2l/Gcb4INbybPe/6SYqSalJj90Nd6zn4Wwu38ud54Mlp2MpEwe7h34u6WIL/Un1w
RO0pP4lmcduc8U0y4b8m/IMJj0DSv67aNvOFdhXbhuZZscGwM2hNCMXDUB0MI6c3uc1nAx7iuRbE
UaGnNAR7kSlBHT4rNggCQ9MObPFNuBXSqXDpWbEx0IYw/QEaIsKMtbcHNDZhrb/DXlCaDi0TyYYH
yOFDYJcAfy8VG/GiFLm1VV7GIfdmWkf+pNUxFf1Nh+u+Bptbek7Pp9SrTS+ZhnXYTBkqMZpqAmnF
Bkxmn0RnmfCz7ipoYN4yU6JqWA5WdsuzSsUs8giI7CSOEJilkQ/vs+EENZ4YjtTJ9z7nFb22qkrm
ycQy05qetYw1BeQpjSwoVlZf5n2vSu5YhWm3bV5DRgnVXj4PilReeJnpLd025yprGvopg9RMKPxI
ZZUOmaJhEE9Q1tRncESgm2HhJ5dWFFYfQIQ0P8yEsXRZB577o6Z5O4sKMz73eainEdXOZWAwOquN
wFtAwCoOlWhIdwPVo86yqHRzESZWc4mCupzkTvpTN6LwICaK85XwwQWJSoor23MYXnosKD/iJott
eILsTvSRnNde1Jy74BA4uvfnkUHJB9Gb0bQlbqaiymzpRCAIU7CyNJbQ+6O7zM08mIVVUIDZjFLQ
nUWMGgXZ8x8AU7nIHBMkF0ohlCqlh7+TPu2vvb4PEhXiCv8IQa+fVVnhLjuIKXyFGC2ZICi0vAYT
wZ30Iq6uqiq8g0eaLDMIkd6iwjcjOzBNcQHpMKmYpb3LDrTlxO2Yf8n8ophLGeXToJfiss98toiz
BFKuHZgYHkRH7ihvo3PWOMXnKtbVrJBBYheGjy8IQVGvuAdpS7DUQZ63Gb9BINlmfsaKa+KTdAJh
fn0G6fT6rCjCU6eL+2knDDHLWNf+bKgXLUQau6ethmyWYoFlXPgON09jKB/Xtu6iSJVlxc+zTiTz
1K3QnDbwFrUsh6B1j6VzGuUG/1xJ44s2PXyODZFeAfvOzAhjelFoTGdlnptXXe+1pxGopqXrJ/VU
G2VwQYu0++DlopnURZNNO79qIVvfO7MiKwp38v+jZH0pJBmkj34nVF9WSj9WWT8UbzxQ/RKrMDN0
04vfhDneDBwDWPBZrGI4XwtlJlDnAVF86H8EGaonsUrhhB3adDMzHyMmm+jys1jd9AiGBSG4K+DM
Fsy9eou/gDZZsJdSlW2SCDChBeS3CS7N5hjnS6la9kSnWVW1l0lD5LSGMoFUaRJYoR1aTQ3pWdad
Bi0k/KeQTy+/lZrWn2CHtpkqZJJ9efH0rh9/7Muyl81UpyE3FNJ1FowYMSkcVxrk7GjSpaH0qvoS
Zwm6dMM+cVRlae7ZbV1qqeqGVt+sOjUgAxOLEhyOIA9BNPWFRW1o/pbcy7I0r2ANDzJZUYQ+9cwQ
aN5x5qxRZ6B29nuOMei3HY45dOOWWDILBsMOkjHUtzzAtisvSctcd8LbPvpUgylHZqXVaabqroWA
Khje4CpYvIM8UmiSOZiUHZrktS7vvbYoINVkpGxSlL6G0EjsmbWycgbmvqsD7zqs5GlcSPCz4NSP
/Fx42VkYNayd+oXBL/zcq+P57+9qFwYYFGBCtAyGz0PnloebflF8ZHWG2xhpVFwmpSM/axdsVFBQ
GF6NNKna66bN5W3qoOjr73/sdmKLmRaCbqtge4A/DB2y8VDDM7N1aVq4yWUCgfVLFHrVZVLkti8c
7/PvfxJsny3UNj9JQvMhC2adQPBrmBtOE9r1We7pS5GadJU1Oo/mTik6rMIU3KesinqbmJ3QdkBY
E/+nl2ZoysBd4s1QSkrgiAdIh8FrDnEF33OT2L+0spCt4qBiqzDa8MD6uJjyXGvVmQD9HBzxBqss
1Na6jGSxbGRHz1tOctMmTaBDOwBr5RO4T5hMPNF169SoU6i86GPLZlLTfMEIh0Df75/eZkL54PFB
A3oQG4RDan0zJwiuv3g/TF4xMEgcyI5WTrzy8xJS4MgIS8g6kK5L3NPG88MfrpDpedtn3oxr2vo2
RrX1s7T6XtsdZIRtqoN67efEuq9Z6lmnv2eS7kR8N9EZeIk2NdvQlIJZEJF+ySXPhW/mXkkuApql
DnhXpfTApytbImdlXVV2DoUAN3XcsQrinp4FtUrJvMB5Oo9oCp55lMUf0ojFLdTvNO6XJoj1sitK
iFuyLP3Ei1BMnCxx7EoHAcTpSgKFQk7wf9k7syZJcWxb/yLaEGJ8PEw+hcfkkZkR+YJFTggEEiCB
QL/+LrK6qrOrTx+79XAfjt1+KLOqinAPnEHae61vbVfi3gyOehgdCzKuJkmbOraCcOAtrD8Goe6e
vbZ+rDdB0Wmhbb3X1biDfQ4FH+fhRDabh7XBn1EFuCZu7zoWxG8VWJczg7h9Z+t1STLjMr+HnrU1
O1m0wYbaYpsTEzi5bdevgxr1bXYdEFum11FZqXE++ZXnvYyMGH6oIgeetmW8+oKiGw11I0bn89xH
PVAh5Z24FMOJjEn3rVmGEM897fmtSao1SpfRr9EdT3MGqWQ4EN9LHkbTr4VvprEkZCVLAb2S1Nli
6njMFo9VRa/olM9D8sAqp3ZhFEl9xFbjGZhdbZjGOupe195lF29KhltAdXCYE+hUpQp7+x6HciqU
u7a2XHhcl866uu+e6swPVQ9DkFlPwxoUtbfU5apbiYfDGCBHyxyXsMFY3mnaHwV+FdqTDx0mXPol
SlvVtk4WVVBcIhmsNvV1V2VUO6I/TCEvan/e3CdDiQ+5aHIhOONO0iXVJlGHlUbrHfAy21VPsxkB
YaZb021i+sYq5nn2TRlnjXqWJhOWcvnV2/pW0ymd9TwP7r3muufrOWlGe1iSWVenfmqaIW29Tt7c
yKGndqN0Ru+fdBVIKxcAomV9HAMhqbAf6o6joENvULvZ1GkwYegvwkge+RYZlm9rl+i7UGmKO8pU
ErhWNmMvLEOHtdXDgkcnrLMxHmLccJSrvhRdM4HRGLF5VcW6NGGGrgdqZrpVrvDBhlSwHBlw0aqE
xtD1hapQFZSBqHubxTbAiik87s9ZzyYHfjFAFPWoGhiVhayb+IczL1Hj5q709KHx4zm+D5yqrs6C
RhqwH+gYNdrtqGBpT6wYahb1RaUWO5bJpERTbl3Yb0cXzcSQBd7WwWteg607TM3YOMAnfe+TMwBA
zcHU8j7HP67zAJfXUTjlQnxqezCjJzoluis40+GznTWlZetIj1yYYXBA04h5TB+qaRnEDZsxPbe1
9Xg5DziCQuqutpBrVptkcbsN5tpD7KkKB4/KlFeEzOeJBkGX1xWt5zyCyIaeNFKoT4Rtqf3ecWR3
8xgH0Od069l4Im7jH+sm4tAwOR9p3simyu1coSF0zDQkj21lWj+jzdjatB9a61zcqvNLMlR1gMOF
r1OQjVl5Yg0xdcETn5l0/72UJE0icPvUdMxW0zhoTNfG+TxBJ9jgq+M58u6JFY1t0njxHfqyASSZ
70PYHcCUklFfg1lgS6pVxPGCpEf/X1YNI+INlK9gAP/6DuqmCWxzIbrWLyB8g/dgraA0AUzCb89i
jWihQtvg4GeCBrejI1dZbCoob8341hmDyqKt2+WmgtB8GSZGj0tkQPpBqXWB9MUV3ifoZLuWYlrI
vV0H6j8pHZAXoh38hgkdFWeabNFaLF7fNscJra05iahWYIedKPko3HG/Odt2VIeoU0w9rpsPXgau
Eq4NMwIHJhUW3Qt2sOQjRBDc3WhZ+YTONlnlSauk8h7bCZ7QsxeLBLCo35r5qle9F59sWx8DaO5r
IU2PPy2ltQsa7F7bg8uj/cPvhw5mej+uoSf3fiDwKeYxwKmC381tlvAFj87Q1bx5ElOER36aURXU
+BnWVE8DWxqJv02ATwfm4nKbaZ2vvcMGlTbuPK4gpCOXFtsyopnHfwN2xSfCArImZK+Tteg/Vh5N
zvHSwPWKWcBxX2x1+G4ExWGsU7s9U7266lKjzG0vchC8vcXYLQ5KuOR+TOrxDUxLOIJxYI13lnGd
zJeKyXrJtykaYahGG6hvD6c1c6Nx+8o7Hjyus4LiN7rbwj+ZsK/Vsa+c/scGfhlrSDNCfEUfENOi
8TamyiHsk0+OW/VlbwYoDJG/962TYc+N1OqS9LwN8sCbPEjeHQD9dAEJ93FqnaUuOk/gMbFORZOT
LyQZv/dYkLdzTHBLFWZfsYs2cHBGVygRBTYZM17INMMXgY6sF+y0dAGtO43t5ylZkhdnQ5l+tome
yDcNM1WlPSERDEfj4a3WnjCb+aYO69OAy2IArSdhaeWy6CuQju7WLmpM40gd/X5dgqM1IS4Od4my
h6ED93sV4erfOdr1ZcFG0S+XejMDy+JA9ewFlYj65iYCywiWTrWknCmj0sQs8YhdYBtvXT2S5pVI
S+NlR/j49mHQ1EnwZqqaChY5vD6DAzdfWO06S9ZFCoJ0AyPqaVUOBO4JOktTNHbGTdp4uqWPK+9s
cN+HADfScVhc8B6E+UgOoLpRhWEDrpqJRVOnk416rB1KdQVZ6TrlSwf5+mBjeJMp99c6yrdqc1VW
DSocP5lgIy8tm3CvYaeDRdTVvXoUiSBYYL0hacu4Z6FJ1/kNLreJScr5En0IPDGa3AS19q9+1cXL
81ipZMLmjju6GBqKq4nGYVvvGqq5vIumgYEhXl0g19UqAS436+rUV0D+g8mBPGHNQDU262u3A0vp
lPC6VCzmLDer65620cdzv4UhrFe/YtH1Z1X695zM428t7m9Jj1+5318x4P8bnvjafJ2kkj/0n4Hi
f3qj/33UsY8a/N9r1Lef411+FWB+M233V/0up8B+xbcJY0GAmuImiN/+IqdQfPEZojKY4Q/xADLx
P+QU8jdYolBfoKhAa/kJp/xdTkGIF+o0GpmfmjdeHvwVOQUzqf/UGsH4hRqA/jIMEBmFLPDPTYe3
//GhG7tHt4vaNPBnSMC++bhEYQ1Q33nA6j2lyjZX3nkIF2zxcdzqoUDDq/Jljb/LubniOwxefC66
TJAxzjeaQEOtbSpjeoy7uQw16umVHA220b53+G6louohbyrQWdgYOJMrKyDRvLOovW56/h61rDAJ
LeCTtulGhuu4+l+hSh3qLWlSqtBIOk0/H9thOk5JclFtXUgvKK3XFg7KsZQEy13oyQ+QhO6Nx1D6
T35zYNZ77ya3BCP+Cs0iKKOqwiY29tthIh0s2SBmqR+qc7DqpYwBiYA+Oya0RQHW3qpFD9lKqSkW
BAoE8QEvx0OJPcI99ji4C4JRXmZjY3NHEAE+LnpIaPfNa9hw2LwAlmDNaeps1cvUyR/dMK+5K4yT
CtVesf7A4609Xohl6DI2IOsSrXJLoy0uuLOdWaBFXpvugwZycoYenM+xfGITG1F0JEDknBppFH1N
xN4yzQdPr08NCqhits6WbmAyXBv/IM5qUvBuTysTfYqvZnxrW/K8qcFJx0pG2dzRPttC+mL75o2L
MTddT9Mm5lFKm+YO4h9SNe4PpcC0tRZSutfMW8GQk4ART5+QPPvEWhx/vYFdtLW0WTj4xzkEYTSg
hEBbNX+XLZISqkM+ZErB5kFh0iTMXLCIjbsqlO+w2KRgr1CmnxE4WTMZDyK1CGkhMcXTUQCC1FsS
5KbF6zqqkxwegn+AEv4gZfwpIBWuu5pTDvU7dfvhjczNnW6bOyzj6D5rEoMh103uewJWNgop+OlU
w3ccDhWV94Ild9DcQf4hxpQCCr13W/k2tmNTjh0HUtVM+eqLLDQ4ULNYnpJuOY7EffQ8AFKQX46c
VJepnk9KDB9mZzlIJa5MyhK6fZLGUNLBmi5J4YdmSsOOuXnsLq8Q+r+rxcucdj2YZtjyVoBjFaF8
gLDzKdiiRzkanfFkucW8K2HMjvZeL9fKQbPhJrBqxAMJxKO3VMcusA/OHCIDtwFRRDeZzjNoCMlA
Elng82GL7dLpmypDfwVAKglxyvGmog+GLA69HqGjOcx7d/nB+MrztadR4Q37o8rVl7UNcyPjH1G7
zicJLynbAwAHIoITI2OQ28rvp9TbKLZbkawHx1nrIlhplcmImTJxoDZCAkrrlemzrHhb9ov/bQ60
X86Mf5N0eR3t/NWCgCuk6vq0puZxm3cPu0EWcNOhLrAcLTRDye9NF4Bk+oK1Z8zbeIiwgY4jSvFe
nwLRt2FJ5yEMPiwuAmkH5k/kMPvbgGcJkm26RuuEJmmuV1LEwvHXdFxg6R3x/TrbkKI/ss092utt
viVuT/TNJJNDQa3N8mIQq2Ovk/W95YHr4ShrTTLwrV0hfe6XTRPU6ejadzC1z6qCw63RP/u+mMvJ
mdZD7ISXIFqbHIakn85d+BVxQZVyjYK1b/1XFOhxxvZEGXFteKYSNzMXiDrh1xFVCOTnofLfWTt5
uY7bPkVh8QOC0ZJRJt3UF9DhXBeRkUlPqIb4et0Gla8N6hY+OFdfTE9ONV9A6H5eGvPDOjQD8tCm
CmxFWg9Blym6ntl2ClzTp+jb3huO3EFTmVR7AfIpmPYCI8jcXA+4mErunHZ765j3wxJAyKoOfvCl
RyvT5I49e9va5n4wFVU9PfMVSw+osXRd87W7dKhZXN65OTqXd1NbePMAd1ZnDbOxsSLFzXgfRtzm
YZDUhes4T8gYeLmJAps36Cmsu10SdHEZzsJwjMQoUiVdfaD+grUdmFCUNFFhEYBIReW8aJ7boP7k
TcrBmWyrnDk7LMQTgz8+Ie/IkyOyiiSzaxfn1ABVMfGKHOk6mCKS5g7RVi+N46VOaxI9NEZc5y5C
pGKoHlD6pqpXwAX0e5iYrfAWfts6ZyxsX3cFyGVIAe38oZpnlc9GfEIq+Nw6HMc421coJ6zEUwe6
SVsJYsQDuin1d5UkH7BAl+7Q3fGe6dSr6ZG28sO4NAeniVaQnO5pNPRxiYfnJJBfGmx0gJPce9/V
F0SJq2wRfnWoLJmywJ1OtbNgS9CmTr0Ach/j/JQEW5wutcja2BsPKmjAs/vqgTfzIyqRUnjgTnpy
HPjIMn/2cAPO/lpwF0wU6K4xT3gVHZwaP42WFnoVXw7Cccgh9Fh80jihGXieB3dQLfoLfZ6FmNIx
TM6RWj90QrrFJrEJYskqncbWB8eQSyeSMNtMhModT9qlJt5jSDSQDzWMyPe6/cl6HU2XqiLpRscK
2jI9+X7zyOb2owPWsHRAuKRY5LDABeZowXmmwG4fvWmx6JQpRBe5fhWy/kSD8UGJ6Kv16dc1dEs0
AK+S168SuZ5c0+ZU9cOrK+Mj9aebib0LhQ4Hkx59Y7dLgOa97rvDHHnfE27PoEWeLInGNNHuTfj7
Iu4EJdZ6lv0/Kc7/95Xdu4D/78vuu3f+/V+L7v01fxTdGAG5jwP19yoaMgL8ij88TBTdqLgxFAM6
cYjf+KPopgDCYQyB/I7wQ9ifeMPfPcz4b2igfho+sJfc3RT9C8wj3M8/F92otoENQ5lBw4CuYP/5
L34EQiyI5o8ieOBLh+Bx3Y/VbV1Rbx1Dr+EHA8Y43SJ/FzyDvG667uRPgcFu5wRHXkHW7zevvxrj
JgjcdbFbrjOWbn/PIFOEkeM9lWz2fDKvxdnZE8vRnl1eO7eEohGkteZlYuPvARp+OH6mzquf4ecQ
MWgBjAkJ79L5yTXthJMG6uQtYJ66nX5SOwdlSHvoIJNYOhwMQKlxJ6bcnZ1SXrtkAjiVhiWWqOR7
VM0AJOMHO8YnDA64NfGOL6tXZ+eyRIXAMECtaSe2ACC+drrOYqBcPZAuqLBrivEFqMl33osA/AK2
cKLxULRu9UYBhs07IQYNqcKaCWpM7fxYA5EF2t+STROKgQiQ2bjTZnzykGjp7kdMKUgRyb2OANNg
tzwg5v5D78RaomVmpUFOuBrO/U619VD9Axgx7oZCcefeEisgWgKFi3Ymjkbb2QKSiyf2tO3UHNPt
ad45unEn6hKgdXJn7IadtmuB3QFVeePA8ABkyCygky3rDVJfPbCvaqf2tp3fE2Q7hAD6up3s66F6
ip31Mzv110zTx6FifkGnH/POBYY7IVgh5J/WAaTaiPxwdooQw+4fxp0rtDthuAA1jHfm0AF8yAEh
dhC1kgUmio+UJ8peeG+14Om6s4vg988xYMYIGEvR7nwj5Jo3H8BjUPufV9c+jbHzskzkzQyAPjGG
4kfU+1spDU8KLO/3fbQd+c5TTv5OVgKxRFJdpg4JarQ1ddkCw9x2HhPIVBkB0ITsh5+304DsaROq
LwuM0DuASgjI9HtWRiMggW5hT9Dg84fH/mespgoaRGwWZMVQhsSRA4wfq0GOsIdIirHCi/l+xiEY
o++qdM4xEgSVp9tsacWB34qBseO2uA8WD8PTFrfRAXS/eRp2Snc13pnSliKqn6R0xGtsMzgPbY0g
QrS6ElLcgnhSMFKOLmND9Ic266mPnCANEH0/x/FqD9ESmEI2jUbOH1utuyyl0f3X2K0fxqUG9++R
K51RrkRJ8oT0W52rrr0fwwFZBfIJvNd2myCRvQnS0tQbIT5RsuakmtB9a9yQU0jRLcIPWXx4fAhL
UDBLYBH3iTKH3gN0GwnXpsQAT+h9v1hrAAmRs125t0B4F146w1LeK0/QvI36Ms3OgVCU5QudTiKc
aQoL84xaPTiTGrWQHFrQmLGYPnvR6KeBiE0x1wtSDOCdkSiOurzpp6GEEd9nFnMfvo7Ee4WNUZUJ
cOTCTCY+CIt4MOddcJC9lpiM0LqHBZm9lHj79a3CPrV+dUEpdIDYft/gicqMnc9tMj0xg0+NWQMl
qeUFgv2h6UFty6RTaWsnsE9JnK0sQhovnnGFbJcN4KB0y7ayF/0TCxo/n9ooQUMZXGJENpB9dg9N
wN/cZTrMjrpZvixp1009VPapgNJ3VfOEGOGMKSZNNB2qYTiGs/pRU3h0ATaPfEDSBb/Xpd41XvuX
XrXdHYrwR4Ezmkq/SYpeBlNaA+8Gq/ZpC0Vp/OEyV/H3FUZO2sn+rLkB5UTWQxT6t/9UCC64H1jk
/1OF8F8dhht8e/9zkfDby/4oEvB9Tvt3qCLbivGyFELaP4oE1A8RmCVwm5C/yF4J/IMfTZCHxfd+
+QhI/HORALQ0QL4CGt9vGdu/Foj9V7YIzz2+RxBiP7xAF2Oe/rlIiFcEDeeYzQ9to4dz3CX+dRLr
JRbdiEpg+hj2fT62mh+FjDr7nUk1Ok/zhsp+tADJydo9JQzKiebbk679s1S9hIIBwYXYDcAOx1iL
plt8TG1hZc0XdoIr7GIzqvwUun3NsmQZRdlHINRv0PzeErZhHUedlEaw5tpsQPT+vKzo7wLEV1mV
bfHWnOeO55tXOUftTD/qRFiwQm512JAhTRnhyanDovFxwOSyC5Z7fo2pgCnf3IaZMqxs/Ybym8RN
vkwIrkZLInJJLUWgoPFSL0zQDUCE4tGki7EmWaA9XQbrcB8H2OMXKhOEtuyaOpWG18eEOU5G3ROl
kkyL8W0y9d1GEPBHZs1T3tX164uxaCp0O8zYJ7YRrD+S6bNCxAmBmbSuHKSjJl3/qIwMPyNWsFQg
JUesm6BWgOsrckym+ZlxeotbV8wnTAJw9FNDUMwBN8jEyMIj0EolbqF2E8Qk5ipaUhpV/oESg/Y+
qNArV7M57bO2D7Pg6FB78bi16h4plzNEhvvR9S6xdkqpzNnpw1xaeADYOdwW4xCa4ZsR3nOjk7f/
LB5YPCC2Q4T/9+3FTSJQ8N+w5z+/9u0fYXrEPAkBSQcuioJp/HXtwLoQ031G/W+44x9rRwwSMiFo
3FH4051L/7XBwDoDHO73mJb/VxoMDAT7lwYj2mcuoPXxkKSPXHzgXxsMP+5bADne9hDrenqMWkip
DRkwb6rzvfNmOH/bCCibWC/u1WxDlcJfZDlUc/sxSoy+wbLtDtaS5hJiKlcRORrbYTMyzDNy77uO
JdeFkuoOPCrS+KvG6xegoflsdVy4cliPDjTp1bOgLjXTRzJQ/rUBl3Fohan2chrV06DWzz1j9VmO
yAP6wH9zT7iYJhLHA/T67WPijRnr6PtW9dF5hsVSaumYi+AyKSZp1mzVSCOiqXngdEaEsuGYKhSi
FmYgpmnoYSbWzwk7eEp2yQZzdwY8+/4TjLh8tLaGfjm8sX1Mj62WrMHcnlZCqFj3UT6eTUym/ch7
rEn96mLeTzPTCYC4eAr2UUCNq52D3scD2X1QEGMYGdTR7gKyXp0a7WOcEGP+gXfCh82PYUMhQc4d
kiAGECH6CTh9ebITEHJQi12Kvs6mThAULY8l9J3kHhgfR2eGs+Psg44waonm/T78SCkPFss+EGnE
ZKTZaz+PA0Yl9RhJguIsbAtSD2dWj1Zn1YILBiVlyjuHu2UVkmPrO+nmTHW2Bsuh1xykjp2H90XW
7XXV/neHSzcfXVSnPcKBuYGnw9v6hjTgUx+h+OXrevCW7qPXGp3c+YmGIel1D8tIHqUXf3QBX0CR
R/jGcQ+YYoKdYsREgwF/Jwwx6gm7TX1VChozMMCLouR7EOz8emhuC8P0KwXBDH4zsLy+dx+iOjmK
Xh4WGty1a3IdjHtgZPYK22HlD6sQCaW2tHXz0FtU2aHuy8RH+tkG2zWAwou47gdUr10Oo+ISVqj3
QKp87r3pCzUEkhWLv66RPMhg+zAmHBGDCjO55KB6qEugn+7BOkqVeTScvyK1gdQcDSZWYorYXWLE
gKeib/gdCUeohvMGJW9IKppHZFrvarTxp/8sxj8XYxdr579fjP+rf/8mpz8XcgEWyl/Unp9xfbio
f0/u/GqxYrK8h5UYsdI/1XFICGFwKgao7lNwwbdCgvmH2OMRfGMcYFt8YUy4D4r6K2LPT6L6n4h1
4LqJC1I4wuwVBG3/tBbLIbA82Cr14Hb0hUt185AX6X31xNcBMs3is3Ptgnok/rHdtjbvOa/KasF0
H73OVeqOkDujzcw5OKhn17d2dwdJanwdwpglT9qF2+EneC+BIEnRtQM5JfXkpQPrblMEKcgKTB4i
cr06o4snW8BIMXZxMmcNqhw0W1t0C6JzkzbjvSv6F4SnoBgtVty13r6Khh4SihVC5F4XHXyFGixe
pMlCLN6pncQLEzEKNKfHJMJJncYhKCvsO4XigKUiv/8OpPYjcERnD+odJXVumHRB0mpUGPQE9gJ6
/BfEDVqotPMGydsUYjq15I7U9NvC3iea6aQ+YtJhnZtlBl5sZyg4G0fn1cGb8qwaimFr342Fzbjq
6duszZlorLKJiw80LYgVTfHj5qA13ETh2LtZk/Pqx5+DNjxJt/XTZAtgQETB3YTtsunXFdJIjGDB
Sh74Pm6qdueCxC4uCY1UqutanaIJNgwgw2evxp6SOOzrCl9ViRiMEXaCrCGMlN4ovVRFCylpiGEN
QyV10XEMd6m4Ienkxndwh0/b3KCfnhjsK/G8cmjkrp0JpniBio4VKvowAa6K2Z9jUY96udXapVlF
kk+1I9tUYurI6LZnxaMXP4Hf5NTi0G881Qj2twtLcokhJSnGfCHp6Q9H48JkDPV4RkGicP3GQ0L7
NuMVEe7j4Gtxi6sRfxgjEAcuH6w/fW0wShISoPOIG/w9kY1MpxbKIuPkdRoxcROYZe7ATckbQ7+v
Zv6+RNtWKr1CCVNxdQT5+AVKlptKHErGUfaXjZlvAQZOwYFyMUuxfRtscrEjJpoFkh2kcRAwggOn
XKibuobELzmsp0mpe91aPD7LC6urLyOL4qOgYE1bp79Vlu5BsfnTSKMTH3V9jAN5RlndYdBD2Jex
EqewDj5MzGXnRYsQGpG94T3NHebxLEDPpEQONpyyn5jhMoEXJcl+8Va6ZZgdE0J+8T8p2U7ZYucZ
STEhzsqbUYo4GH/DtgYRM9VpmEdKvtZuVR8FY9NjC+8qNXTMV7GRMp77j7GHTFmtGcguqCrKkw0u
0CCKqmtnUGa8wdOuvZNqML9ItiHLJ28+wcGH0ROzU0Sq7hDiWOChUCRx96c0hkCEyTbALkZx9DXi
xk6Yo6CBsd1CRBk6h+BJ83UGCnHFqDMW5Umtcu0DVQB7mDt+8NhC7sJQtQ9kbS/BNJ8l3e4TWB5L
tMypVf0B+UIOZxURcMHJ/bLOHxoZiLTb2GPvz08cUfcYVqPq7auqoMNypGDSXrYfQYqf/dU9bkq9
aIwIQ4pQuKkrJUXifb3jaiwid5Jlv8Uq9ab1Wk30iQuYqashReQNZ2/GlLNNzYhHV5+bmjwAx79H
euBxbCNMIVnUl6oK1nTm9rVjmJ/hj3FcAJX8rPoICNWGeaLaw+hYhhSkM8hi6XDXIC6y8Y90boNj
44eCHjChwCuYBOgcNPL/y7zZnsCFVqq3X+YU/4+U1MuMKRW9+P7fv+53NQajrHdMCns1vJnfiKc/
LBv3b4CT0GtFno9Q7e6m/K7GxH/zIeXDRkHnj1/51bLBl87gf4BoSggSFdCQ/8ouHu7jmn+JkGBK
husj+AZXGyPPIPLsHd+vHRVZgql3ZN8/2IBh5UTgdkFaCp5NbkUrywWj19K26q4+QMkyoP7RRTKy
GfQDm50TBubmifEADTnZTMnZqOGdz/5bpVBfC8CXltzViX+0LIQ66sgtY1H9prbuCe4mL6D0vMOw
CjOfQaCounnILObJXPqt89IOlCUefg03mbLLPMv4DoDsY8wgSiYSkxpsBB854V8QjStpRR4Z3GyM
ompTMIyvhkDAlSJ8iIMRCbQZoA8npnkAsvMtlNhdAjAamWVRmAHBJifYxHdaRyda9S90W79vvr0q
P/nSVerFbIvM264+YBTxJQwsTeUSPgQyOndA0dOEBR+og7iH1J8NC0u1OxBQuDGeOYkf/WTCSA6J
oDO/b01bDg5BUiUwDWxdVA5kcj5hYiy2ZIu8UNDesQkqjx22C024PomgAzXBLSkZ9srSaZPPyDI8
Bst854OTuh/GJww/KnveFFtEHjDDqZzp+oyZbOm6h2HoRN4pgcjbOa+LX30CzlWGM1b4ZDHoJbv+
S7PNH9DVoAuzM4iftb3fFpy6kc9P7lphdBEP+4+jfwo3FWs4Emih6Bgt94CTy8ogitsDGM+2ebmx
rS3w700Js6PL9Sg+zjiMCh0pdkYHlYeRh6BxcW5ikknQDeOC64DkBwIgbtxhY4hhv2/0uYkBoZjq
G9JCbdqE4Ysvw2cH8/0yR4d3SY/JR3MQMZSLsKARu3t2guoEFdq/CyQkr3VsX+JKwJBoQOf2Tz3Q
m1ZMH+sE2RS4oxhhiw91RG7OZImDPCA6nzoD41ZSH1FfRASzTja8HJo5txhvjTL34PrLkXu0KxC7
A/4A2isOgiH3w3EBYj28StkXCQHIwDCoOdvFyAyQmEnFShS4PoxXc2BipXaF0ogg3HC12/RhtPy5
GuY4890WE6IbbGTNimBJP2M+dTfJiysRhwYDVs6xem3C6C7wg2exSEQumqTPHGLtAVUvEjfVBPwI
SSZERr3Pgxhv8YILH8AA3QJ7/3/YO7MduZEzC7/KvAANrkHyNknmWln7fkNUSSXu+86nny9Klltq
t9toYG4GaBi+sNtylTLJiH855zvqEH4NR4XF3mjdurVzi3lkPxlIFbQwPNiS/mTx0G8YKm/n1ck9
DFgm7XpGpcR2Q/KdRk9Zl7fIWDvP6lgz5XyiGyahx35UfDUTAcJ/bNl5kVy5guXDqhfBkt0qqHxi
rvMxWt9QRb/1o7jHNnWf5Zo/zM51puuZhzjG9CbdYMmbKI94tpnt5nYQr/02XkZxTBI07bVG1z1Y
yFNKBYxeWCxHNlpBVdPbYqEwfF0xP/S5O+eqcoZSXgaJQ1HMSOYNv/x+qXu4qjhX+LrQcSO/sDdL
y+gWlfxdYU+V13S9tguZUcjOmN9nhPYyDTyB/Pff9Hxm/gyVCkF1Ym+cXLltBvWjK3gkTFEkx8q2
H+q2uexyxrW6Zn7UNY2+Mm27dBYoE3NToqX0rdDAzqprexFqTBJAPPsFn/ipKflLsycfPTwyL2aR
V9sK8jo7codl4NialCLRPkRnB+JkeWtEUu1cjkYzQ7xnDIrHUObMvPeqQ+iI8Z4ZB5CFO6xy0yYy
q+umU3dMzu7rlbOywqofNbpXrU5LqWK/wZo/Mt49YhsCb52oApHO8KCIVfNCUNS0XoxzW4uHOuvC
l1GsL23f3MadGe2jXNmzPxuCggMO39ZwVzta4bcZ36+hVL4jCZKTHSI4LNp3yDYcFbVXxRjQ2nWH
rqbY6GZ3v4TTY6b3T20jO65seKLgV/eaPmm+qurxae3S0U8wS3gLIOBNFTXLJteMQ9uld6Uwdms9
VPQeLG8zZF5unuJVcVPPcTMdowb0oVZ/HMXN1LHXfp6SkxkbN2WKJ8ASj1TYD4lR8NWU/U6U1aVe
Mx6pc62DgSk+NA56hPXuNVYsXm1TCfd4sYEcYqcJcjthvG6afuVOF12d346uTleQc/yCQF8X7a60
4PtXLPiSaHiye+QM4LmPTX85CuSe1pBsIju6NtEU+nnlJjsdBrFntckTeKcdK7v0olQ4/lelPbuA
ibfjMmQ432a6X80wNl3t8G2FeAHq6MhKX/G6TwyZ9okkWwZD36PA/XAkr2wqe3YiESe2/ZRKmlnb
J6jr+2ZdLrVP2lnH92wvaGAjpw8SVJQ0it0xJAjgSjNaBJursu7DrjcPox1f5p9YNUSHy26dZ53z
GC4nl0e6dZtoW1jaWa+tA6fRUYQ8Okw5aMUVVMStaTwmds0JMULLNDtlHzfmpWl2sq1QP6DYf4QL
vfNCx7jE835RFb9wbF9n2seGmlfS0Co/m/Mvc5KVGyuKd7qa6lS9BsdDJJ7juRjZzPRpMDEqbLSO
4aO+bsWosECyxSniw67fUZpqZniLwmuvAOK/TFr7yqhR3CVDoWE7VR/4+LnFtfyjntMjnlB7Wzfz
DZStXYrfwrcMu9yWs5ox1lVrP8lZcWvN9Fz2M0q//M4yF1/k1kPhNtcLK62NWDNo9GLbJjmiNpil
XTVv6ejv7cr8wuF63TOB8/KYRyARza2mtFsOOA3hjFTwafjAY/IL7FXbl4LRr5sWV7YLVTYL4yFI
QFYH7cz0hHNf0rzWmF16h0QdMHUtTAxKlf62djp9zTTt7ARgtOaIS4rcZyQlF7Od215VKIEG992a
nBeulu046be0wife3L2ty/5mih9qJhNIVvMzcpl7J9MuECIwHKierFp7nkKcZVZpP3X6fK5mG3xr
4ir0sVpN6EL0yCKsBNSSH1bYTmZ7nqNoW0965g+Jwy6bdZVQxMNQj+d1jjdqmbznpnVsMi3na18u
0OYPe6bofVDO4lxokLBFwUGoxDvVSoTfWCbEI/1iUtfT0BoGUEdGnGIVT+lUFNcG0BM/6h1F+vp0
f4zNdTMOLoMjmJobqygXlus2+Py13XemXvmtmr7bgEA8Zx6u7bqjlQIXsIO+3V0UTbt4jTGd8tR2
OJRC5uKhsnOLKaXmDHteLit3VvNe9MpRJHaxg1d+QKxhMDKujVRs1tEF8/b3RPX7RJUW7T9PVHGP
9n/Qi6myr/ttu6WyxQb6oMpEwF88K4A+5BzT5V9AAH/2rJAuZ9HCAbD/nJpKiP6PiaqMKbLkOtvi
VWfv9Ze2W5/btZ96MdCoDFMBgLBEY7ZrmvL3+7kXw37RYeONjatuNlVmLeNhWszGRydj8CY3W4q7
gSN0ebKh1PldZH5pDdoWWn3fkk69dGb52rfxqZ+QSkMvBjGIy8XhdvTnbryEedT5NCTgbqrhfXHL
lziJAuyjt5mZ7sqlP+qGftvUFD1ps3Di1HpHJ6NflAVG2EixH7rMrbzcLXo8dOHDWqVPHL4246+V
CJK5uLIi40qbROBCq7bzhlCO1TisY4hGP9Mdb4znHTCRQHfqb2znqUMj61jy3tRL++4gR3K79XFm
nw+BqODmxoy7EWZR+kYdeuoM3NWu48dJG16zeTSJpIj3+lCxbOqAORexQUnK+MtLauMyK5pjnqE3
nGD2N2OMJF6p6Phy50qqeSg6m6vUGuvjzLpoOyQMYe2iQvYEs99z1Si87AQ7IyaAK92QuX5z2OFc
jiZi2oQPtw6L+EbHVreJu/YjZgN+ToH5W67CTEavl11cds5VR8ROYNsT39oQQ4IG3+Rl8NSw2kKI
Z0ImdskIhla0uBLN2Y5u1MjQqGZSJPboI5lpc6NhoofpVxioxJc83RvGnAdKksC3jiUeYwX2IGbM
mEyd8HQSAaTNC3RUs0u2JjzBrTlRpbZFr+/6yiiC0kgv2OKf1j69ykrt0C8RivPC+RaunEgpqrdA
6RLDX9BeBlpok90zoPJW09jhg9AWZAONu+tTvDHp3A47V8cSWUQt/Stm4lvKXGc31FJKj2J+r6ph
6I8jgubOMJSbXHNZgq38TZtZCLo7VWydSOmh+E3OZkGYHChYlJFSZcnRYoK5i/T4ftG762FQyyBW
nGVT9fV7lXfcZ7HAFt+4JisqJmMRQRPs/eRHlOjl69RZ6UOJH3vTxW65XwYYNjpisQ28RY2cHYb8
cb3CquRzp1FWhr0zcWLHk8lOwh6Sr1lBqa+mdhiMUaHs1T7dDhZy97Bk6Ikzc1O4NEE4+AupuB/I
nZgcv62L3BNjKpBKzzcYScg0KLIA+aiWeLmeX0J0QHyZYWoo1/ceYdu2rzX6PTdvzwkGTs+YhZ+3
jaDlnsALKva4o501b3VleITF3tNv9QPMv1ifGdckQ/1l4reyVwxoYUziUufEDfr55V5jRwoiMsKE
NLrHEgpnME2LRu8/IFbpFviI3GuMMIKkLJWjYsIGNYyHkWmrh0zmvgAsbqfl9WR3nqLY5856DcGP
D5UYn9lSfEyAyWdJKC8lq9yZoJYPuPf3riSZJ5JpHmXqhc5Pi+v4NI7mNzKKdE9b87M6qdpmdO3H
1aHTTFKia/qu+NrZAEzgGxwqcOrQnS7AmwLXkKT1UjLXs0QONsbY8mmk580o2ewt//NS0trtzrC2
iyS4a01xNSjRXQ7aXQXxDoyeUxBQnG+Df0/AwM+ZEOxxIMOPHYJ6jZmWhlGrkfT4MYUjT41VMPIe
zyj8ngYC231bMa/dWd7zkkFP+8//UnLpB0mor0HVD6m6xxeLLtUMt6kKzT5xsXSlknCvzK5PUfjR
Sfa9NSY+aArxgjqmoIUFkY8P4UsFMr8crGfssNYhKTSko+s7EA9QFdW85y+db2OdEUahrX4u7MsY
JH8s2fzo9HFPkRE0VtpeacR+mXAMSZ6/kkw3MoAr1zsWKyD/e8fFSmJcskzfKWazi0BU8J1SrGr8
Z+sthkTndcnwrUtswPJTH4zVcugly3SQnFozuwEroHAXDOzDl1Pc5zcFikwtie9zOEmxKPe25KQO
AFPzpPfwdJMOEHb2pgCqSlDKRZJ7jgqnrgO6ikrtg6COZcM9piy7ztE7hzVVhtFOlLcqstjg79ro
e230p6Nq+Ghv40f71v37rFry4f9VH7FwlhG6CP1+eAh+mlW7rsVOmakzu2VJbf9tVo0BmOpIMIw2
fkXH2/9wZCkDZhljr5QV/pVZNfPvX2bV1EcO/gXGRwKpou669u9m1WXkcJGMDn0oiS972Ma7OGJ2
1VKBD/a4IG/Tu4t50Kudoa4U6lTsZWpyRZbFeyuL+U7p9ux0rMA1qNyjSRib1Iwbj8t5pUOZdD+W
rYHdCLrUaS6um8h9imUDMcpWApX4CRDGBXkHe6fCqWnRdTRL/RQyFvUwApyxYyGrq7JxP+T9MSpo
HzO6l5X+mzmMfSaN5CGSPU5Ps+NOduaXbcKmu33TLayXDv3RiFVxM8GlgsRC85SN61nQTc2yraLj
f3bps8Q8nlz6rsnO7xWrOPdQkT3YDA9lG3LYaDB2wulkr+ZtSQ+nRcqLTk9HNAXuSlagHd1ebVfP
6GoujbjAKWXNu3Fm4cWT8dbnrKpK2TQqNlMA2Uaiucx9o2WStYTNEjhOOdDoY7YK6UBbcM103ca+
ks0pW9LLKWetFq2TtrOyfpvSyc7ZyFQj00pP0VeaMPFFp+vNhmULYACPX1Rez/TFS1wcEngdG8id
12KwH+ImjILaXJ6FNNQmEzNXqvjMy8uk2hrJ0gHLtil515t2Lu2tFufHmXY9XgtmO73+IOJWg0+h
4wet3Kt0tPXLnHZ/dqK75tKMD4KNuzo5J7GkhBmxkk3sEQV7A4uhX9OgZ9qwawfnORZUO2jaWUtU
yY6cAqZ1RfUlswWbATnU0RttmzOiWFQK6n7ZJwtjiqJI39vW+LAt/YOKnGkZYw5JqZjl3GNRxyLA
Vmk+oolSEY85XDsMSioGJgzVDzkDFGuIt60Tsa6FChQscsqiR2LZOZ9c+9Ia+mAalZuknr66azZJ
GxwCVpXd99rQ8Ntsw02FUV/DftwVcueqh+gpHCLnTNPZ63KlXrXzG7ya+0St/LErAlWKZXl0eY5c
di+4UWO5nKf0a5gxRLjj7IFhKEwGrnLW+WC0mdxa+a07wt3TQ+T67P4xuV2EY6exvUAWkEcp74Wd
DwFmRvbOUj4geNO3ipQUqIAvTgsqgxC1gSFlBz36A3L68FJCITrUIMY3cT8B9ljZIpOahXBhxRTN
m5JKUQMK2+sQlUNcqKpfS+GDQAGRl+K1RxHRVTeM6HC9IpZwnCI8zKK6nMMcljmCClevvhIdyUYf
qUVhFnVgExDjK7OS+bVUZEyW1KE0VuTHq7JjYZ6ur1gVv47tRZoeOmQdSdUwBwh5DMYifFuk9kNf
mnMo1SAlspAZr3ipxUjUEIwoUfaRDbwyOg69ABQWmNPmUEiVCf4pA3pHfg/N7JsrpSjRzHNnSHVK
hUHHBOK2UWpW32PUlBeKPltnDV0LzABCXUboQPC70sB219CfpRBmCMPKi1rEMfE0nsc2I7NRCmdy
N7mLW55my4y0Q5uDJTBDvnGYQZD3lvWG9E3CYlZMSPh3CGNDoWM0LVYoftImXvElKVLIg6Y3ZCKJ
wrFqenMvva9S9pOB2CL5obkpTOOUowxSQ/UeY0sFP3Y8hnIVbazrjKm0atv0qp619jlzrW4KRFeK
1OuGlIXfmFKcjkaho6kISyThSffiuFFsXvxdE3zWBPqf1gTn6mv15d/rAfmHftQD7K5dGYNFEqBF
YWDxj/5VD2AysGwd9INpCLJlwXH+sx4wNf4QKEL7E7L6aT/457iEf6I5BjMWA4WaXIX/JWKqKW/7
X/RnOBUY1roa0GEmJg4lyc/TkqZqzN6J4XI2yBzAd2QTNFLLvtKQHrFQjZRQWYOsriYq0KFeVden
qDVDfwEX1W4d9dP2LrTI/QaIed8qpRG+kTuaqnRJZa6c+Et34VGjzNaCiGAqpvRZyRydJjiuRw/B
5jywqrVWEGg5ZCosenZpy5ZiEYLKt8e3Q2W7DDa1RYvIeM8gAA5RDvoIMghg0X0TtWwpygIeg2im
vL2KTOluGwz2U0HkqBVKHkf46toPyodFO/GdL/p/TcH5/2e0VZE5/OdRIVdo/5lr3vVv//4GyD/7
4w2AcoOmgbKKp4yMTYdn8F9vgP4PHkDrh5hSjgV/q4g1OWB0LZKOVNy1P2kw7X8w4kM+rovv+sy/
pN6AVfr7d4BxJSpMOTZkQvnp+v35HXALe3VLJF5X+ZiAd/TaplKP+ayZx5LhXOqlonhY0ojCYlYu
nJLrJbUKMj8AXcQEqG1YkdzPUX/KnPluVOeLJUSuWKM12EB+AuGVrJAR+8epWC7twjgwYOc2CqtN
I/N/5pkIhUF4M6FMycp1WjCTIfbEpXyDjkHF/M1wot6bPi0dScZoPTH0oM2QRqwOTIw0Zfed09IS
X/GyCJRMXW4uAV1z4attfW8iVdiYg6JTOkaewTuMb54dVsSetC3Dpxx0ea8T/onUzcfa/y6QMKRh
U/iWZn9BP5V4o0ieBRS2DY6HgzE73tAw1IE1+Cwic+fY9eqFk7GNyYVgT1/sdTFaPiHU+27GhrSY
dN9M6N6XKnwv+vlKreJmQ1H7kqhu4hVmtsuy+cAoqdxq89RCEqYNd6L6a6SaDCm08rkm6pr6hAlG
OPQfItTXy45FeFJb4YnpBrBTS8eWF4kAV792qzPJ9EHJI9mw0JlVGE5305SdNKsZuf1oQ5gGtP0W
ZKu3mnbCvW1X23wxVC+HnBk4KPY3kQtnYdDL7ryozuxnWHC3DnJKP8yVxeuRBm/aLkNDn4DzXNQk
DEq1S04UgPnOkTYJXRomkNLGfqXKnXeXq2eEhqRxSYtF1SJ6Y/QinikXi9uu1ZrrWCrDHQ2NeCPV
4qPUjYOoY22lmGZ6EX4KyxUk5kO7Iu5ZCzV8n51EQYtvKc2h1NUb7A9aEBOC/KAufPC70NHFK4qX
6JsJbSkopG1p6gmVhnfiLQXa3U6am0Zpc+pa2If4nvCP8qlPJHNHFx2+KFUapJRmuGylZSqU5ilb
HVHTSUOVLa1VJh4rU5qtmkJFkiPtV/iwQHtGm0xas0pp0hLSrrWaLLUraeGypZmr+vR16cmd/d3o
heWrkuYvhqXjowsg9CDQj21iaRJTHOxiHb6xWRrI4Ef6s7SU/V3HfK9jKC7+82F+rv7I1CRR2T8O
cQKS5RiCJY1u4rGWtcqPQ5wKh4MY55Slic+5xs+HuM2JDzWBRsj+HsPxY+0jszZQ5XOIfx+H/LWx
hksZ9Wsh46DwhxgMwlmQrGnLf/4TNaFbMW8P1iAuI6NceX8EOBEM9uzE6UJICeAcDgd9REVCCrLv
9LzxvNggpwLyiwkZ7i01PztDotI4s6MWdiTzcxUzCJXBTN0AQh87X2NlTDzzBqUDDOWhUGp/VSNT
KTYZecc1MU6t3NAi+JtvhhRpqR0rjEZtmQQ3zOUTo8fEY9i970uGoJ3MjWtGqeZKsBUTx9dtw0G9
T0sdN6eAFVQgBl/U23IB1wCMGAcK3LG6Kk5lE15ohNZB52JcIHPs6rpgY3AguQrfToRTO5GZd5lN
2EVORjqcLmbJg8zGG2cCPwnL01QmDDnGHWUgR6/GJL4BR1H7U+EcIat+1WXqXjKMz/1sGRts3qci
US2/IKKvk1l9kxiFJ2R+H2ai3jPslWOyFzldODl/i9USSaLqgYpw308H0gAnYgGhKJ1yBXDOAHXZ
K0Lt6zzXFWK+jnFvs09kumBBzGDqMI2WSIPBWgovbVCGDBm5hDKhcCWqkEH7trHJLiROE0QXwOKQ
PJCDGQMxnc3qMtWr26aZvNCuT4xfvBjn1gbW5Ab2SrAQlgjmCcl4PIJwUTcjvtQ8JspzRAFCFxe0
UhJSohnfwEpDt5NX2daR0hFgYJBKEZNkUlaCMmqnRdETyBpE8lJ6YkgRiiKia2pToItu72lIVUYa
sU2jtk+RVLFg+TgtyFp65gCEdYysgLR9Vqa3UTleJJbhw1llgy+1MaFUydRSL9OiT2B9516rUkvj
NMZHJdU1mtTZWAhuLKm8iZHglEb2YCPJkXMz4hCuwKoy15ciHvNTzoOuJ82LRzZMvkzbHlTjRZXK
Hzu1duOU382ZdSilNohagkv1Uy8klUOr1BDVdYsCTuqK4ml6KmluGJL3DNamRw0JktnBQIsQJcFJ
u0o7C16ZAymgf5+leqkrmT4MNkgjlAh+JTVOBmKnMAWTVkn9U7VEh0gqohqkUQMSKfjYr2STJB5K
oBSpBjqqdDQ1xH7Dwyg1VppUWxGpcFSU6kgIwFv5qceSyiwdiZZriW0iJVtItxSjup7UBCgnoi5T
qrucWGVsNiuX9MNntDRge5CCzUn+BCak3MHaeCuidYZCHe0HqR8jUMr1SqkpM6S6jNyyFzhsQMeQ
4vOWoUFzmUD5RCLvmK20MtQG8iuKtVBq1xzGv+gypm3eLVca8rZW6twqBG81wrcKLsWxlVo4oc0f
WeLeplIlJ9jaIglEOdety7dpZCjA/Lb0w0g3GbbZDlILNHe5VN8h/r0TYcajoxpSqksZVdUJUxWy
GwDUx/ssmt9EjKyvF2UZzMI9D1Zz1hD9ZYDkfZSS7FezhQcK/+eqqN/ayTxFFcq/tXoBQqwHAtCz
bWSTx7zhxIgMEuKsjGiDxa056+Yh6qXHLpVpYXp61rLiSJLLjuHGiYCGm7QNT0WeHuK+uQtjtnez
y/Bxai8oDa+EUt/X9KIbqPsNDLBInFzORc5GltPsPhkJD9MuzaqnsuoXz55c3lli8qwQHAPc2h4R
8vTodj2Ou4qyfCxr/s+T7GU2eoPXcSbGZ1A3hWNUngvQeJst8ZM+fUwtwHnoOElQLuYpFsXLvPCJ
au5wl0+9HoRjBZIXMoTRKY+6aX3EESrKJbNRTxsycqz6QrAAgUrqt1HjYahLcV+3fGETPZFv5X3H
EVE21Eb29ZgCYkdnvZGZFMAkRrjh2S1/VVSS8dUKiWNr4U3wopEV+JrbF7iCZRiCeiBXKWEU5cwH
c7Lu9Dp8jhlR7do8+SgmotVCcyJdeVrLPcHMD0Yp6Yo2FHjiLWRy099V0meVxHLlT6ok/yP/n0sa
gz9SyPAHf5RKuvEPWiNeZu2f+IjfSiVCcnRKbIzcP2KAf/S7MiRHBR6l4mT4UWD9NvLBxWDzgghh
0CsTxfkXPIc04r8USsAJWUG51Eq4JaAB/m7/04dkWeVrSQIVC1E1Sy7sKPOMcQl++mSuv4+Qfk6/
+T46+m20xN8EW4Vs7Fl3kX9CRsKvFRnJCBn6gGy6tiw4zT1adzOw1oGsKEjFFcJo1GM2W8++unKX
4aLJ6gdbb8HyYQ3zJvIFgqzVstPYWq5Pp0FIyIKjWLEQX/LGP2OTqL3CiYEmSGFL3OV3NT/Q0+v8
ulITkvhsiHtOoze+o4x0vmgyEE0gEy5mz0XSA5C2W31uCMQgWYkDetzydvf41OmIuwwyk20+oTg/
u+bgIhw0nmOTkCtWPHeMmG+VYr5UFOuyT6jf1IlFMbk6h9aFKRsWEZ2W9kC6YL5Ro5HzUbKnhrG/
AdgN42V4cp32gzLzNSqWl1YuWrLBJhhzSa4tzkiBe3hr29ZeuGELuKrlG2rbh0pE+8SB/JXH8Qkh
1Xs5xdl2LJBNipHQ4byaa18ZpDqDUTeayPVVKwrZ46ZXpkP7uuSg+DGLNyJ7HWztoe0i1IXFsEEP
fWs3w46Zy57dioIEiBSFCXIRPjQCE2LdulMW2K1Fz+lku69uz47DmP2hoZfvBhPyJOt9By8431+6
Y7vxzeFW3KjCOivjwDFZokBqKuFp9nKpT6DcFwJVp1hLtqgSryGnp1vwuTvOwHMUhdGm18ydK2vj
eMJ+rQhr9OvGfWVQs0erdVuV6+KjpH9MBLbACIr2xujzu24aDppFNH1rqF9U9N6baFoec3ibZFys
V/qMr6+LUyrutf2q5fpXfcpJR6H+qnL3gPEXzSq6TqRaNwWRKFTW4sI2VvSRefllTWtO3S72ClHd
ixE0pNnY2X4ajB36JCTv4RYlBjxvHjEsFOYUo3mOmzc8QFG7XR2Fa4vOgFJenbNk3Cx6C2zLhDXq
q/a01ZxJyi5ags9yC6PbonlqyGbBNL4CczsklrYdVxZN3D31+JhZhhSHTABAN1YiU0FnLfGzVD8Y
bEo0dFa9XKM5zRshuLdapnw4Ll9TQ7BlxdOIHGhkatX1GBsnH0CXdlAKC2HTNF44lLu+whzKQhmM
uGNMkLpE04tI7Q5SVH2OEjX0OkgOmEE3sdld1CkJ2X0Hxbl/Jh+GJQgj2TFVyRmozpnglTXK7BqH
L7W/clgptZnWxHGAlwPF3Zh8FROXMNYeYzMP2i2JFrsZumVGPK43D4hjRP3MLY/7+BCbLdEGyn4R
9tucqq8Y+jPPzhfgwPlrbt6NU4dMaTjWFY0P5C88Fp6+ZaUVu2bP2sUIJgxYcFy3rRYjCVvrcWfY
ab9VNYRy0Wi+lqa26edq8kOlhUI81btBK6+WanppqxTB1GI+9r3qnGuFBJV7OUSKHLMN95VO4/Lf
jtFfEdzyFOW6kM425ALsD2Tc/C99bdcZZriI5Xqi5NmYu/A431XnQ9pvlLfyqQ6yA6KUTXhCSzz4
6c74ThaAvB59VH9wjEu15K+HOD8eMrnBegJaiPW7RLA2xC2iiGG9Hu23Ojy4ar9x51e8bt8rir/0
c3RVQz4KpQ8znQzx+ql9d3vurIQgg2stuSBEjNLow40OjPr/y8/59fb7/nHyeXIHamTS4Uj+9ec0
7HCtAZ3+tbBOrbiqDbZ65tOfX33mH31nP/9lfvdDhlhVO51g9utx2z1iaQ7GvfqVdgOD2plAy2hz
2wZILbf6/uHS8fPN5XhOto9dEAY36XHa7BmBXgCl20R+teXfweOf/376r4lo3z8ESY2yDWyRCFJ+
9/vlhDGRhaxq1+hRL8MbNVDP2lN0JL+IKYW/bI4v2m72LpvttLcsrzgBdr5BqLedNrn3+av8vTuR
D/B/HrcF+f/4VQu84g8WJ/zBH4UkgzW5m1Ntw+Tm/HVxwhqQrxDOkI4vlkLzt5mbS3AAUXAuMhg5
p5MCoB8zNxhDqs7CzwJHgArlr0mJYGj8cjhIKRH/P5xMqgkNQC4Sf/cyReFsKdoIvMKsHifpXh+x
sSuUvjA0u/aaqDDMKFyWz5ZZ9xD08WH2NlZFp0Dq3CljCSAHiTTJiC1XnfmEZsCGwuew5NB0/Dom
quJChvpQFLUQd4YKeqM7eg2aVnQD6x1GL5YpsxOzRLEfXCz83CrlVkiMuY29n3ch2rcY/vtkfgon
MqHHtL5rq5jphpK4e02NvpTgAmZDPSGZvSSUlLm2JAoQ+6ptF4tpXg1uIJ+S3SL5AzCATshNXsJe
P/ai7ghbGu7UMcq3UYOzaZhwd6AjfhcsaPa9ZBy0BDtt3Wr+EJX4wJGc+ihpB78DjeDOxnOpV+Wx
HnIcoeAT9DG+iSVPgV/zi1sWVxA5N44x2p4S47h9nMnpDjh6dkDkMYLW4g1h5DaqEBCGSCNWq/gQ
uRbMbHq0Kq93ODq+2u10O4ks2rNtcTbFaAEpxYvhp4kigkGZr8Cug9eP9MckdEA3hQyKdK1CCQxu
qKwn5MxltsvHiUDc/pUoIbJUDJpa/JRX62pOJ0ddHp08nZzruWNlUPfziuyTK9G9iJX62zrEFhb7
MQ26dCB7a0Zcaq75vCsSBF1NkrqHulniGyPTH5BAwjogIGyvk7awEonwsqr2pgYy7g73g8ijS4Yu
9XFVi5ZgGCXb11YVTKl6qyFkochwEOagaNpkavIolU6oeQdnY0h+lBGRH1eLevZxuHJ9KtV1lIJ/
Fh3R50K9txXWdlMKIWSgMcrF0RxKPmLWaGE6P9VW8tU2iotQSYEcaA2WprZnbqAMb2bRoWcxjRcc
iq+U10QwR/Zucc2KLWC611V0UnYFX31Yt4pulDBKnO1SAs5PbSgl2QUZy4QPsngn9PCugDir5pUT
jAMjSGEtTBSyiOxNJf2iCeXZIsoCP9dtHvcXy6jcI5977bkuaRJcwAnKqZnbS9UIH+YyPS1TwbcV
6o9RQdh83Ib34Wyf+pRPqNYjc2vU1K2Z416WOoZze3pgvr8yE85ToBWU1IScvePgvp3a9DKSDNZQ
8l3s8WrSzFtGnRC0wwQvl3YApuiRY3KMmKoOYjrVivUeLf2jbFei0kL0b13Fybo3GHTXKiiMrFue
rQHqfhrJ8XmCkpVjDslBo7DLlMrkkOA2Br7tc9sVR8Mdz5lBqrO6Pg4lKvqRZCTpGzpgV5dxjNJP
oOS3iO7fyfdDocuAdrMKh7CL1AiQ0TpB2FddwIa32BKls4fNn2zSukiJ1yK7o4O9oeMqkCcup5RW
BZk5XlcDHYje9Op2GJebSIU6ojGmVvkIOJNujEWc08H9YgmNZ8sWD7owz4ZJ6IExIBIfl5rtnzzi
WsIVILHf6W65zW2GXLpESXU4PGDC5fsCgZiWM7mKip6ZOs/bsEZ3mmq+2wXDvkh3zjAYQ0IuFGVL
/36r2fg0mijTCMay33VS1wKtzJm1ijpYDPLRikSHOeAsWyjt39p+De/SZsUR12r3ZTKWm0Gzky91
rFwKEp4IUuCMSJKnKR6vWjfeF5bzbaUEDno0kCj8VRwXTU2ya2cp7oa+uXgqsLJE51WPcGCKsQpY
858sp713JUyjlVgNsjFfsQ1D/jVHA9Lk+hyOYDXssXvHy9V469Bem0l+GcPrMOB2zPA7NAnywFR9
zFc9yFByBENv3cDtOJMZzQJaYkBSeCAOXBBVYZHbSlQIadcqlfxwb0ARASV3JGPtMZV4kYx4G36b
9dmV5JFmeSwsML5Tes3zwIcAo6SAVQK2QQXcg1dkBEOHDHaggenvSggnGokvZDWeTHV+KHW28qZ1
LSCi1K5ZsqTmrZawFDsXtGUSoIIVjdWLhKqUKuAVzljMwPWe5IF9KwEsdtFx7AhyNyWchTgSZHaf
wJY6PawS4aJk5Kp9Ql0k3gU/kX7ABZD4+HEZkEsMTPa/7J3JctxItkS/CDIEhgCwTSBHJpPJmdQG
xhHzPOPr34HUqpZUXd1W9ra1LCtRSZGZiLjX3Y+rKAvAIQUdGawJFljMP7ey7+s9bih/fSvbEB34
TzKoylf9cSWzv+iSiw/7OCCwqsFt7YcMqqlfHLxU3Lqkyp9YurF/eFks4PEmVcBA4Fjffbut/biS
mV9YFDogxSyMKQwmfyv9Zlna71cyB1OMA9LMEiY3e/23cTHJyAaBXLRO/tgcgrbq88t20CYI41lf
lnQhRt28tYemodkyC8aHwllop4UD8ZpjIWRX3txS5jh5YZMDFWi7LS4AjzmczYSaa0j3KUgQJ37V
McnyQTVhZigNDW70rJH/o7IpVZ5pDrwh7YZAWojkuiVudksSaeewoc4hvrt05+A9jZRT4sOJRgGt
SFYpwTN8gfDs+2Ekz2FKpY2Z2yxbjGGR4SRe8MIjpK3md9JSaG/kOTWsm1H4LfW0wN0fOg5i2lqT
4THRnJBsX1LsojCOJ47g+pLqycPQmTeQyifiGvmDOqd3nUFgpQjLN20xl8uww6ACH7cm9Mzy/jVc
KvhqxTjJTsMvPj500CNdnQuhArFByXgEBIun2ihL4dkT1C6KIoy1MBAWfN1mT5TgcjVvE3u4imNK
sScletcc6y7rjA/VQHJoMn4opt1eI6pw9uFphimBNKAFZfJ10ukMTIZopwKc9Kpl1Zal9l2VCm1D
I0+Or6JVYJRouxCVNwdx4GVDtNdDKBBmRqSQ8sUZSlaSr7W4oilUnQ56qV37WgeEWw8xZhjarkhY
NGk2mo4zjdp+6gVLwk59VwvHs7sGRIZv+viVGzAZzksQFhfSseAzOkuZNcEl+jtuLZ/8jkPj4egr
76Yzb1J13Jd+eQpqIl5EF72yJhGf5YvNxC8/YXVSbhRBO+iU7G0InRG3S/7EWxr13emtnVyu/ry9
rjFML8SU4tSascK90T/TBXttIkqtglCA/lCYWTlRV+pYmy5hxGaJN3qhWTx1sQYRJGgPLb/Btuk2
kHmj7WgSU5BqVazn3Nhn/XQ1VuajaNqT00Z3cUt9WKQ2D1kQ3oRUQ+KE7tBvpLLnoU2hSFjfTJZ/
R/bqeq46PiICSxDkUBA2UTR5ovbPiOy7iQwzVinlra6U0FONMtlOJofULJzUxTiQeYHZYJ2Ciyqo
7z4UpXUVU2a6KWzYKmWX627Wp7gDjOGI5f8dwjGQUQAvdRNdSqrN6MOyLmACi63qUNc0BRVmSiPz
DBG/kKMfNpPTXjm18dQroeryUUdlnjLphp3+SWPRTDd4cdPNpdt21m5emMXWIhfRNIlhGAVJW6Qk
ZRGV/OVK16AzpZM2czhaT+aiQLHD3PeLKJXW2p4xUfd02z6Gi3AlFwlLXcSsoYqvItQticqVoXYF
Ie/tIYTiMqCERZlz1hZpTC4i2VAObKYX4axCQQPCCRUGTc1HW1P19E1Fa6sGtPpokd98RfuAefDQ
LMJclmUP2SLVaWh20yLeRah4BWqeCS7J7LlXh41xsIxRXutLCxQNyOoEBaN61QcQ0ppZ8SkHvbKo
oVIZ2/WcMF3182uta8+V7eg7R12qGhzrPHd9jn0kxPtfk72UBndg2NdvMMSavWpBx81bwlmlmkJc
oKINuTvmWat/BR5w22Y0tQ70M27oGh+8umOFHJdlDlJOPfXEEdZsdT/6eXI8kBeXcaz1Xk/12i5J
chAmigG1qaucVaYysRGxfGO1nrmiwVCi+oN5ikYzoqy4GpE8tNDTtepmyLnATDYhFEFLaBLlI7+n
CGqePnmRGU/eFIflJfCW/ZTBP83pXcoUI1trFoHOkRoNt6zjN4kpl7huPK/N3N8Ehj7tZF5X+6I0
NgmJFS+0ZLqxbQY/nofI/3H1tbZNam4V4nH+tuDKfh0q9DCbReRAahsAjLSZsxmVHJgPBMxrmWvl
xqrEnpLfI65DYjZZbG+ZkyE7EvfGZDLRdNd17wlAw01YtvpBI//vmgQM1skY5Lswz+f7GfuKZwyT
sjEXzpLC5X4V0KW7Mtt+TznsYqSxZ4x+9JOmzsF35gtahTLPFsw3fjJfU+rpkce+tRVLHueGSS/s
iO9w/z+XXXiXawgPwKTSTalzD+tCpXZjvX2TFZ5Qqv7s7WgjYE0C0yYgP0TZNDy3EXqbP6teUkT9
tiznC731j6AgvaRiTYiRcK3HlQrvgHGbMoGTY8ZvNokrBG4WEpazMHIVE46mCXfPntZY61g7z7Cb
VBXrRZe8FIlyTuvoNoH76KpsWddxLSRFG+VHOlufQaYamxY3tldHFJl1hHvp71OfS0qtV30XnXyn
Iw2EJ8gbqhpoiZ9c5DbthfEYBw8VnikCBM9wkxld+OjSmf1JGvrZ1JWVGban8psaQoOFb2rOmrrm
hJLl9AHgGFpfhNah0c01q6XqKWl0KTBukndPLlJMp67BmWoqPQ8wIegDaQg/+kebhr8tnq4DQWMH
vwjwCzN/zKb6NC5GLDnh+Klpk+YXeqgacWGm2btS2p/DyPgo2aBQAQ9lJf5A/Ns0XdFuG+qlqcrq
VkOhPKixSvf8RRYzq3QW4ZjkxeniVzpp3bLHPBDX1p48+/KusXGCyfowNxg3KLcmRM6kHrP6GWfe
z5GvMRZrxocOQ2yFDHobxQF/mAc4nVjHqE6hwdE3RezMjrbc3L5yA9tHI7R9bjpoVvIwm0XmdmV0
JSs4Ws7wKHT+8nIs8AHHFwlbq62etW/UjTwG2GjckqCKCsBsucQInQPPyYOtGeKmmWz9hLJ0Xw+U
8eF5iVylrM5l5ByB7qOiEiLrFFhUWH3oMDMwjBUjcynFmFJQ5MZ0gSkty4INSX52PzMCHxm/26yv
+KfZeb8OFwCXnUb4bPXl9lBjBgkPwxR/hsKMNsFgX020/xTztsGdodnbeso9MR5tJbkLUwrnMLJm
LjL4No57CFJYYwD4v+r2sJFD8GrL6GholBEqvkrpZ1m9wARd2qcHepJLta8v+PjcBRNrNea3B6Dl
ZJvwCjf1mvqtIN1p4AN6Wtx8Wy+vc1kvqKo8kqSLMC8qj2FfFKoLirWpD2h+w1JfOfR2vynSXpmu
J347OQAUxTN81KNgtobIA390KAa2AGNCEzwz53Z2Agb6Ai8YjHAvT3D0REbhGVnSeZhFngjozuvc
7ivm/0BQ5Bzf63V+OwCe2qDmfFZx/Yi1xyTNK/iXRu2GjtR9aBkvNCWcaeEzV6FVJm4YtRkGPj4h
SWLgmB56fCMsRjhOMMgkKgdbw5HG72/53XE375wJ23J4rGoB66o0vLG1Tn0LTayzjov7fWkTfRHO
5DWOcRTzxO2mKF85W4BGpAtt0L5vosg4tGC5wJ7n2znGsjT1VB723ZlAJ7UP4bwdGSVW3GsGT/r5
e02npU6vgQs7Yd5UjTzSanajJf06b8lemlkx7HjuwsVGJp1MDjuQBPip+ETHGi8I29ZNDHpaGoFs
S3ko5L54W2rcdh2RfE0qKovCq6TElW5iqhlx0NeAChy7P9HBScMpHMXMjN/BXyCZCBKsU3QqAvVk
OtMmzfuToV1JVnXKXHl1rQSHXi0ekyHYt2H03FrtfekUyISzuqbweZTWLaqoy733NFXa16ikwqFR
eDJmwX6erHkfd+lXvsH7cBntLe6C67At8X1nylcjK/rHbO6DVVHFFyNl6B4wqAKf9Xw59FSJVlI8
lb2Kbplck495SUqbVGzT8k5wnlOzoPY5fMwGdqD/DPTfBnqB9PbXA/2uy2BYvLd/VlmWr/sx0mPX
WUZ2gDVoLQhijNR/jPTGF9ZWwmSYJcBCTOSPkZ4Y1gIOh3OvI1ZiO0Yb+WHXIQCuLj7kfy8C/l92
HU0HU2oL+mk0JKDfBvq2g0NgFeZw7tRDQBZluima7U8/lP+g8X73/Pyq8qrg7AxHEqLFQ71k1H5W
X0Fk6XGcNOVZH3DGNDg2G7TwUNdy/RyquPwW58aYXM9FJO1TGIbWUx1YWnJtqyY4UjUbNYIKpduM
xb4KaS/3cTHq0XqOBDfgWXenKT37pgKdTdlPjQNgobhtVWwBUyjWc2XdjFGzo2AFv2k2bvKoFZ5p
VAdazq8UO3lNp+RFAYHSleUeFMQTYgLnVxReBW2ztrV0b4VkwsRYf3KY00YfDV5aGdY2qozOVVDl
Vy0dj1XPQ7Wz4nuw0JXeuPzzngKp7mmlx3QoykM15h+E0EI2zwYqRPbhl6Q+7awEc66OgFuaekPf
zREo1eDRdcX2EeYWe1/1dWzyg44PnGkuv+tFcPA17b4eaRrTovYxyfBUhtPw1kjjMBl1vqni8jIP
x8FzKguTYOSbrl/Ut3UEDMUyAIEHk36ZBehibaNfp4MTuHPfPSmxTnzEGtemZgFM0dpP+MaMG5FW
ELgv8HQZF9ZQG6xcqwj6axXvpAobh8sytQ5xB9Cx1Fhh91TFGuX8KKgL1Pl1ropOuTEH+ImZlt4N
mYOJ3U6elaoGYUmdhEPG6ZS2g3DRXA6NAv1RFfR8CTs4Bu0bhaMbhxBTlA2aa4wVV5I0f/Rn8EJ+
ZTNhBeJQ213ttb21nS3zrYzYtA9TDXLAeLObLPTsOPq0M86LgDoFr2qdOwS1T4OqUZXq44iOTuac
eBdqkNAFEaQiyM691ryKOFbd2mAPgolrn0YJI3DfbiJ7UeN0vBlG0w5rQ1EdXNLdmS3yfR90sFjS
dh/qYb0sa26Dsa28wgo6N/fRCgyQGX1AL2zB78+x41uNwkD279wBnP4xoXEXE4j8jAHJmiJZcsG4
SfSRIgvFD5PLPEtrN4ij0uW5ch9M1W1umPRuJPpVkFqWFxbhwJt1/NrHKe+eoSLQPfDzsCwMz9LH
WQQRpY/zDwMK1Kav1fskSDmYiRqPylJ+FGBBt5TPVrGfQfmwQE5oVtUFa7jRR9kAYyMLbd3qU7Iv
v3lSQN9VPohJdjSY26o7MxjmFRQV3uVOmtwnqu7szXmMz1If7qpK2ylz+UGgck/vSUpav3wXbcUe
hqmMfTzjYzK0gOGi+NEwWjgqPoXA8oFuvXE7QbA9ZgUXNEW5qbvYyRj10wpYS1YTjQcToFi0mdcO
pv8mNc0VM4wb0BQ5Fvql0ZiZazEzKtBySj6bSyj91BTWU2ibHzSAVyseaxVrILHJ0hIUFohf23hR
xu5iaCMS/91zQFxjeebc1LlYk5O/KYS+H4RyA9XGk0rwoCXyubFNVpnqhTMQSLXs8wTZcW7aDfhe
F+r3O7eTlEtY7CVNm6yBtbgJ+XWrqQGmM9bWZX+yrGJdV3CUSWF7rAUH1qLcS2NbYTmhXE1t/ZBB
E1z7WvNBz81Gq8ZHpfkwO96JvbQ2ugElyvVzStRXjj9QxRh3k6Ks1X6yHqygH7dVVWtuHIArMO2y
LU+Jrj9lhUEUfgaI3ucBcbWY59YqKYxygkg569t2KmrXhqiJapw9JFWzqdvhaRjSBwrAnlFN9Wu1
M+czB161qdPqpdLEPqz199G3rxaGpZM6wcIJQnNnyPWiqrcx8afRJpsz587I7OkyyMLbKAheWa8p
7pB06UXNzWhdZi1WJEp6XKMNn3ON3+IQ3kVRAd5aVw5d3zx11EUyVxNS8Bd7GYXBNIxGnD2uQ3mx
1ymp9BpixlcKBJE7GbOjmCZnWAc1IHk+5c2j7zSdZ7RWtuPTbHtV2nqG7PtdL9oB8CxUNp18ynbI
1dDt09LBvsiKipnT3A0kHRdz9Jno4U1jgCGVYkuaAAu+4tNiwNJ0luIOQfmpFuNtYNZyj/XzCSop
NItg9k///djl8vCbtUrFcUdOX9r49MG//HroSkjdmGqr7lzQfyjFVWzfSb5rqLGr+H9Zkn51aiyO
H0QHKUCPL9FxzBq/vlYDIrPVhmY42/7aTx6qaRMq/8NV9L9eYvn/Pzm4hrRK06FLh3PJB5M6jVXY
fzXK2//+M/uPL+I4+MS4sRFZ/+1FmpCkKC1Rw1mv76riSHRD6ff//SX+/GvhR/XTSyyOuJ/+HS0r
i0AY43A27Nus2sxZu+YWklsv8fQ/Xmmxx/x66/r1lZbv5KdXIvxhZhIgx7kiEyRydrPaoaO5t1/3
2WHO5u9DwN+w2AkSJiBwADfqDhLWry/XBvE4160YQFI9CRjdlrwLwospe/r28/vH0oXt/r/MGpcf
9dvH+58njeWr/pg0mAxMTFvMEzYfR+vnSUN80TB5GUz6lpA/Txr6n7sKfkwauvzCkKHDgtBpvcQj
+rfEQ9idv7whFz8X4cnFH2YBrFhwFb++Q3RFGzjnk+QK40FbH9BDEP6jPjOUR7tIrGGdfduodFVc
XQuwS51GzXqd7cb9XvVhX7LK5Sq0ilnNhMuOpmRZwwOpvlDHtAiffN6BFHFRJoxSrrlZ419NCRtw
MwaFWWomtTgIh8hRV6NCKM6xtBewauwG6+SiVOdzLnFVW379wNJ4y2N63nT2+DCrwzvmrxusnPwF
+lzugtHcYJ4pdrQRXfO2/+yLWoOtneHrEOxFy6FN8OZnZ8XQETvUqV0M4Fd24V8TO1h2i/iPAgnV
cKztXS9LDf4OwWepPRvk9dkfkp8GrJJCAK36tWMa8a4kELZ2auJYZuHLdVaFTx0lM6zxUX6ChGKU
uVRh9oT5UuimKziNZBvuwsYPwAGX2DlWGvW7tHAr6Y74OcZegzxeI0R6oVZ5cGO11vgo+5rdgsWj
oRkj8yqyNc0NRCROZL2ZXgztHOYFIm/DHUlWVrvlitZswiLDndJnvLQW2xyhVbuDYjB7NC1jQu8F
VSdcXptDLGrwQV2rX9hljUqWORPeqAbOZXQwLEVSHZU0SrLR0O24pSTiVVQ6xX4YtK0qji9DfBNE
lGKvJQUYUk28HJsb1cyuSdDC1/vGG9Tr5CMtuseqSY6FqgYe2sM2bannA4ZyWTvKZaMwzYRZ5Jmw
wMcQe5xWP2tKcowHYnaVRrkEOtIaDebNYL2pBdYpz8aupWHbSs5oGhFoHJBL1E2bYTxfEl2mDTMZ
4JjE0tUNKp+Ifu27jPUuF+acHaJmr7M5eJtHHPg+CFDuxYtLKAOBYjo5GnRtviF417B+AFVTXtd4
ejiuO9EuOfZ75ocRJEpuelEPo4tuIn1FafqplQPCgmoWO2rcCUPYwXqM+JMxf28onLWFP4hKu6Uk
x3QSF8oxxO0w6j11VE+WOahEYFB0pjLBhKK2FxKLtNuaqbaO0kZZqZn2VY4CZOVU3DIVRvimBoc7
WGNBYQxRJJficuZ+gEXWR+YH7/jKUpxdqYsFjKusEp87M6fTnFCtUDuLtdeUrQtR46IrBmdj89ZX
hcGFUKXl1PNNPDJE14qZOHEMoe2QN21x98/58X1XRQDqr3dV+6z8qKOX9M8niODrfpwggoXUkgPA
FMaET3zr37sqIb/w8BIWl8lvnEC+6of9hAWXrhNopWmOux+Mkz92Vbr2RWIHtomcsWVCnPpbJwh2
lt9OEBzlBsAWtFhi/dyifrtnWmFV56NSTZejXoIoE4lKfqq0CGh9qvOcm4zqFI8xHerI1/OukEky
5KxbYm7A0qDJQ2OpbOM529WityaYvNpbAH/CLRz/hTTYLU/S7MypAUBolpSNmCJgX6I2l4WUn7Dz
mdgyUCAih9uLVkhotIH5xufQ4gEozOPMYnev5GnLughRdXJHicUkjoP6xPMZfR+tBKE/ucDHlXtN
OUyb2mQbwrGIp5WklUuwC+sCNpuT0U+HxIyOdtESa42o9kkUhxU0DkKb3YyEPEy332Z0LKTYljGu
YkfgioSIfTUyUVV2R/DHUJ5Tbv+lHPODFXZ3QoYqwzKCAsJF6QbOpJzqWL6BU8ItW1hiCwzlc47j
r6gTeAiNXmT7wbf8Y2nE0z2inI+KHl4GjV7suzD+aINZe2ZtgmEBC82ml2nlWU2K+XFaQCy0MDsX
mCnFWg6qcuCEU49mRJY8IvRFlruTx9qyrm3oc7ds0vZDON0pJY+swsiNrWoX15ZEXSWoBnqRdl3W
G2wB5wShyFAHiNFTohxF2OGVnerQfO7LAGeIqicXrU+7wBYqMHUUq7muZX0V8rvrAVZHl5Ng58Oz
Rvg4G2L+Jse1HaW9Km2nwh7DYUkrQjtpd4rWpdEervR8qPvcuYowXVY0AdkoOHSY6f6Vg5iDmJI4
n71wkqOGr0UE2XwLl0aM3j9Pr29PL5PL4l8/vZ6715c/P7mWr/nx5NIEW/FvqVNrGUQXNvwfW3bx
he4sdkwWtNLv1+IfTy7IIroDIw2iB3/EWrbfP4xz9uK2I77C/1psc8Qc/saWnaX9b08uXgP6vDQM
cramFOK3sS9teTCNxahetTEKnpObW5no8MuUblmFipJm36HYdcT7UFj9ZlMUkWA3axyW1cRqyFlN
Rdzuj3U9g1uyE7S5QW570gGpPZaX9awgLKsGVqY3snko/RmqmOx8b5bD3vFtoJmI42UUbLvGT1dI
cmzCBuN+yOudEYX5XRWwngzK8k2yQyu68h6Rr3SNjIimDKq3dEJwLRocadUw7FCPQZWyv8yvVd3e
itgwzoouL3w5OOt2IL2XDYrvKYK8bZpSrOG3L1YXvPkZSqw25Sr757La2znru6pQbsCZpmenrSFR
ytBZpTpsD39il+lH1PwEVHYCy5hoDwP9XDv6exNJaiiqk92Sey3D5CnS9Lu2cIinxtoHOd1xDYnk
ng/sOqITuZNKSDZX7PzKeVfxq63iEFqBM17nanzZcPHO8uAinp07EaP5mjPO3lpT70qLwpKZX0KL
HcRNgYq7Wmu+TF1DvMRqnsBpJysIKWJVmfhwDfVsp4bwQjzrkbOoqdlgD4dpIgw85eUnuKyDKvOT
PUcXPRj1vR43N53EBz+aCMCMOpjLeKzHmBxXVpl61kxMuFKUDhXS0eBjO23aJGBt6wwcOOx6Z6HY
pzlQUhpd9lykHZ7LJH+rHv/LAnBXugRTWGSCECCxWU3aZ1qYE7aNb9z8WHNOFJlAsc3RNv0EfGZr
UmWVp2QgAvo3Q26orgqOf1i4/LQ2wK2ais9sYfY3ojh0tXZC4s1Zhc9w/SMD98vC+hemso3BTLo9
NQCSOgBQ8Z1bd45baSGUpqUTtAn44aZkV9HX5weLYgEyJ6/gZYhD6sbByJVrsVQQhNO6o5Kgq9jK
5xSiumpb63tOGdrus8PYmmuDQoNJJFeGThkmC0a5Uik9UCk/MDNgwu3ShxBSjMAd0+Tb1o5+SWeC
Ynfdqqo4WzpVvckoViBlva2S+CZiDY0f9HlQ61dKxgvOVNF4E+UMdo0GX8sB3x/FDabND9c0lAP0
CGMrl3YHJHJwwYF1VCvxhj0HlyhVEKWuwcAS5aZssJoWLUrxNPb7BMeO2+cqLN7hNeRnjahF1DyX
xBcKrXyCWXXpECmQNqb0UKdpT/PfWnXYAPdHb06HyiVAXNCS3V1wDFbuxLbdzSfzvR3My6GiajOz
42Pls+eNyox2a23pI2i+2nF1kWX5vUjmB6E013x/nJAGl/nBuQTSC0dY67xg7tGPRHJpV0yl3aze
NI7+dWqdEgRiyDA8KuOBwjBlT09R7eV9dOyT6tYAgxiWyY0tcxMvCSvdlaFjXvMt/paZI3qX4WGt
fSr/Yp2KmSwD3KHiuQFLKd0K8z/oNytxEbupmrMxfjKBXcUFVeVsSlOo7KgaYwC3X1PVlW+qb/Ys
4n+Cg+L7lID2+tfn7MVHnf/5nBV8zY9zFk6XFJJUJxUo1rc2lX+fs+oXuA+CC/r305T1049z1vzC
ygeJWajfFlM/n7PGF0Jp5PyYvqX4Bin9G+esxXf2086TFZPDths8Otdfsr6Izr+umCxRBqqglO5k
8XxeJaR7yBOFGo/SynC2Vm+/sBEZNtVSfSGmOebDmzV2hyHSirT4OdIwTl6FftFVeyNqSshQXcyY
TNqos84lwt1wzofyVALyucPpRGAj1GeLyMjccIUN4696as7XUz4F21L1NaCkvGf9iXE3jTzNmCmS
IFwYeJVJK8fe8JWM8JBorbR5zkJyOXRIk0zBNKV3somajZaPkThkGfXSt8HMVRfN2Y8R30j8bx09
UL3Iwp019q30KK+Ot3weKwq1fLHtEynWw1jNW6r/6gdAgR0UKGeS81pvuonWQc2Zx3XaYdtihlpA
rLlRKrhMy1ledlMTFl6pFfI2knIZ2K0SG1c+QZvhwG1vEz0lIiepHL0aYZ5p28riv6eA7uF5MBwI
lcSHYo62sLD2WMp1df3PVfj7VZg37V9/RO8+wpfsP12G+aofH1IuwzoYF+reF9Y/KsBPl2Gd+K4k
pYul9V8T/r8+pIYKLVjj80mM7rtT5d+XYYfPL2l2btga99i/eRk2xa8aCJ9SapNMsbyWA77+26L6
Z2WCIJmupnwbV70TJg3HgA5wHyvo0nDSUXUiWgoBsGzCrqeYZFz6UIqlGUVQkdKaiXRLXRebIJ7u
bKWotl1MCjEXxKsoj1zHlK0E32pXIPJSwSIl5gNPp5ilYQF2A/Z62Mpa+sfQmOQ+HlFtK013S6uv
L4ETdlTVaeFmtMRr6zefKvvKXTnkp/pbOYwssNJGFMZMFMdYS4NMtXTJBAmtMmpKJWhtSwb5pXMm
oLFsNTlohBnflT0mmzjolJ1YumriDPQWNMB3kWsjYd3ep+Ivj/ud5PG0CpbGm1aHNEeARVz5Gnek
cWnGaZeOHEtg+Sx5+TlK81VtUdIyOawOZ1DGq1q3K+TQ4TK1fM7M8ICbddfWAGDgC9IaoFcXMvAB
BbQ9kU8/vilM7H+yYEJneKglfmfo4XQFAk7BuYrvEQKLW4fSX6u2cl/Oza1T17syVO29ibW4HhIw
KdJ51CvrraiLU8VDeQX54sBa6Gy2/l3Q434ZuB/0DMh1aezVzrkEI954WqOAa8nx0ZRp8RQP6UHm
0fMYtw0XGeVzDGwsFq2zidL+q5k7H2VuVXvsFLTy5q0Ns4MfCzcvlj2wPo5RxA4GwTf6CrP9bE/x
Q6LiYRkytq1pzkCg2Ci9GVwXbvQNq25A5XJ0CyonCALCw5uCKKRRsnooaPXdZCosm9GWgdeo412x
9AKlGinKqKfYPp9FvySR4LYb3bls2Jyo1hCvmc1YGbdPPW22mGuMja+L99JPsJPTZHzIiT77iq1v
gtzqN3LUffooGuLSvF23XELZ4PpGRvRCVNhRDX2vdI6zDeyMuKdd8EEo7M8JKrCRNK96iQUXXd9a
ixgSPqfFJ/hW5G11GexsFkllnqSbaAbxFvoE5muHy3fEZ8QfQfP3BYFRH2ainpI6oTx5G/TSgQQ2
Xum9v9PMnGErv5KJvVeUaNNpXNM8f7h0+Dsbo70tqZ1xJRmqJJOPlkOQPMcrPugY/kkzbxMBWwZf
TZO3T1bKwgl9mDtzXDrrhjJE1m2ts2rjfFMk5aWmdduGfs8m6PZJFRzbrMx2QmvcSJvOWtrvjA5B
AB4b7/ZxvMpSbT7YavocNtHJlCWCijpY+7iyjpqTnaK23KZQFJkqcEQWSUIaR7YRlnuB0wA1Y9/F
0VHrIkp7y+dUMFiTV8PTLfx7wzIfu7q50hhwttgrHSLUgkxBCCe4zukJCgMLj3HHVonCs5UjwQwo
U3YzSP9xZqhHaekaxi19Nbd8XZDB8gza1ANfs/fn+qPKdWOtzUuPASAklUU3ri3Khhx+rG7ffkt1
XbfDUicWddNScmR4SV/LXVKpn0C3LowoOkaLn2pM8RaneeWpWfQ8S/3Ox8/u1mQ53KplekxicQMc
9VlQ/rECWXqtKTiAxGx/SqfbtjNSUJUj1lMLdl2H3dbPtbs+bC7VXmHhWdoHKptp+7ay6xR6EJF6
5RAO6X1ktqwU2/EgJwLkQUo2d0RBI/xFn1Y+JHibMN/MKm6XnCSOSWszTaLpJ+6Gu6oM9NUkMLRR
PYEfJ4zf69K8CgqBemIPs2dYyE05WImLgYl/19rkNQZSInPFjQp201rp25ISpeB2xPvXacrOgVbq
OFm/Mcr6gJuSPKugk4Whbtrqg2T3IAtzQw3xU1arZFLUlwphaztqYefaQ0/sLrsHo3ycrSUKqwFq
7o1NHQcUKtkXUVnv4sanRY83kTvMdECizmwnS7zNorw0A57Zo6OvJcUMlag/2ji6bMfqZR6DtRXx
6WymzoVs8VzgUPMTHHHjsLgj1J3V8jQN2o3R8yYAr8STu8T7lNqemeToJ5N1V3bRJQMZ3EQelJEu
i3WfWjs+3GhpMwEHnRF0bBzC1DN0AWN4SHnf4pzHm4Q/D2+KxgbBqa9rs+/Bas/FVp2CF87Oel1E
IcDncCrW6Ph0r9uKjR/K1LZ1Uz9FibjF+YL0ODv3wmqf4yT0SZfb46ppeWukVil4gsDO0OxXHVzg
tnbqDd/fax1XWPrt4r3xZya1GLN1zt34lCd46310NM68ywEww2pYsqAOlWJtXwMMV4q1k3Xv2MUw
/VnVOxomYUancX3FT9y294lzSHZewRTCuXB6DzXMoNSmY2RteYJRVXEKLZVPWQmVDVw21OdgNxE5
Yzn/qmOZW2E8vJ0KQJGREn9lP/5mDpZLqU62peF+yz2C34Hf3wqTCHrVV9ZhVshstJTP8RCnyIar
kRuJeXKlIporZza8YMo+EzUpXDsbroCP0uimBEdVj7L/Y+88tlu30ij9Kv0C8EI+B8MmwShSOVxp
giXpSsj5ID59f5DL9nXs5bknVeXyoiiRAM4f9v722lPVp9RIAmEx9owXxNhodc6ku3Bf0whBWhVq
3/S6C24aWZx5mpNKcLb7aBfhIdDWWRfJg87Ior4sM7bajGpiPSTFD6XUvNENr47+i9b4X6vLdujv
6+iLuAjbv+h1edEvZTR8HFTWDj2t4eI3XLZNv86U9Z8s9roucid3IWf91uq6P1G4UkEzhpb/C934
ZaRMF7zMn4XJdk2wSvtXnEXBbPoPrS5LN4ziLFjhNsLI+X2rawSWAtQmuPhnzWoesCRnOeaHKWcA
GWkd9WXSmjHZeKkF4N4d650+ZDe6ZpGcaWXEf8ejitdK6AEWDOm25NuUDUt70UMY6ZyWxrQlW4Nc
Sp5lZVbO6U2J6bpCQwGN4mUcTIUq1LqcXI4he3Fqz8uKOKyjt1Jw3ZqLn5udYUSIkrYesXqjg2as
Y1IxDtjAIyP4Vn0Zw0s9wfOWfRnGU6Jo1vniIu/RZeAoj/ip7rrsWH+fbW0iOA/mSWzHAbCQbNgQ
Is9KveirN5PIn5CKHHZ+HqyNqtjyrB8IS072daLtCahXCC6KN91qEioEAPg4lB7iUHs3z1UxnUsb
YgqmfCaIMyrNLLg3anmTl/rGozxK5htDuQ9DT+nImt3Gneid/2tovxpam/7z72/EO/VaxG322v3F
3bi88pe7Ef7B0s2iG/p1V/Pr3YhbYlnsoHZkI8v9+NvtKH+CbOoQRKdTPSy36m9NrfiJOTKdLqxU
HOWm++8I8V/og9/kdjS1UqelXm5+9kW6vVAdfmxqNXSnaYMQ6aqjpJvPiVk5yaVhk3m+USrPrgVP
cLXOM+fS4TTkMY/jDplJg96kN+Az5UZ+qs3mOZvKY9YWt2BMfbVIVawkOEu0Kzj2mO6iZgktPKt4
Ok+RPjwBQ/7wYrIaS+TqwHbcEvf6vDVySoGI07ZDMs7kqSMTRCVnhZZmdKUNv7IvjDcTodDYk0S+
HcJeGhiM8ZweUTCrkBpeQ6NDKimFT/4VhB18hWK7fXUQS052Lbyj+xWdbX3FaAdfkdreV/pTswRB
JUskVPeVDtX/nBRFZpRol/SozKMF3BCvo/leK5sEPLngfKubUK83BKuBAcqG8a1zifIZ0PoLsHpr
FQ072XvNropdaIFl4IuhZg4ss2FrdeUZMku9NluqgyqKN/WMHz6iQCuD/sHUg0etmQ9KaLc9uugC
3JSNd7DX1GkcnCuvd6eVrNwlh+4WsOgrZclF1gmNTrk7w04tQDFVexnh9m0847bvtINrmJsiYAkV
Vp8muJxcG/ZGrI6Dm+/DoD6x+b7MzfGSLJA3fWpveUDvzcR9SKlhIkfsAyO8cqO+XdVZdZdVsFuK
JfJe3w1Oe9so6VvjABXABqbPRsOTr55sj3CwqF1zIloS77OAImRn5AMO3WYo5Q7LBVyu9hzE7bVH
AApuN18gY64oQgoRXc5lfgUDioh36rLWJj/FfJqH8oxDc0VDw2LKXlfJsPWi6DIJyksgDBcwqLek
eh8TB9Ocq7+YTrKVsTpXlnoLS0n+HmLwUHj3dgO/Jzd2dNUnoG1q1Xn6ZYdNfKqTy8Y1b+ppWNN5
PDiRdciS5RuGCl+l+aE10DPADvOC+sOzW1Yi2ZNIogdoabcq0rZB5ZxA2G3BSlzqSZ+hoCNW0R7f
en4J3KmGT0QyQXa0hYIkQcBVoTC2WjxeDGN0KFumH3JqPhph3gIIum2mFM5O2Ds3wmmw8g/RpRvY
54mMl6sm05MD2abwCvC8LOJ3XOErZ6yvIM2eBoNLqvPsQ9a3GvruofKr1vs+heOlPmIMya0TFoab
sWYaO1Y4KbJM+FZdvyCH4vKzXGrUYDfW/bTVrACkd3YevDHayry7T2kOLG3hqtuYjkzARihI4Jxb
OcWnFjXjYhwGtBEZ58C2b23Q5WuM9KisRr7xPvGuk0rbtSAaKjyBTGhSba21ItnWo3FWSbdLg3Dt
eCUsYUIpuDr4tkwIQl7XXoOGn9aF3RKnRYxmNLUXWR5f2UF6smptR7OBMhOKvImmY6jz94qdztac
NX+RfPtJMPFhKffGyeShBIbFIBrOarGIEoN5VMj7u3Wpm97ajIjZwbdyQswClU9pFAPlNyVYJk4m
HGEtny/Z/Z2xGH93rZpwQ2nug6pgEANnZcV87BYX/6Py3KPmhHupddk2Y7FKNuFwdjy8YL3NEyDX
UIh7VdH5Zh1gx46reov34VTWxrDCNnaVpvVD7+IniqLxPnQdrnemXQUB1/iWroKMjyaqAWlSKDx4
6BrXXsxSmup8OBENkV1EAKfX/539X2e/xYH7D2f/63vzmn8U6i9Ilcsrfz37UXfgYxAc4gLoEGDJ
3ypx4yeJqBi+0c//5ndnv7AYF0iTPha65I8RX5QFhsRyiVKasei/HGiTNvPHWpxyHxEJamHdXgbv
fzj78YEV7VyOtIIZJAm7i6ut1UfJZrFE5WJUW2SteIphw/TPQ5JfVC2RUS7itRU+ungdsDbxYRUZ
t+GSMSWdfJVPhVi7eqxd6Gp+dZZIKo9sqsGt241IGA1XWXBndZp7LnpSNqYev00F3ucSccwmCaNH
DsvNgDl9G3vySK78kefzZzpOj0OUgypJr+qsIafV3HNxL9EXHLTE11d+kiF5mycr80edZ3HodRGX
vvuRCMQirvaS9trH0EdovJaJE7N5oEtl/p2RC+NqXYMK3XdgasiLHhbtHeXD2xRRWi+qGDrpnlzM
jnFcN5WPUV7emC679hL1gZjwUtad6nHj7LoQBvTBrazbunXPpJl9zMxYp+LaNaoBZkB6SXTpFkfZ
U14jhWUtHhXOfe/Q6+vJ5xTalR9n5o1seHhLNtfMqtqHUlPmauqYIXVZlG1HxXSu9iCKNi4MAqgv
Pr5LDkWpM29FFrHRC7qouWQXkdP9r9uAnB5NuS0GoXCfwqXmyLd2yJOTWwfWtz+alHHJROFlxODE
nVKzzli44pUoBwx+qHwYLDQYbMdsZWulvuvG9uDoYLUbS8Vbm4jEfYc9LH0swgV+Zy4cPFJOQOJl
X3i8jJjP0XLJRKWz2RRA9HCT7kegepFaGO55q8RZBar1Xhpnjr8TIgIB3zMyj47JCLZOixJQ6MQM
tzOxOiFKnG1lUwDksxk/yEE+NoBM0Q15L2k85munhxox2Inpa1UHhmKS914BpzN3dhXo5l0GpgQl
pfGgdYHhd1BjNmMwF8iSUJSz+a+xtJnFVbsQNpD/Et7Wn0cmT/dcAYDcbVEuo8PxuphQOchuqDBl
9m8tcJELkZqM2JPoozKiEZbEpJNra1xqqOjVSifTMdccA1K86vZNFzR7s3Gzu9qts6u+FMV9ak7K
r8B9EvRe3ZdS+Uq5AEy7WYHUcvaji02gA7YJW6UrV6qcrgblBWs6afgHTH43TmwOFwp163aKA/eo
Jmz1QbWuo+ERTyTeS5xo0J+ICQttb1qZo60xKveGlzQZBtgWdeDHUhU70ofS99RyCLXuBjL1anlM
h2jcE4kmN41ahknNTAYL2LXmZrAM9lKhJc+yny5bjByAE4iDE0swHIi1ZjsuYXFqiY3TJAFyLRLY
FXKn+b/l6s9DIZMxyt+fR9fZ6/tH8+ep0PKqX8+ixX/PgeOyw0RU+IezCKmgTdoqXerPmZK/KCA8
5kVMizBI4deADc4J9stYSBI3aTA6XkjsfKPIp/+FAoLT689nkWMY0lxMNqyACXD9XR/aT0NvK1sM
V2rsU7yS6VPZT7diwXDivbzKjTp5B3NS4DG27i3Fxq9nSHonxfAJymtLE20zkQbxGcqaRyDQz1yE
2SZugrcmBAg6ZgjR+q64tb0shA5WBruBIa1cQKJRJd46K75z+/kpWlCj5gIdNSt7PZZRvmf0CiAO
UXG+IEotWKXkDN7xXv6gDHanhNT45gI2TWSXrANkCAxCH+wFflqk4feklWdA+De6PV5FYbtHrEx9
DjfVjHR9a8MxxtnYX48m1lnC5tyVWICrOZoo0ozAhbLtqrvkQG49dSzgDWNBtXqKZ0+64Fs7bBUb
K2VjvKBdywXyGlT2feNxZCEQ6Sxr0wG9WdULEDbOpwOyI3utFlgsaUyPjvc9pyVtTECgAGU56b51
OrC/KqE5J+miX3UTc2K350B1xumj18EwG2IrLMyMnh49hgbZRp5kBiwBWduAbEOAtokproZYXIoF
dFs2jyXg266bLrBHIPaY/SUSA0DRoQvSG3Mh5oaOeyv5hIKY3YlWNtshyy4bILturL+l40z+MzL+
FefOjAdqeMhB8yYges0KVq/q2VpWndGC4RcXBp5Rwr9Jp5j1xxg7OULUhI4weKiAAFfAgMOFCtyC
B4YE/TKCC66s7jSCD6ZI3+rghDkc34kFc1bOQhpuqpATdaEPm239KcAR6wuXGG3Oma/pNAAsrkki
D+xPo3KwNvPnDFCNKwHe2LTju5LZn5vAjdZDjP4JjJumKF+swn3m7KOFmcZXloVcXwZYLTaw+IhU
STeafac7fPIaiybNLHdAJo+dO+EPUN+hnoGciqx7By9SGMccEkF9behkmBppP/rCY4LZaFPiaxGo
58mSS4xd+pgoPqS5YIDiRK1D+2zeAuzeeOwuyf1DCtMuIGnERuGl2UHWbp9RLFrcc885MTPl4gGL
QmqDWdlkc8GnnobGOwQpdU4p2nGHjYh9cDfYpKEaCZFyUK5jcNdOwkFFJ1orvFRRkEwblQP5eugh
n6UrpwdwhSs5SO07WAMAKbTQeoztZAHodnfA1jHmY+kfQQb43tD7mUwSXxTejri6FsGulL4amuwY
czpv8h7ZfjVYz2XvJBuo/tUqi7iki0G5q2gE0IgXcU2yuR9Kb7yT1Qi8M4quxmj+bmIBjetQ+gxe
t/rQ+V2aw+KAp7kpXBn5RK/BuxKXo80iqIrXsy6fYqcg5RV2l5LR1lXqEEsYGABEs7G8zuJuSwus
1rPWXpRVWxFvro52VISXWTo+pDZKpckydrVnX7ZJcz3W3YOXeuDZ7WIdBsNb69qPZYnHXRc41QJk
/5mF/LieZ+BQ8aODuhhdfx6tkYUTstODM4KVuU6j7KQPUE0tw1yPccLyVjnPlQZ40qy1TWOln9Nc
P1SJeKzq+Jw19htzFxhpubhyFSOyrtQp8yNrZdX4FSYVakvuyhvU31tpFie+PEhECZ4nlYqHvO8H
7hDmGs4gWSzK0HdnzaZ89kioTsFIKG6miVtPzPydkXloQ1Z8caRuyUA8dKZx1A1xgWrllDpwItD1
KEZpkOmDPvdYvSKV6QQ+FjuHIhWk6kNDLgewuk62qvOgo1f6ZRF4GgvHDrJpYcDQD17Zcp+idH7Q
JrhcxjhBBqyTu2mRgTfowatFGA5kKPUFWvGBfKSV1qBBKBGZgsq4ICLwHSmCouTU8/sRzblWmMQx
QRcMKr4N1CrbCamyL1Gq6yjWRV4FfuB2QCU4HSqFfnmwV22eca21eTc4q0wPtebY6MZEPFIWFhvb
9dot+1qKX/OrEP6vQ//q0JdS5O8rotNr2378lSaUV/1SEbEn87AHu8RSmfbP+OEfJvPW8n9j+f3S
ov3WnX8FzVMp6bTMbNKAF/9WESE30wUqNXhBOgN1zBz/oiJi/v/HisjBEEJBRvaLTX/+VTH9YITv
O2/U2IANVxN7J7GJ0D0h+hZwysIpjgCoBRdqTkNrMyV9nz4anaHpPlLWWB2qOea87N05PbWQIuZN
MpqKxPqhKkoQ/YXlOu8j7i80X3RE80aFTTzB2W3oMJbUeu8rwX5qW9A+9Dwk2wfTPHuMecuByPtI
W2SXtRuaM3PldOAsnEvoACvMEqOxyU2yLje2MHKW7iDnfNWlBkohwpV3TR/azkNmENxACdEckK7i
pkQ+gVwN5dx+tKYu+RwsOSKUk7TAYYgPekN4BgcPOMujFsjsLQ4K1/dIedJwgU79RssaFycb6jSU
eTTTOecbizjnrXdaAhPmHAQIsbVUMDXR3M4UfbqDRu5ZIT+TgnRH4hnzjaj4d6QX8RDoO5hntL8X
UQjRUBp9RFGTo/tXNfPfRmMdJ5DUmIZKgQvjUeBxDx6xW3x3xhTre9nYDCaIpn41ZIaUZy7DY9Vo
2bW9hIuSou7tZFV8pGJ2dlZmhZsq6u1dW6p4o7NpWKWhgLXsdNl1qoPl4XDAKdnjuCa8dYN6kMW8
tD4iEGx79o1cFijKqBxskNEltQolzFvF5HTvzlm3NjyG7FHTfIohCEDIYT4RedK3/tCAqc+UKXZl
mbdHz9ET39Si5MzvTBlXuiVNX7+OuwRnDilgK0cM043nBc5u8Mp80y6neznkYDobW1LzBNDt5oZf
U1rfsiI1Wasm4appbBTviyamJJGKYxMGYAdYZClo6htIQNjhwkHdiBjj9TwZNRSrCUpPW5rZdta9
cdP2JbBde6w2oyE6Hqiw7oOxSPdGhmoEaXG+/++x+fXYdHiU/f1j877LXpuPPzeSy6t+fWyKnxDF
I7KxTLRbztKo/fLY5InqCEuXnOoLd2HJ2PmlkVyYDJjIdJ6b/3s2/tpILvoCnLsoDxiZ4zUz/s1j
05R/tKzxxh77SX4Hw17QHogcflxossKCDJCX3SUFO1KnuHtpJqQAaaq4L/rMn5rsiYCBeE266jlu
5OA7xtCum6K/ztvyAFRWW7WOSU/T1z5Mr4uoS84gDiEZkciODet7r9OhamUvsIoPlAKDeS5nrC2B
7obrvK2uilF/Qnn1Yrb2N6/mHpOkrG2DTCfCg6TDzAZoVA9RtAIVtBIUBKu4Sh4dWbxUU/nQR2Ql
lKqt1oHrPja1OhRj8aQ87SkoJpJYxZVlxec+jU6qjF/aUkIXBsHcWA4tS4hlnz+M1LfY3ZkmXiej
fCZTftrYiTXzY4mFq7Nhj6r0YTKrhgTvYWvbs/LNhKrRHpBappr8XoNh8WXmnloF+axAWiBDZ+Ok
8hZS8fe69a5jukFKSeanekgqZTAMl7Lqv2FTeydR5DmozSvysN9tCpx1lzYgsooBLRiE1rBisBfB
00vCl8xkdFplknxt+lf62/J9MLxzqjEIA2s7rKovJIMNFJlFdLPGyX1SbXqs7eBUhJk/o3fbEkK3
1ZvhGHrePjSd22nuP2kePkTe3Ft4BwNr/kZkce7rgl+SL8nTceoNA5BsUycP2hxr9wZp7Rni+ic7
vpKMO31X6oFOHjfZdrluPtmhc2urKfAJDL+3Q/OzM93+MMXLy52u2+Li+pZr3b6Fm89UzGX72IH3
6lSyc93subQTCBFVd8k2CVh3KjI8QxC7MTpzOqRbHZ/CinDSXa2I3wvTir674ltjBE6EIja9LyZ/
TUSOG7ftLmjJ7w7yGiBOylKdZdbKGeZbkfFkLth81na9hgpPi5+isUb6CJ92bhMfvR36RjFoazlz
EU8t32FuVuFmaOY7zBm8ayG3YdBvA727m6V1hEZvMZFAs93WQeiTgcPwokvfVTl+kyAJV8Kt3nQD
VmhRBlTVCwlEj/duDQWr1KK9Tq/pa4LERF0vd+6k7ww97kiR17w9w37M7L38IJT7JMeyh86bVFgl
1cENp4mhCk7IMB/pNB3QgXCluRoJJGCH2yJTB4QOytmeq/k6B1ZxYQP/9wllJyIvQ1cERZrQAxD+
Tb9pvqIQ+BiIRTCVCDHWx461db+CE8RXiIKtKlxuXpPhfDckqcRI8GL3eqrj6Nqqx/A57iAlZ1xC
Kzuyg8sKVFeiUGtKaPA6i71IoPGMalRDoeeMN3qm0UfXMcPln7VJHKo+0mwUS92Xeqn+UjLJL1VT
O5F0g86p/FnxlFjmt3RAWn3G0sgEOskiwx9d8a6HHSOm1J0Ib4GDvGDt6JmdehPHpgjv9S9Ljhn0
YeCjYmSLXeu5G7zgxyfLWzebXEPlP3bVf3vA/4nx8ID8/XF5Ktv/83+L8CP7+AsR0GIf+eHMZLTK
CUhTwQFp869+PTNxbNsogGyWfjQcC2f1lzPT/okdIPtDDjGSjr+iU34ZvppfzjS6EDRCguC6fyUC
Wk7EHyVAWG04lwXIJMKU2Vb+4cRMpGjlUHjJZZdvZkcQDraz66cfPpjrn3/aPwUfM1bmXQBgUDCA
MZKWw2fw47lcBzH5rTPiIlUmcUbOvV5gBWgmuQ4sM90kVovAfjINkpclzlwywtbZHFz0gKJv9Sq6
yWJCq5woPnFfdL5uaA63KWrazIj1tR5GhwHuUtdH57j39swCT/o83CCmP9dzeTE21hWmuqOepDzw
+kWZqtfeVizVOGGeE7IJ7zuptGzaU8aZicLBnGXdJ4dcQ3qJi9qdzREJfgGvHwWrrYlniXsctBk1
7oAbR2nttEo8k4TbbqbJSlUB1sO0HwMc/jsezBb9PQkvGhyyXaynkbuJurrKNszUmHWXBlA/jLnT
PvRIFDgYFpjoVW/JS3dqp3EnCEVYJFAUDcqqLPk4m7ULztXMdo02u87OKAcAiCQE0qPW687JOatI
/3C0K8KetTM/v/JbQEHpQoUsQUXJ0o59rPbYsxenYSNkvLcyOz12nIbymvdrrRdnCgX6iqnsS7pO
67ZE+zReR/jNidmaPKLoXXGEHBo+A2Gxn3qB+FhmExQJVXT2AT6WQ86sydmECKkP3DUyDu+hLBmQ
udj2NiSq2L5ZjREKYqJWcPNPh950erbGndgoPvMTAQHtaxuFeIVBSE8jrnGvjg+ayVwOqycqHkL4
bsHAHhN9gjZVGt5tSEQhRg1ySuTkRduyyuGbp7bflwaWyvhJ5sjn+ep6TFTxzD4LzWeLNxODwhgf
XbL5NkJN806pzFgXHsyiNupNqFB1u3Otfj/YBcDS0Wxv2KQZNGT5OS6yc9+0xTZv4hu7dA6SupFZ
ULYvY0LtQku/br3hThmifwBjKT9h565aAoLdYXQ/y7jznbz106A27nWt24auIhWvTDeelm9TyVEz
ynDVutX3tlUfRdx8TIhzUIgukrijN+ZbHiAwX+adPernSfa+5ak9ztUT3mWfg/1Nd7pznWvbbDBo
14j26Kb3gsSTsHznrDeovzKLppeVfur0z44bv2Wza2/cFsqSQmxHLvl8MnOClEPz7FadD0XgueLr
axVb90KKTdC7WzLZ9uwPnseg5eTGOUQ1vrIISyEerdAPiWMkvjFFviPENX/jLaUTZ3Y8hz6bGkIP
es68yEaoEgXmjcpYGA61usBpxMVMgklWjywOA1pJmU8XHjeRXgqycRpOVnmSlXXCyfGkzbDLHHHX
meFNUVcnwT/3pnfKu/4m8uJjZlYbMyBnKAxHAqVTNjfRwH69wZUeNvplqqUvZWq8oPI6xm16UWby
yJjyZh4MPyMhAon7GbwZhXQ9XcxCMLqgp5bR9F6nYt95zKibKmbUTPrZPBxlOU+Hei6KI4k93/Mp
EBgZcKtPIbsnZ7RShr8VJR001nnS6u0/P3n/Aj/EWg3CoQTLDayH//79kzeaDLYMbgb+vU5NBqTe
BCcVwz8h6Bm2JWvwRU98Casuhgzzh1HV7U1dp/q9nCXmxHG8pQo+6WPgp5540ke1qyP3E4dEiDAM
KDB5kcR7Tvq2nLmmM1qrMsCfNzC/YYLcm76Qak/GwBu5S90a9tqjCRJp0xuQUQ3cCDiC1kO9bseD
UaVipYICNEeDP6QnG7vctbn4PmX5HYzqI+uii7nNjnVnnkRVnmRrejs1TCDlp3hvjpGzJpd77Qaw
6SM72eHPFH6rt7f21BnrKnKPeuRxX2NBhldtIENrxock7m1cUeAqzMm8smNyzWvXBYIUp+e+mi+j
Njmkg7NzgOki0KgPQcH6qJPUoznrAFI0N05YnbKQqBNRmFdxNiDCzPeca2CrK+xS5QQaJWmu0iS7
hUQarnrkL75baDFOEmYjTXMdozLw83lxi6HfsicbBtEYvyIQvojRM+DCqdaymbeowJaol51R4c6w
jeckn/zcIh3Rs/cDzyGrLb+X3kJy0HsoRtr3wHBnuijQdx0bPRY1xkGrlmeZOsXC/Wbq2VbXmUYT
RvE85aaxTtop3dhReGXNjoEbhrWjXSVyT1pM91jiaLpgN9KcMwY/h3++VP+oR6JEcHH4khZHeJC0
F7D8jyVCMtM+NIzxLgNaJys5NvAn/vkdfu8+4EdagqkqDC4HqheSZ+v372C50LakF7J7cdHpuVdx
F+/j6rYZUPg1sCHceuslm39+T+a1/NTfCqw/v+vyd/8wye2qVOGL1LSzPhV3gMIQDvI/OBW/MQzF
nofDYK2k8+QG1oEVdbruR5VwVwxLZE1crotm/lZq4hQrW1+DBd9m3mC8ycgWfq4nDy5uHj9MWa5m
9rMbpOPRyIDocDUV5aabRbGRlVb7RgW0WBTTdOhGYb2VBenuNqNReof4PeNa3dS6G/k8gSdfSRfG
R+fddXY273gePnRhbx7yEPL9pL4TL7XnULpvm2brYoqlBU72lh5pm0SnQsmGothNc6eva6J//GbA
4ibi8XaBqBTE3oD8Ct2V44GpbvvPuoWO2VbxobHJrx/s+3GGoK2nR0fRVTYpxVocWNk6URil3M45
pHNyYQ6k602B6VsZOA0rSHnK6k89djEYfPlZgl4pmmHTBzNXMMBAFebriFF0mQD2qOZE+k0WnCsS
uUI0zUbpzgw4xjtgBhRwlYbUB1+XZSl9zf5np1Xk4IGIeYUpdG70fLFPrxs1KpQsx94htKN3rL0o
WHtV6IqKCXlTQGZU33SXqI9t4qycA2PQD4mgaB0gGq4dexdW9kkM/wsP/1ug7UKl+MerjY7ix6tt
QD/YI3PVzsmpuA4vtW19UT8Ou/ng7N2T5OhZv5vDyjka5+JluPjna30BVv3Fm2OgwXtkQqZafrkf
LnUgC7JIpa2dK99ZFSdzXW1RPRkX2pPYkqj+cKWtT0/9hqFK/8p/ZJfTSV8d421wiSM6///8Nr9v
bH6+7ywEKqglXdqoP5JbJ33IMUkl0WWkX1dWtor1p6b/eVL8tx/3759Zf36PP+hWoB91WhRlEYfr
R9jsvenmnz/Rv/wbBKn0Ar3nggj7/QfKYGPWCAbm8Naua5hLjUPN+fMT6j848ZK9/vft+/n1+0fz
+udp9/KqXzt3cuN5ICN+MmEQM7f7rXPH2ePYDr07HRsiKIw4v3bu4idBLw2TgqMGt9uPS0IG4S4j
ckROrgWpjTzUf7EkRDP0u/ttse/YSHgB0KDhFTpUit9fHhqL5NZUWDICL6edJf5LtQs4lUQwS2VP
FQlh1ag85qTTcZG+7oo85Oju9jqpYvYSLzZ4Dk9GJuAsZy5GiJKr2UtI4ehZJpJOtjyvERpCvkcq
9UhYOvL42PM2dly9Gx06QiW7S9WFMLP6Z5f8M4McNGcJRIvD6MX1Ml+jeXjkKNf3BdVbmA/BWgQI
Tfm1y21HxloZE7YWGuYziZWFXy9BbK1FJNuguTZ61+CzH9oPCDVEIC0BbhJD/pou665MoxsC7l5n
st60CSO/54b9unTo6FLNOTpLNFxHBNOqIooQ2Gv5JsmPi8iRyx0dh+rAn4j/ON20lXGNYAgRcXgu
SaFLlji6pHF0OmYTdG5yrRcWupA4U+thibHLqC52rs2Qtm+Hd/LU2nVmdPEqjSQbq8hB+qEn92i8
rrEEEmemq5o/KRMnMkTuWpL08ty4aYuh2SYZ1geNtL2I1L1IjRdVGekg7pbxOMl8ocFYOCyx72Df
K8kjccjXilvpE1A7PxDlWuy90umInxAJGDzC/0AMJVtinb+zTZ2OYR+BNCjgCbdLbKA1SG2Dof3k
1iQK2ljVpy4IbqYlbjCqgVZMIaeplyG5CJdYwmIJKCxdbVcu6ROxoIitXyZIO7s2RISSVRHNaSgI
zCLxUCzRhzZ5hHuXNEQV1kRuCAISqYvflReRyLiEJ2ZLjGK2BCqOJCtmJCy6YVOd47Qifysk2oDM
2W0SE8iok8wYB4ba9IXbHk2zvqXxi3xhIm9KlkhH2WEj1VtiHhsTUXfYze9do1sMkTvK8yUWMlkC
IjvwAvs4ITRynuRZ5Lbny9H9aCriuTFFXSILKtaW4lKmpxv9sI8JMQyZSxmae4cZ/KVfwipjeqhV
K0W2Vwih12043GlLuCUelHf2Wii+chypaVhAVGFs7desZAKdeMzazuy9ljvPXmK+0e3sxBKlaY5I
YXONEEZNopojb3OO6rfJs1HNDqIW0Ko990af0FkdjZmZGgW6Q8c6NlO+sgZSR6OnMeSeN1NZMjzp
gI6JcTuhjLwWQ/4MVQNtvozZwLdoGWtnehzpt+mMhgbasgY9YiEjsg8iRq0EZN4NuyHDOxvDwQtw
6axAErgXhBzVq1oieySi7H4ug6vGrU7d6LU+wLzPWNV3phUdClNe9BKUqkJnh2HdpHGOtOisJ1iB
yokdsJ0xDsob+1Yv3R6hfd0vDp8LaTH1oRk8EDNjbpi9PQ9euG8H+4J9+qerxLZNCQkqQa+VABGO
pTa9mkuR97U8qUcFcnnq3WOMGEhCVyNGORFKPRUossvtGFWo4ImiLO/wmrWPtLIDkwmT0DRXb/tm
b4GCfoEY6BxZt2XhdRZmoTyoWrNfgtA1g3PixOkux3bkd17wZDCZ2DijyaURoC0NFsS5XRLpNizY
84HrbuMsKHSuwufO7vYz1F3wgO4+WrDpYhHPDXEIgQOmupznq7EAz02kwYzcLb/O3JAye0Gx5zgF
KXwBWndw2sNG3DSuDi17cFB1t9We4KdsLaC7M+NhntA/1gv2nbt4J+HAo5GPGLvM154dX3TpBM6u
0l+N8f+x9ybdcRvpuu5/OXN4AQEgAAzOJJEtM8lMkqJIcYJFUhL6vsevP0/IpbJEu+Tle6ee7Nqr
XDKUmUAg4nubh3W8LMZzQhLaGA3KrikK2teZFnOvqc55XfgzheO0y1JIX2CuSA+F4gy2ZvGCDzfa
0K6HMwsYYZwmr4JKzDKZXidghUU9V6sFfCERL55DRTR0QBvq06lgbphT/WgzIVp2nLZ22uCeQ0VF
HMAjSjCJS95xoMaf5QBQJP9prAzFVMwUXdHJx/tc8RYjRV5sFIOxMKExQrPNVwnNF6hQZL9BNpqD
btDeiU1AyPouTmzMKo1DZWJ9KRXxsVbsR1yqH+pI3FgRVEg7hIXaNECZnOIj+dNLCUBSA91H6ks+
Ju7wlowwJscpO46KOsmZ7BgAh7JrVzn/zrPiUwpAlZUiVvZJRWRFP1StC5fXjXeAL0OKF0pj1QO8
LMzY9LGSroo5W6OF3zsespoBIFOSDN2Oiplput0xURTNXPE0MYVu6f69sjpIm31M82QMfBNWGeuz
adARB6tYi++zIH+pe+cgMFGk3XwaoHimyrWrY4NuFODTgfSZG+GXBHHUhgBaavzTACZoN0AHhBGa
i2j3bRv1737SZvv1v/eTH+CQxd385w2l+mPfN5RC/IbkrRsWni5B7R97ze9SkDB/k2w1f8+Ccw74
jw6E5YySXw4AhiVwXZD7+tFyxn+vs53EiYGIQ1bsH+wm6dh6v5u0sHQoHIrHf6hd77vdJMAAWddt
fimMyrKuW9Hj5p37WGfWZM6qN3CahsFVfSpv9ZA/L6qdBO7EvaX6SkzndR7GaFNRZNLgUa9Vswlz
jQzx2rlhfFurUCUTxQrLKtolWSPVjiIqelKiipOqak4ZhqjzSfGeW+YMmmpXsb3xMw1/5SaiY6FX
DSzsRo+T6mQx2akqlmujl5CrVG9L1PF66VSXC73an6l/Zdnom9cBnChS+bzTKYDRKIKJsO6vnCnc
O053g70BwUZVxtj1+Ik90kPWzQwcaJUx7e4phFa0Y+2gMVhVz4QxJTSWgb++V8U0Bg01MMqYU6rS
Gpc4DFrsuYT2SZBd3GNrVajk+HYS+lWu21+sjtWqGV9aVmeL4bPfwGpH1Tgie/O/9va53jyRRjiU
Uy/hqIZPZSufvAQod7nWLfOt9by3RrTnZokf7XJ6Sy03XwtTX9auLS/E8ASHxHGfg+JEyAJet2h9
uJ3T+L6NzZu+0m4Wsw78RMdmMgt8Y6xo+SExYAXaBiT6UacV2R6zY61a3WwtcnxcfcckkuEu0Xq5
rcPsOqp7yKDt9CBb7YphDCqS0zGDGRJs5vm5mi3Pp9vVPTRVIXYzGCqXfC/tHT1tZXPm7lInataJ
ng8bOQSQ+3qhw4Tmnzqz2Dfh+DFwnS3m6YvU+7POi8snplTvGlzRE0RIjA3pQdgh9UQd2oQ1LjPv
9OZAvqpBdtOCHQ9a4I/lcOTcBJxxARPXNa8JSTY52Jcx1A9h4ky+FMkOn/lD3ll7z5iKVbrIhw5X
h56HHzHkfaGVEM7ZQqOB3UtrNdQISoTznoB5V+tQYJZ3qket79t11o4PGj06eKjZHSyZVm/MIb2f
NTHz7sR4bRiUENMZ5sdldW3N3jm12Mp08yRWbjmyrRrGzYQP4swOLuRZadw1RxHhB/jBx47e35Sc
10sXsFXVW5zGZgPuwkyTxx4HcxY/mB1MR9eLUc4Myk2sAXMCKNcdPIoCf0hT7SdDBL5Z6kd889d0
FS/rPImpFOGgBz0y2sxFTfZe0EemcNKzRodJbJqNP4XLgQa2l3RSOG5Tv7fMK22mS0g1+oaEA512
Y85TQoeLs3Gt8iMm2a+6AbGvcqyvzaJ/8loPP3p2U5GeELTMrOxWizZyjtBI8vou6tuXjGkk2zlU
w+XK6mGsU0RPc/MEMcVtLb9x56+ibZ5DrT+OZXebVdo177B0Sy3/msrpa9MbJgQFdh/QOwDu4Mwm
9h6R3+i6r5XG2Tij/gVXvvPCAPsZuV5ftaWGj7OkTm0aXfJy/Zzg/tJcGHLWE6suY/OZiqohk28d
0dwVY694zYJ8bLVm2oUtzp9oGa66wKTwtwnvZDS9JLFN0NVKIYvXbcZ5i2R2a9V7mct1HcXAdaLp
vrPrHvZksclQnSF5Q2cpCrvhoSt5JFyJIz9ONuUUUKhElMXqg8l3tPAegMq5rLx7RMm9OXFKkYXH
jnPO7oKquglDo96GnZs9NWNLQndE5tQdQXRUPdh28shwoiPMM6ZbllU6ykX0OhWlXGEv2pJ/vGJB
v5utcthjHJnQRPvbir6vFYmJ9QC+aRfpMUd9jucrW5YfAre4igK6ztM6OyGR3sY2jnpBeVuAnkGA
tKHBIcz4s8NwbxOB2S9F/9qWCUY4jMcrUYiIuGSNZWbRvtJoxPsiauIdTINb0pWv0uTZrjP4QWT3
SRhNzILRg4sbxHt6H0uQXS6tOZ07Q5WYiXGYAipdhAy2Llmz7arQOUvq3RbEwysxgUcCGJZPv8eW
PANHHH7yFa+7xh9NM6UUTg+38Gb5TodYHlA69l5oEeAlCMxDYxNBsIaHaIZSzDsRWAyJnpjGIQxV
dugTeOR2cxUAKuG/owE6PlXaMq5BFl3PmlkqC+zoh/o4rrRUPtjdvCNv/Nku7UsSVl8mg39dayVP
kt6/1dhoSrEpTgY9t0BvFmq7Edc4UKvJzaHDt+1bs+g3qauXT3WWZIeWOIcpePCzwnzUZuvcxd3n
sc62XpA88LLXj7FsOXy43qGNwzPFLh+8Jd2bWgtkMxpQ7vqSPkkLppPN1pvOXMpZLICkjRrWOM4b
eHZtDa+SqjqmJLju3DsDD9rGpmmQ6OhUbKoKng8JjOCgN/OL1LgZOoRzRCuX+ASOaTfQroAkvjRE
psIUQ/aUVLuyLvnzTnXhKGWsSk8PN5oBDTWZLFx08SdLx9id1PKi9/JjacldUGXTfgnNr4lOk6RJ
W/tKgPKgrbQggOPQ0tAhW6/0cub2S1D5jHj2QKMYnyRt6J6VUvpEGwT5KFbtaDbDdeLQ8iG15IX2
p+uUGjy/A3NPqxo2u4E8CuAvBA2i3r1pJz5W9n0SMgci6MP7rqMcsBbq4ICGtJGe+zkKNQ7+bths
BxqEyZMMw7oEAVmmi1pV5SO6obEKQ/i2ea19iJrxgaJLiuhizy/H7NS3Bg7v3iV50pY1GbLovpMO
nmfwrH2IITzXvQcLcGuYQQAxFcs1rzSC6JLnyQT0OoVathagXzV2TjyQ0GBH0b5WHDPJGfLYYwrQ
AcfWUh9p84y/jBVFFpX8KnXtg2bCmnUUdTb10q+O4tCKTLwNgGk93uQMGuy3FmQtpBb604HYcnwr
1p7i2k4yfQxzgAD1RHu720s/wb8QBq9Ank5sDKwV2kC5MvrkqrIbFNk+SW6QuA5BDVPXBa4bajZC
wJh8MCiaW1W9dufkVOMLkLyWNz5O7LmoBl1gz1RlsakVwXe2+xCoDFRfbI+MhUZIvyXIXxf0r+vO
eF4UDZjn7qsURB64Z6ZNmJpbHXRwNfDoRo1xSxZHdYiY16aMqUq16YDu0+peKgax7Rgm28uJdbop
rqE5FBzNmMu43Rvya+tTn/NYK6px3usPSxZfTXP2QSju8QgAuXT012GABYHJCoMhaX0MBP2pIltR
KH4yJTv0mSimcieTLx5742gg+FSBXV7y5gpJmBEgJUBCFE8xsTdGfQ/VQEauZZfnpCx9kQI6R96I
j19BnjkP7nSoz1Lhn51yImXInk/BoWMo0bQCHQKo0VFavARu+pp0/dmy6qtc4aUxW24h3POmNOv9
rAjUkKgnG0tUAJua6sZ9ZXkHj/6jWk8unWJYK5j1bEabCLo1Bv5TA+emh/Kb2fogrtoE9Hz9jYqd
FYt8mr+xsmvNHtLbzCYKgOtJYleqtKt/z6C/B5+Q1P73GfT6hUPon0+gSiT84QRKgRh2RBQxh+AT
/+iHE6guTEbEGPgN1R3430Oo6f5mCiz9mPex1uMV5Oj43Yzo/KZK8gmJm6jqlkoE/INDqPimwf+h
liNpkAQgP2AJOgzx8FtKEftBQnTxO0qp6cvZzKOPNf1ffoZcviqqGg17ybduLXcGgwx71hDKvY+Q
bfGg9zS4slB8SFzr2iy7Q54kGyi9Qbt2nBwGc4zD5yErPWNTCv021Irm0DGM89ZFlmivVGAwqisM
6k+ODpHDCSy2TrtB5iT7lorUTd4n/a1eVKwDvbwfU6UXD/PZs2m1ngpzXUU84PVUfphn7SPsmwf2
C/1KpzUXlzIzbm0+R7F7RbULfMH2rcFqTGvquAoT/a5KxIXj5UcxtGTRO6Y7QaecJ3Rj9EHxdW4W
OtGEsQ0sJ1zj4TXRV6Yz2JkX3vvT2h7Mfg206nM95su607FReZO7CfVu9FETjG3qSIfybM2aDyOv
cD8aw6PRO2equv3eiI4LiDvwA44/5HjXDTEcm6F6jHTvk0bXBTsZ8zYlbd7Z+cc0XpZVkywPXTNu
h96oboxAvXvKr4I919DEd16vVBEzP/GuORj5/DFt+yNhia96gyyia7PjM+XoqRvmtKxpaUfDW7qv
W41uikj62lyKdSBQyW2k5LMg3kUYqGYu0I0sdCVZb4+odcnpFVv+rG1cqpL9YqICFbTCWzSHV4Vp
zLsuSNjcT7j3XMHUzNz3fUNHEjQuE38Dx9emroidyT7fQQ5UEeQsP5hd47etTR8uWDOzpNc3Kmjp
1YPXlPd8mk3ayuoRH4rpJZQlTRzMQ0ta09d06KxGVm2wCtqL3oSJ3wwUVBspBqfW+wKZjWoMvtiN
q7c9hWCRPGWjSUq0aO6BXVo3osvLoyFCHI6Ol6yXpt+zI6O8RWYWo1Bn7aIY7fALsZXl/r/pMcM6
mnXQ6vYjJuG93ouP48A5I4xafd21wkBPF8mpKqDKhR5IhcjGMR4MibYqJvL/JhOb3WwY+k01meKW
1jA0knTYeVaFByO8ytMW0GctXpDWbYrK5vjssLn2Pdvazi7EmI4OLaJuGYHf4nVuy60Y4qcy1Mii
wAYPI37PJJszXi1g4af89wnj/1Td36niKkTEakP3DpMxhFb8zz+tEZVJSUSmecY5y4lQf+Z08rdm
pL+4hIfia6o5naEL/Z3wPlfh1CZwnM5p+9qnl7n6UHj/dtj+p67klywI9Y6qyvblz68p5Zz6/poi
TGZyNHVoz+RtRarrh9cUnZokz35/fQEJ/+MtRTaNXK7hIIszBFK++B/eUsjtvNLwnlvWP+7NVL78
H4wu34R3XnkmM1JQbOoO+fkOTBotFQ4Ji3OuL1ZwHYnOfp4MnRpkuymK8FKi1lwtfS2fZWSNGEO0
ok5X46SNn5rFaT96kVXee15sL6rLZyy3ZuF0j63ZG2hYCOEbGQEKsGLt4yRYfBjAWH4mROqLSbKr
LXZ9aJz7AVp1Nr+M4fIiosDiSbuTrZtvAqnvREYbnpjRjo1UbqYhWPdEz3E4AWqk9hmn60BRlj6/
pHWDJWskbIVhtsXSxIh1xvrpM77eZgUnQ61wXMZf3sEKG1pUxmBf5fLOGuy7PJb0GJo4NIPpZnGb
cO0NvJeK+h4603PkJoCjAt4VRcGZn7wwhQSxl/v4yXFpWvZdIp3T4LZPdNdvU1lkJ86Xxz5KkSwD
4a6t1gGY2HBWz8fK9aslvRvq6qEm9HNtNkNJlQWCESeFCXWIA+to0UNAhIfTuYmpfGL4cKLni45f
uFSyHvzW0Csqn5ovS9vMG1hqGVPMfp+1CZ0w9Pej9FUO9YOz5vmWRRkERo4tMgqHhITvAEINR/jB
tfdxwf9nDVMP46z8WIBOQNK5da1o7VbZm5FGH2TJzKXrEusU2MEhrrRbKv1gGNhO5Ad0rnDAk6eQ
vAjvEOsukpIuSrBe+NE+y7I4UmZ2V80udmfdRT0rHGeFYp1Q3jQdC0XZ08dhZZXFLos5bAqrZ65k
kN+qi4+JbHGX0g6xRfXbyKq7L2zJAHVkFxDp7taqneGmV4YCZ27dbtVYhy6V+Uds8dO6SfvbZeBd
ZpsRk3FQcTUFqutk7h+aOXkNhhEfWdQAHLH0rdO4j2CCnxxaGgUbkiwHhTupv4Y+3Gmzu62D5Zxx
3sZIwRyC8+pcQgjtT5mXXpZZPscSDbtIF2PbTPDDLKRWSD4zFVbcdoadnEpR8vJr+Itr7qPm4Obo
7DH2jWSi9qqJt+mY0kybn02vOUIDvwwteno3NJhfHYu+yvqZtCXFpYIJbxauZOlcVYM8z/FI2aNk
a+JhfR5qNo9B+8FNnFepTdeN7L+IIP9AMdnBcOQpGVJaZiOHluaMine75HcgdPw5M0YesYXEtTtl
/boq5JkPD1B7jJ7qhtpIQ8/PIjAu2P22tZe+InH4LhMOBi6kHXMzv3R96SIPsu3Mu+IxUlg9Xpti
pdFhdNQyolp2NNcqWyp9J89fiHCnG9SJW6MNnmB5zD5BXSL52H89dzllRXfdG5S/99YnGl1f2E1e
LTYXHcGV0e2ZBd4BKuCZINvOMhkhVgBa4yC77tnbrwrLZTRGis4SqXIX0/thR1c0+JnHmHK82/Yb
EHsaYGPPSzEQHYSX7SlyNp07j71iaYffsNq1ImzXmd7tsE3gZFb8bVQfcZlAcuNnM24iHiyf39w+
F4rcbSuGN3r/9LgorjftbNkxUazvjq9gMyr+t+GAf6gIuJirEGVCXw2KFd59w4bjLM2oAoAlriUU
eP57lPx2lBQc4n5xlPxSfC7f4uIvSi7VH/z+nkbQhF0GopR+SR515XX773HSUuY5pU3CWEbtxM/9
XdP81kamc8Bj+yhMS0XFvx8nKRbDsKnETDx3/+QoaUv+LT+8pDF86rYpHBxydNp7jvfe7u1kHRga
EWpnA7g3o0S8UNbyJRhJKVEzw9Tb1LckUrbNHObZTidLfOeRkbwVzqCBM3HKwqHb0sMyTE2ruWYs
1zxiqnHmNyQC5ug0cTF5nK1dUiM0tsJdkASYQLccl3fgbKBdNKO7o7F+2gyV5m0bQzwVVaq/hXWW
Q5Wcqm0ZORlZmo66rlAtHSX/WxPuG+Mn0TxX5ItWIgSysZDIvhoL5ypJGtg3dGfYEWfWttd2vehf
c/RFxKkG97VX0FShDhvafD2HpYehwN6wQACCLOB25AoV4umuuaNnMqKesqKtKMXLXJIwMmnD2bi8
qKkaaqrNQjiESqT2krTMroq5yz7x8pvvDeMxtlryuFp6Q11StOZEf5ssyExMoK9nna2Ly9JIie1b
G49b6XJEt7oMvM1gU6DtTmQwADVfFY5Gx5YZT7DnW33T2jVz+IYNAwuqDj2kIu3Fz6KdGewRcQ49
FM3SZDhrkQCnvyodSohSLNtoXFZ6Ow064giQVC9lg0OImz+ULku85RVQBCXth0AYkwRkbQOPETuh
w2Rgmix3jbOLGD581YUOkaIK7uHaV7shSSp9w41dHIpmGFjMyvgqkJp7HVsjaQq6F69TWBggMQzF
xjD66FOmaBkR2IywQTUfQUpvmJ58So0u3ARANthm5D5QklMWRDm0g/mcKSJHBJojWuw11vjuPOf4
wHLF77AaN6UrmuZUbZCHZoDyIRTvY0jm+0gRQAQ4ECvi/3gNtqTJpuzL+qbUE1ce+Qt03zT8ZhiF
dT2oMdtM85pBH7B5se0Wu0+DnUpvKXk1KSEnTF4lWXcCE4A3khuNXspRbpvahsBlsYhrZYkZUKlr
7tLvzCh7VqfTTuekjVrYXo2TIvwMobG1rcC9SbEBaLn3WWjtSSb5bdn3DwH9om1Fi9JKaNXNrKH4
CQmqD67QXunOq5wT+Qc9CYKN637ptOkYZ4RgLOc0RzRcUrG9q6d5I7E88ZlpBi9Odo4XYdCOthGf
8gjDTNzbwXXh4oHLqWPd9hHJ7HkKD3WUHRqAZWnNj0Qt+lU1xgRBgJutMNK9hP3IEyjj8zQQRp8K
XsZaN+QwtmvfkNnBA9vqNnQDN7SdkBDzQVtJJ2Zpybfs6rcVNFN94DAcCsY6nJCjKjk4g3X0xskf
DYVi6shC4Cl6cDP9zKbtQQ66y03qlRILLxXRgbt8rWrjzl76gypBN/N8I7vJ9PVoOtpa6ifD8BJJ
ExjcsGlDgnWJ7V7atLhzS/HZo5+M6kDzS+fNdxby7ZoG1uu5XrZaSkk6vzEhnti30ERIK/nDotON
FuRv9K18GNX9aKTJoemjC7XA5xz4j5OESvjdO3kJ0JTLM9a9zYvpZq5nX5BrK4J+rblsQBZtx2Zx
7xAcySv67tppq9kqDybiN+kCNaKIHjIYxWTOZq7Kc1Hp7qagE8Do6HFP+vAiYE7FQ7ifdHedl9oJ
/+yWHosXwl6rOZ38mkeEJic/aIw100g/6LIvTfalDPq7ibBs4up02DFtGIsnGwcl0Nq1YXENpjpW
IM54du/bTsIvsjGeTHfW5H3IkkWsvSxD6hr1XW5RMBF43IF0gDAE3bpe/pUCgBtWuC0GY7+N3LV0
J9yxbXRgzLSfluZJNzq2WO69lNWTG7V3IdWOff65mKsvta6TbKV8wTFpNJYVRV/zOg2tTYQYFJrR
rdlE1+Vg3rHZ/Gpo3Uo0utInVpWu7zVv2LutttWj7D6xy1NnGw8cbVZO4LUraVebQBuOrd5veRRv
Ws/dGmZ7ZQYzF6w3YcUXNhXtuqyDYsUB9m3syyf+VTiqYYjMLV2wPEn0IUcjlGfsKEXLrEw7opQe
Fs0hluxEq6FJtxEgeuw5FM/hombmJZ2d6IbHvC+eu5qikco5YIanwMgK/LJr9oVrH6iV52hme+T4
hqex0R/LBmafZmAQnNht9nx33iYsOphSNnenAzVluAU2eqzI3g0adPDY2btTcKa541BY+RWNftdR
SW6m6ONtns2XKlBeO+pBRvc2abyTaUyfKqnaXRgdCs99CBp52wJFK1r7rp/YLbpGe98rGRvdaNUs
nNvs7JTZ4RUDNR1aQ3jdqIVqKZ/mtDuKhrLgSpH8Rs7no9+OatNT4AAsHppqvjJEedTQ5c5awHiQ
Qq7svqWgyF9Ed9XgoV7GkZFlyosnQQ2UD0mXY9IjQKh8Mp+wYXFiS3F3gNGLjc+SXoaiq5/SJjro
wjiz3lIE1aTMudsjlcg8lxls4UU3PkV2W209M/2QN13GxDndpaZxSVKQBik8rqIczS0h/30Ab3IU
GsRtSv0GsvWUXoS+MYt1mpFXjIoLfuBdEkxXEyJ0pZHFbpOXjl6UivcfTwDg4mRwNn0fbppIK3xc
yzgMe1AgvCQmiI4DNTHDYG/bWAfD52xjfdowbmT9aTGQhtOynfLiiNB+bDr7A7Z83jWYYwpEqS6m
QCcatatCQL0AgmXA7GiM8pBp3fXCiKRtqjcClkRLWw+ozXQ9WMxac53X3w9b2sufewn+POWzySoJ
VT2k0krvI0Ld2DRNHxfaWc/xiKerMr3T8Fr++iIqt/iHovH7NpRAFNNU02JrK95NK4k36NK2DO08
ua8NPuv+01R+Dc11Tq/Yr6/0VxveH6+k/iY/aCdlgOS9BFxJuDeAQnHfUF65HEr5Memf41L+3vvx
D8awfHs8TTQ6cBhEN/r5cgLbuBtkZXgZtOeuP9bhW5G9/fNPxG6ZzTKXMa33AZdAOpPuzVV0QV1O
xl0/z5ssYvYf7mJkEdHd/Ppyf3E/YN3j0MJgmamefBcQVVEDMetdfIHDtYpNispAIqd/85neZcbU
seSni7yzWbaB1tky4CIJ07SuOSVetP7/9zHUx/zhPhi6hRFIwRWIVsD78FO8OsQ0fn0RJrDvb+uf
Psa7X79KZ2qK8ja+TJq5InntxRfo0yxwn2galvAocVf8+op/9esQ8QEBbEsivO/DcGns5jGGjvji
1Le1HsI9PTjB139+DfodJRRi7gN4rz9/dXhfNOkOTXIp2giACC2zpQ9D8tcX+auvziTVx/TYMB3K
tX++SDlGjhPHU8Lv86mQEJE4e7AYeMF90h8tMhdjcPvrK6p76t0axBL3xxXf/VhkjOkkMGaiTKhY
Q/tIRfjfLAbGz7+O6ry0DceiU4KBuOR5fbf4tKVF+eJk5JfkhLh64OV5XfqUht1Gd7ZfbOItJNPt
rz/Vz5f8trL+9KneXZKQWj5hIkgugySEzOxRgPAW5f7XV/nr745BP+5g7jz73a8lFwrQO5LWl6Cm
MYzUCsacX19Bffvvfx0ihtxtHqITStrP90MF8o4gn5ZcHI6+syvYbT7HFiDHJPmbz/JX39iPV3q3
wHEixpTnyORi2F8i99YO7uvlb5a3v74E0DLDo9SIStSfP0xMAbVrLWF6KYqzTfp3wmgsevk3r7q/
eoS42f57lXc/Pa1eUTeHXCVO3zKNsgVKja2tnfZ+2l20dJfZf/Mb/elj0cOK2d7CtoriiDn0548l
PIy+uVNml27YYR8dJayuu1/fBn+60d5dglnaj8t2MYR8oVGdXUZ8YoYG7J7W5P8vl1CxVBqZPOZs
P18imSZAQ5y0Lm32pi0HRIK/ucCfbmU+A+ob4qzN4I3s9c8XYOl0RqNY8gv7vLwnW5ocVPs0JOxv
H+TfkImy1vzvqexdPHxp2vgz3xYAIuImh8//9//8rrqqP/h9KmtYv1lok4D9dNZiJZF+H8oazm/S
YVBLzwhDYE+BIP4oHNPJmSC4GrSFIG3yyH0fypq/8ZPSmEGN03/mtf/A4/Pt9fbHckdSmY2cKjaz
PUniheKzn++RSBQc+HpTXGPhrSvnpGGeZR7nWXqb62uPrsSz1wszXUNwx9wZqzZ9Y55xjc8digGz
k+zcl7VG6HLSDrZdmNc9lZFrPI7FMScKfQ9SYDz3k1WdiOyUb13YjVciH9N7yxgRisrEK/xucr4E
Irb2peUGWypnVE0Fg9xnuAy6x8CNhGQzVohS2S4VxrheILK/Io0ZXzUzXu5EK2ky9CLCs8WM855i
1NVSyRqiTiIgFSQY/SMnveR5H3wQbPLu+krLons9sdOw3WWOUS+HpYoCypiYrxNzM5yCRMHKQj1j
5jEYloFPcx7dcn5hHDHcNo3hjvqqbIS1hjMx6DcMHZJNbsd18qAlCwSmekgdh4iErBucuyZpUXvg
ZZL2vXmwBqqUF7LsaxqRVuoY63YVpqrCxg06NJ59HCqzeaEZSdLhGxHqA+PaMnqs4Qzi9CtME88I
bThzRGBpXS7W3WLgBN2LgaaY0kneOpoKryp6TPArMxM/uLUbD3fUbRjbubEL/IIRN+Z4nXsQ0LTd
vyvC7zoNj+//XhGuy6L7Qt/XnxcE5JP/Lgi0FaDS8HSzwcDjZ/Hq+b4iCOM3SgR5IfyHDcMy8n1F
kL+RBMNiwwNLc84fy4Hq7HU9tpPKScE7+B/pNBDPeN5/XA9sIovgmTBoYLcxcCf+vB7kVWZxcHXl
TW4uw7bSAwu7tPPJAVlbOv2j6ORDutwGAG3JOW4EgNu+Cx8CRbxlnG36hC3WNTBclFrAuOaYPuSK
lGsoZu4MPBcoQ7fC1nSowOrqIWGiqi9RfprAjxR7F/Pas6ZovIbi8pqK0JsoVu8SJSR2IdkHYXNV
jJw7EzN6zBnGFbP3aWFgl1Uu6YG4fpmT9JbO0ZdGGk/TMAufoa2Kp5T+HKWIn3Vy7HtUEDsvh8dZ
d59jQqTHogIsYYz0u+pV8pD22bNO1fDBypm6Uu6NcLLsl1o8D21+42FQnqVzD0k0pRi99mjHAavx
0EfxJzfW9qNePraNFl45ogJPavl5MdwYCbVc2XwzzfGNsgjUM9CyII4+l4jAYVeQ7pbjjafUcJJG
B6vc8tiugF3R2nevym4Yanfpp1pE9Yq/4q5tFybkUNIzi1FkZ1O/nSaCcZsVrEq7bfeDZGUNRpPR
knaSeTnuyw4neRAr1mfCUFyeyDIvW4tiBh/S5L4us88Nw6B1J1pU/kbfNXKJgHj1l9n19nrCSFfH
k7yLCsbaMcpPVnC9jGksxFhOm2BKlzmm5YtzFMb1kjHWJANP1QOcGLids8q7yStrLRMazAmjn8Yw
opjMWZOqoC7DYkie6TbRXKWzhwy+fTmSQ8hSKrgyp239OO5YyR0c13PsoajkRKs75wUx5UBLQrft
W2bSOBuVFHg7OrL1HYMDcG2+zSKhh7dO7gojJxvFL6dV5oNNSrnOM0htjnRPtWYcMre8Ju7wjPH0
Y9Ti069d3HUjbcOLlNQ+JJS+zg2h5TTpDsPcleuB0sg+xhaxwDDgNZPfBq1l+qBf9rnRldsmpJIA
g8W4SsuDKWKIYQ5aBS7DsqrOVhPhttF3tpExrWfsTzUUM/bMvE+W4plGzWNnjJRak/5G07uiQuCk
Y8AXOX2BmV4d3MF9Tdrw4EUhNRgCPJDbfiBwdI9f/4Ex00EvaJ6m76iU8pDq4Rk3w3PRZg8yrflS
l/Fkmc1RwW/7AQcos+rbLB92UxCfLBV6XGBzeOXBUBv62dozfr8KLaSKZjaPFe1qY6tf9MjKtv3S
rIOwexoJsKC6Ltu46c5Vr6h7i3PVeOLOjqtjGg97K50Jt2R5f0gGSt705jqsHESIAYFyxr8Rivu2
bB/Doj4GU3LdR9Y6Cue7Qs9w4PDQpxnRkjF+DFNnZ4flPpexe6AUYUeYKuLu6K7Nwot91zFv6bU+
sP+5zbUBk49e+1HfHAZPf9In2p5cPcvWnujvxsg+9fAQVjQIQopa8id8FnunHwhIUsc9LZrfIyya
mXxeXG83auOm80YykcOnAn9oa+tflzZkd0R0bMEMEuts3VbOohX5nWDjCJBpzMTWLW3WvskksGfl
dF3K7OiF/QmnzWHq+m6lGd4xgn5jDdkxCOdxxVD6egxo6Yi9QgVnqYxqshtN93Z16d009P6pyuNt
XuvGJraNj7HRnybKP81Uww2c3BOTkWvMe6+VMfE0hht8o0cj1B4nfTibhnGjpwT6JbQritlfhIaV
Oq5CRKn/x955LceNpFn4VfYF0JHwwG1VoQyLxaJ3NwhSomASJuHN0+8H9WhG0qi10Xvdd9MxzS6f
+ZtzvoOfsmr5LGrd3hZdlGAwyV+VaZ4mP2+ZGdd7WaY70mWHTePoj2yaLqqmX8Ux5I5Gu8Gzpa8N
696NOpBm83uauXez3UaXhV2pg4jCW5UXJ23RdYdVFliz/aorZ+ca4coyETWlLbjLoR6NvcSDYRjR
h5zA2DD/wS7pTpfIDo2tTsLTViTmzq3sGklwrBDksf5yIrFv8u65GZK7qpgvpy66D+tmj8UyWqyF
j8WQ7HjN99GUPbXQ1Q+jdS0lKwCBcTAlxrnNx51tlQT6RfeJmJuN5/R7DfpaO+OibZybOdMxxvq8
NfpZw4iCTWS6oU68I3zeC4ROnr1XD2RH6cONMp1Tk3HfB1mjGVnQDVXyaGPx4PB33KNR4OvOsaht
48ohVIKld+L1/Drnywp1w8qpeUnTpPb1OO3cqPCvkYaRqEbOVjBr6LSMHqNN1KPR6rv8vcfuajlF
uuWGYfeNDHOjjGw9soO3y3YfxjAmxgxBdNn7/UWajZSpuEeLukHDAKZFTjDvzLTWV06Cct3Osqe+
jIyNmJyaBRWaJD1uXG2Vpw7YtTwiR6qFsg8D5DnVXVR29lxr284b7JsGVj0bnRlNw5BZUIt6iBKE
Qc2g4nXtEtnEBTTFa6jgW2tMA9eYH/MqvI2q+thVQP9dvJZG5nVBoVfPIY7JZW8S1Dqw716Ou450
4cBs2/eedGBdei9WaJ76gR0+2irwots2JO/KbO5Z4E0bz43fOFkfhVnvEZ2chT1+hKl5hPhhQ91l
xZOY5brRzGc120c3yYnAzsy14+agiNgdKRZfHVd0PbEIdurwnAp7k8nyFgI+8Zz5fFCRc2mPyV6v
5wUaf8h9yG6lkJvERdzvpOaNP+R3Ld6IvgSonhfFfQGdb51r8kj88EEI7YTtck0ptDPG6tCGPvFs
8SFyqyM4oSfHMo8ZYUo12QEgGyHRqk9hSp6MjG7GkEphYg85h3FAy7q2q/Yjj/1LrSjWDV+6EdIw
Nt5P8LBA1/rFgYCl29pIAzy0a5o82O85bJRR3DUSt2NbYIQHq4y/LApAQWJEQk266Pg7IpLaVN/n
nfHMaAlvrj5ubQ09B5IwSotqBX234nSXz5lJQKiO/3aoDeKimT51UQbwMn0ktmSHse0aVxJpEK1+
Pw361kzVU6k7gjU7mEutTz6HddnjyyWavI3Nq8EWV2Fkvo6idQLGGIEVurvUTw5+IvwtBr5jL+cP
NdlXrdJ5xQPaCcfgyxKVgw0ryh2opZQehJPjnUu9vCisLgAn6+DzEDcEQVxmLTJ/0s62DY7iVWjH
yFkbllHx5LzYAyoPn5OGnd14OY4eq/ahfBrt+UZpzothpOFWJdWzoJsm86XbyqbPWLDxqr1Q3/vL
0YMLcdWX5K1GdZaubSVPCk2GjLT5rBn1UekR/kKW9Vjb8i8I+7DuTRUCQP5pktNG76u7KBkVoan5
YXDZ1E9tB1N4ubVt63nU+aGlmPs29cjevJqsK10mV4gy11ZqxQc3nptLxS4WZbL5hI4puhiIQvSb
7AV9jbVffu4AlZl8F9zmzPTMFy9GrqqsG30Yk0sfY6Gnq0OkxL0BOWcubdIThm4XCWAIubysIvJo
XatGNpt/6bySiFpC5iPTu5dteZHAI5K9Q505ECJjtM+TXt36Y7W4idyrVI+ucrS+mWtNR1wRj1Xm
v1ijecu+qzzaJubsDp/H1mitlznH9tbo2oJNKHZFz39Yq/RtifUP2afV79MM0WaDtgsOl5UL8w7b
ukEbUdeaFYDEtgy4/aajBYaehHP692aTFk2d4+Ne1LnjkdSJnxooIxFixB+YnFPFqK04NfPINOXu
u7by+s9+7HuG+0+TvX89iKNb2C5Y0Ls/TW1kCEVda5rkLKaDVpwE9l3Num+H+98/zE9D0D8fxkX8
bbEmW5h2PzaDIbMXugBB4W58GcoHzfw/Vr6/+O+7rCuFgbODt+vn96rxJ4eYhTw7FwNftL0Xvv3t
5w+r0eAd4o1alIw/Pv/IxaFu2lV+9ug77Gv7X66Rv1y6/rTj/a/356fPGji2HhPDnJzBHsGSkEin
3Y2F7PojSze/fym/eKiFybsMdG2GiP5PH0XmkRA6zKU8i3TP/r0VKwWpz1pzDYMu+/1jLU/7PzMA
QJosPr7/WJg2fD/7Jk86710ny87KXIMXAyDNT4szdeq3v3+gX72o7x/opxdVuAS8dN6fD2QCv8KE
Hm+5R5arWP0f37XlSf/8ovxl778AjaFELkuM7/awpl0YJRcvYdIm+T9vPaCT8NPvX86vvs7fPcTP
X7cZ7EwJ5ro4F95bGr5Y2v/j67zYMF1rsYSSjPnjSyDp2m4tjTzslBPQBOc3/T8OL6S+wjGZ/hgm
3NgfH6HQCup7Ry/Ps/s2uFcd8hPR/h9n168+dL7Ers3GdVm+M+P6/oMAP6iKyZvzM4omtJV4BHT7
picvV22wYv7+E/nFYzEnZ4yqux7O8J/PyTgkCMNP7eIcLz11AMA5hrheMbbdGbdfH+qfJcgiJfnr
kefVm+Jb/PP+Y/mbb/sPVOmsKrhDXLbrFov878adxh8s9w2ONV38y//8bdzp/YHZDAM0U1LGkI7L
X31bgHh/6DYZjJCNbUNwafwt0pa5bFm+OxgWk/Oy5bVYtAAUcfAy/vh9rKGOWDaY5rNSDeouSoxV
7RNdqOzpQU+rXRh7n6wBmEeounfRhRhlRlzOo3Vs7DCDF6M9LPlkwp5O9ozmykaBaoCHIIwrOTsQ
LKfQuyZgFM+/3hlBhbpRjv5pMO3LMi93XuTvu9SgocDr5RFAta4jMAOtM9w5dtltsY18aE5B9CEx
S7K3opPrgOLSCBVceZUdTAbZVfiCdjmgKmEP7loZ3qOrzGsK/7Pto3PrSFRDl9dnwPWmXThKqOe2
f5Ol0V1EeVjYqDwnG6F4lJViM7XWx1BG6WmeO/VWtDzOZPe7WaujtQldVnMo/zUptuCAGPlkYMZa
avAWUaq66EQkA0MNBQY29hIyriAd2Fu/yt4jSPJknikmXM2uq2qEZ0Rx7cYZWKYriAYZ5B6/XjBG
rb+umnhTW5l+IPDkaApADjocWVLXfND75MKGkomiJCTCH5y7Sk8crLB1u2ZyzKvwa4vFlHMoho4N
zQyzwm7s7MB47srBB2wWRbtu2vC1ibz7FErXIdHMvTWFH1QppNCiHfR8h5hYRrooGDC0aRabqThs
VpXMxT2zUKSfo32ghxs3VqRuscjska6769hGiRzNTbUukyZkpduD0hLkxaiU1DTagWCOkymoQpIu
IWZ9qnUatL7Se2Tos3HrV7qHWFNiEYZbCFE43mitLrb9IHzJcW/kaNzD4uB0mr2PPIAhg+bJg/Ls
zegS791bFmkuhpvuWhg51b5uopJgdjBqF7oTf460UgUeCKsLVl0Yt7L6UFfRPePaJZjM2Fuaatec
/0ETd3bQexT8fVEeC69eAsm/lMTukvE1HMXYP6uG8ZAzJ4+dUQEYNn1z3YfquW88EbjNfNkV42We
i4UVlQIj9aABl9GuHexTQXLaFGqP7aCLNbQwAsrpXJzIOrsEaHfsp+wkJePMIo7Cl80udY3LzMHU
Ifz2dVbhuRfywR+ZgueY+SKjsnfMYfN1qldJUKdls03igrQGeYoJSh6zKA7IKTwVGSlnXNDrwdU+
J2HyAMC0WkdaFIOvFJ/NRD320tto+OJWNTabt762gd9oL721AJta72SOuBb1yZE3jrRe0bocG939
7M7Nkdb7atatI3HrZAyX9nksS+NU1PkuE8y3lOscTcKuiZMQK82Ib/tIQBBLplfDvZdaYE3eUSXJ
1u/hsBN1Vq8LuPdJj+GyldkNLhdtbZT1i9JaXJpduGaUdR3buCgcs92YAxBjAFWa5uznxfKC4R7t
e41csyYiKYv9ExHkaN/lOSGburP41A3ErD3MvZ3M51ffAVPTgl5yvD2jNOIOtDQiyL267Ib54Kvk
HZ8D0Ri6jv1v8FcqSe/azH73a0TL3Uisa1G5j5EGu1fPQ37E8FlWZtwGecVZuPLnbNw1hTHlfwoE
/7lxDQry39y4H/3b51/dufzVv+/cxdSFmBarF2UcYWbf3bn6HyR1An3jLGDBu6g4v925ZIYaDhIF
CiZIfPz5f+5c2OvC1jkhMZf9XTOYaf7YYHy9cmknbZ82hk0nz+LHK5dMEWXaYTKdk+LanEj1NkKm
3WPrP4wzgQhiIiPFJ9ncm7Nbb7LeJ5VpINdmHbQDlETIu9g2SUZvpH82Bd3CqDnv5A2fss5/nBf4
1lB8QS69rZaQ9QQZZKZyBbrOMcj2m0FP5peos9GFh4S0y5npkqiwB9B+sYSTj07kzFuTzhRkcMX6
LYSUadjPMuNrPs3vBB+zWFtIgFX3IJP2uiYxPmHOs0OudJeTJV+WY3QVki5fDr0CM9UcdY8x5QjD
Ih9LXvO8SQneAtt06EiqZ6IQYh4ptkWsPXVk2eNuWSHuu6Lt284W4Vl4jsMgLBo0xEO3SZNqW3k4
0Uxs0UgTPpd+cm4kEYxRUk13M7ijpA8hXqgGpBQwNjs1Ey5uCwIFIZAkWdkv+UwCkTOELgxqkV24
hIluqkFvNtoYEj5VphtvWHaLS4TSRGUyEB9v6t2dg2OEmaD9WFdsvtZRUlsMxjoubSCcJcry0WEz
+aAPA6MVHGoVCVNVK0jJTtu+ZvsZpUtudZShmyjZ+lXA2ZivB7IBCbrAxIbeCTrsNKs0inajsPq1
O6PLCPFcWC5sLMxYHyq1T5lo/BXy2tfZolpDLMyAL+we2qJ4TXCjhDa+tAxUpNUcpq4jdw4uu5MW
e6AzWhBLZa9I5zj5AnawZJkVx+JpspyLXLFdzO3prdLt6sHKcZHkFjd8vxrUcOiMcTemabhP7NBc
aUm4R5tKVFVlHomf1wmVxYQxadO4mnPvUetxJzmVth18A08juNYl980Lh8PsA88SpSI0MwLY1WvE
YlVql6BSWQl3vi6McGt2KPo1FHt13T3OTOIz2/hSmrxnHPDPwmP1HcoHzCEvUV5fj7FM1mPr7WUx
Pzc14ChRxnsWaO4asH1QjO1F3pFHZ6Tzc4/9ian6WzslAYkGRz9NNnqiXpxkaDehyWpMCobdWZ3d
c108xDS28L+shqcmj/gTAzXrYL/clwrD8arunFOt3Ns5tnbChM2N/WwnJmxzXfdqe9EtSJ+tqxdn
JPnnUaHnqZzZuITrDFrAKS5n2V8ZZrSVxWcJ7aVjohc0Q7grk2Eh4FsLQXC6ToCfeOTArvwBI3zr
Ns9z14wE8xpveQjxzRayXYsGFlgWIdjpp3tnpmgYy8xdmbV7DwkCDJl4mb34RPDmjWloO0ozKHyV
/znMxT73Pb5GbkXuT84XMFwcSWMQpsaHnVqKH5R+z9f42W0JGNPD8qpNsLX45md/nuog1YbrMmTl
kze6tQ4jg1C6sLBXmROz/m7Zp9hyzK4n6d9K/P3LKJrwqp48nHzSYTI4/vsYtm8yq65DvSaYxrXD
TTOIcJ1PlU9ZYx8V5M3r2fR2gHni4ibsq/ROFfqncDJJ95bzw1yWl+YcvetsCbqsm/bIr7SglQYo
3giWpoobTFyscHD2f5TKnYMO7zuUAbUY/SoudrIBVg6uGM4iSHuhVV/OuntsDf0i6fRDHLe3NZsm
bFHmwZmtq7HTjmXOq0xktVFtLNj+aBZhalD84hziqWv9OQX758pfus6/vvLv3or/2SQf0S/838sf
frv1decPQR44WOGvbfFyf38TFiE15LpdRl+27/1ZEHy79c0/uJDR8SOoZXSNjug/t77xBz4PE50S
clsU5USu/A2pIeKhnzrtRbpES089YDHBQr/747UPMS9uYpaPJwadVKK2rBADrjvHliDvoIpwOfez
W8PSEMpgMV2QXtmV4SaKi+jS7FL3TcZLPgRlu6heUzfT9WtuLHrutOf3tGr6wj/nZTtfRGaXJQdW
2MY9rnTNPuiNIG7Z97X2nIdmeCEnRxD9IGWq3yUuh8xxjuas+eQXkTOcalMR7qMwoveAUD74qSWb
skg6nOuW18EnWVR0/ldBXVtN7cHKDPC/xC1IQoDF1HEluRxSbhWLo0FcwbGuqtRfF+iWgnjEwVpX
dRt0YkqOsEehkoSz6lYphse3rik4MawqpEyBxTOvZRF317FhvzG7fGWV+Cl1OM4ZEeZr5dgfqs0/
HL/U8aznlfUZlQ2yBhanVTQcilnY21ZqHQrpyFn1hkiS9SCJ3yNznBEDgoInXUuQKMkh/DQmbLlJ
GDAOMQjxS6A6+V7qtXvlVt2IOFJVO+YkJTwtFIu5LMa17SkmtjVKFL8noCFu1MZpPQx6DdncbX70
Oh/XQVi7p8m254O0iHgl3ZXFkB/vgJ6C/YwAdpqTl67LpitY8MuN8vwP2C0alOp5n+kUeGggd1M4
oI9ocrmKQvCU+Puel+jnjRxmkv4IXSVrlAUjIFCotcOVNEcugzge1362gFSYRnJEK+PMeELewQMy
byGOFR+psOqLvEqKp7THcUqaHmbRPv0z/OqfU2uZcP/1qXVNsuJb89/DweWvvh1ZaCE5dZg2uxg3
gBj92KiQO0jLIbCAGbQj/25ULAG432cdYqFftHSE0v85suhhWF5w1hkYir8qJf/GkYXw8qcji6kl
02N6Ik5N4qV+dhpYcVQUGHn1s50NrdxDyiNH1avkKQ0zYt2bGy+en0IAbUbVZrsh8p/IHyWmfgHY
M+/ww4z+g4YAuyWpHWV94/QlZDdx7MD0OPl4MMdmM3d7O9VeyigipnyLaf6sp350YoQE/9ie/I2r
s0SUDRIyZ5o/U5Oz+13oq/j6X1wL2qdnaiQIDu3LXOb7gWJqY9r9NdWcGVSg6vj/xXHuSZhHAn6y
WPStOjd7LLRugkEhPhLVfBlm47NHuh5URRnDbR/vcm8c1ghwXoZJe6pn6HHjXNG3OB5udf+qcKbp
qFny1tFJ0xgL0DFjmCLlc/gXw+aLHXYW/yKExV7fYNI1NsSEJCuo2cYmj4m9nUvzk5DP1HZxQzBm
I9YJZPS9s3jwQretN3Rok8U1gYcZSSARgBtF9AEKHLP13/SEgKMgGWsW9EUfA1os5B5PTUWjoYEd
tkYViAVfwRJz2TgTB0VNKlHg9TWEQvioqyka2hukhnAj56y+6Usz3XUKy5dyGQIZC3O/qSGTxxWx
OXkhUWJXznM518aKGnQIrNryVmVJbFXbxfZq9MFbhX5ooy4aphtUvBZm+lRs0qFfx6VTXvis7smt
tpJTiCZ9M/hdcxFj2N2NdURFTjJPs6kM6kstNsOdLrsvhl96ZLwCKK9kGO11R3vvSYRcQX8htrWn
GdYrpsUJCtW9JZwPXyttwFPDEKCno3PwrUMmoBSXdppdeybDWZ0MbfJKqPx96GI7KzMxPveNvfPi
6iMfdX9nL1HcVa1l12QpRBe8c/MqDYfizStRxxlTIvahwBHVEAy0Kgwg76beyhrJPFjpvNaKdzVh
2SwBTa0am/FQ62n1cXDL4RgNXb3zY9S7IAfMnWqdLODDI4Oisb8kLL4gZsTY7y1z14CUjFeCVExU
HtwzNRlv7yKnwQT1wkAuT1zACcgZKmX1QRgNOhkLYeHAhOyyd35z0UXNYG8/zLJogxhnvghG0xuZ
sjHj+pLBKt17um7clDo0U9xmzZGwCoEWkv67FuN9pukRctSM8ETTl0h3q0dQZNFazCGAFn8oGZNy
B/bNixZVT1lZAHXkXg3inLahz8sSNQaMY3dKH/WivE6rJnmdfPRdRhzFqNI88CAK7cbc3YDNB+pG
LvAazE118DvnI876106E2yHygKf52pchbcFdFcmLqaUXSH6fRwfKsNlozjrL6+UQ8U+8FYdO+l9K
fqdat2wRcu+eevG60vECEHazKuryisLsk+H4T32m4XOoR+DBtXcAprEv5+aumf0HQoXDQLTUaFVX
BwBOEnI/k2lnGvT0MDcZB+AnH6KG6W58G4mavOsIolmXmdXRFvMbLTLGycLYJ2V8Id3w7JnDSRvN
ajORqsIvhVQrEk4QGCUZTATkmu+pR+PuyDbdR2aPpMrqTCQzvnXh4D9dWU5JDJudv/sNMa256ArE
KtV1OWh3jBuGXSplchGhx6PhI5RR4tTgKdFVTxqcCTVyJoXlEN3kSAVowtEodsuPZxbgl1HQpPtW
2XGQkqe3EwSg3mZRrTaegaaRE6bbNamD98Ie/Z2y9CmY09hbOBkZJ4w77UaiCoKQSA+0XrkV+HPq
oNuzvzRTNG+kNR8QL55pqI+5mV5iw8sDcxDGzhzMLDCFCrcSgM82dm2xy8IQooYoy73hjPYSVrpK
4mxGWZUYO8NcGHkpzzbO+dUaA8NeCPPQuuJsYW5xSgmweLuh4JXadW8v5NKIQCTd2WkpQ5I0h45a
RSD0ipwNBMfUv1J9/yl1TJbtf13qLA3aiqz39lcdGn/5XbnDzJOihVUoA9pl9/2tQ8P6AbJ56cP+
3YZ969CwfjB2hXv6raT59yrU+QNPCKt+8KssLv9mg2a6/zWX9Q2b/pEGEjM0RdRPc9mmo05nCaKR
cpCn66w89Ek4rIrMQaW1SNmlO+21RdxOe38jKJrW/SJ8H1DAD4sUnhHfYV7E8WqRyTP6LVfGIp2v
FhF9gpoek9gjUWWvSlSnCRvUvMju6bPqwEKJHyrzgeXdLl8k+lGb3eLeqtAymp8cVPxIUpp1aIob
fxH4Dx7yzjqtCUF3v4yWM27TQd3lRvrg6jlTUjkDDNCYceR+9Wx1qtskuiIATRu2RDwgby41wtJk
t9K1ejdIjaaE4JBV0xGXN8PD2rBeQQ+O7FTbhKP1qrJem264yb1+C0ZmgK1UNm1531WpUAxhdQuF
pDIoBwZ/q3S2KH0z5YEhIDpXkxn0BKFw7abXXTrBmC+ydV7C9exE+rl1Mb8Jy8cM4hHu1F5l/YPR
lO6KobhPKChplox87txRlys9N15ThMQcoagqkWjC0SRYxwmb5qISxTvukJQkgCwuRUDImc7ZkFvG
TSUjSQnlAuedSIOLGbe61H5ABMWGEetzQU4MF2p5VvNYXooimdaa6weFS/sVqUORlVeN3uxyzAqZ
716MdvhM3c4MUJoTSIt02xWWOOgd47uY140ud8SI4aABFBlOM57Pkxe1yUWfIChVvH0wYEJtMafk
ZzQa99kigM6VC5MFTbT1VR3dLkJp+VUzXX/VT5MRcprxdYgGwLdwGmrRRW5dK3EXob8mtwBVIpys
CmW2hna8Qqltp+4Bc9JO9mCcFyl3j6a79fLz6ONgGg14T6i+LeLimwHLS2p3OH7SJxt5uFsSOYdc
PF904z4C8hEhuUJQXiMsrxGYQ+nf64viHKedWjuLCn1Gjk50ELp0HYX6iFTdWTTrfOQpiOr0gxyN
Vb/o2rUpsgNz0bqTbUj5yU2OCB6iOEN+VPFtl51mZPL5opefFuW8qVl3STe8F1oT5M193en6msnl
TYTkXnFNFWq+wPD0KPx0AGaDPQiRfjKllCqU/EkjX/NFx6+53IaLst9E4k/SF1vgRfVfIf/3Q70M
BPnlszOzD+nP8EmfDAwDZaNtSgwEUH7fTSUwSC3Wgig+D1gNqnq4jLEeZIsHQRjTtlpcCQkGhBCb
QpoXALIpboAevPeLk4Ft5aW/eBuQIxyzjH8N08OwuB+GOj942CH6he2z+CPGEaeEu3gm5Ff7BALP
ae18NVXEqAkBczrRS7qk9dhptyIj9susNXscJi8N5ozB7wM29bvU9F5bzBt5Z2nrEjsHSwwCF00E
/Op5WvweRo4ZbLBI5Da6W0+vYOCgHmZbaz4n2EUGiD3Z4h8pPevGxFCCnOTGWBwm09yf7MVzMmI+
CQuKKMAO+xhbSuLJp9SQl+DcHlzwWqsMuHyLkcVQBHZRCUjRPcncuqsXx0uO9cXKl1VWfUqwxIyL
NyaasNum2GUyg9Rw7DN8SS7KxU8TY6xpQlQBi9Om6/rn3KhgEqLa7THjlJhywHEfNSqLVTVoBwvb
jsC+05IJm2PnGYBukTZzOfotSM/5pu1li4K9OpkYgUbFV9bL2a032QOhqa8SdqBV2YcWC1FjqQv6
mINuxo89FiMbqxHG54zSNdz2NhpjzEgSU5K+uJNmbEqhUV9O2JaKxb/UYGSKS3lMMDaNGJz8LDJp
J1iylZVYp5igrD7ZFpiicOYdE0xSX6/kf2qTZSrx29qkffuf1Vv9/variO3lj7+VJ4C+KUAs5rSM
V5YV8HflicCrbgiUzRQHFjvFf09jTPsPXcehvmRFIMpiVPyfaQxeddzltHKMfP+0uv6NaczP4+Nl
qLNATCmeEHGiUfxxfGzGuja08BivYhCDzdU4vnz3tvC9B7BZfC+qRnj887Rn0b2S300cOCAY2+VF
fi9N7DDu4RoZuyvMM4FhqC+Tsq6yML216/YLS5wNBQfmEos+RteKAwqnfV2lrFGQejuaA48Rt2Xh
1hRJ4j7t4q3VqM8aJr6V4V92dj0iO5LDao6zs97rtkST1VbmOQJmyfqbMNCINxHKcJVPrJ+nGYq2
sA8juQRfBlvwA81jB31WgsjYSrLPlZGFbK9R5lrMN8BHRtpzmrH89aX1qYvHfNvqbrRmPVoddRpW
kr29s6tcLci8+tnHmBigM0XpZlnDdToOOsjQst3qNZRzvLpHQiRepWFc2tjUfT+fsGv21T4ryj0K
qnlTh9V9aGfcXMnJi/ktz/ywNTGwWLXGL5Ra55aRyKrBY7Nlbr6JVHvnpqTUcUKYlf8qhbYvVHfR
EriztrvpZpTeBTu3Ausn04RWXlSu+xbq/cC6j7bQ1zadTN7aBtRrs4wKbG+fRelZA6tGdcXCzXgB
mwkk2d0jPbm0CuwatdGfMtDIDlkdtSL5DcbdqrT8xzSZW2KBs+s6JD+imeNjm4gXVRlLz5heWIue
PqPiMmY4qObM7WuCH4qbMQ46LzlMGbYrO4VdGabOTlTQlkpHvnaWHwwCqY9AV0Rbj60rKi5gE+Ky
6Z8sgKl4Da+cxnlp2vksE2jjOVTALsyZ9veneKgPJSOuaEyf8JQxdfKHfdZzxRrZHbpcTLJp9mQU
zaMeuk9O2G3L2rnwZpuCp351rBZjZotvyGxeSl48h+vIunD+jHIhYFG8Ziu+MeV4qYbUY0wUATiY
2BS3XmNgw8Ui6biv/ApIaktfojAEdk/kylbrOr421ZepTPcey1nLVK9LsLKm4RciS3klmfuR/7IW
dvY+y/BG5vrMijO6lOlCzotIebY09z6eEfYpgiWjhH2kyOnmdVLKNEU96s2uffJGQpqSxJk3msLY
bDt3qW89d6qJtjhk4GOq5deTDoRzYvroiB82qqFCXzBCB9Xt29HD59ZNXXZEYbUoEcwm8DPVrwws
5MHQOFdRa+Aesp1HQYr7xq9CMHB+2wcxwxGChZWDSDGve4Jb8kkLp+UCTq7GOnEuK4U3yeetIOZR
RWtCB3AMZmW8sWIXUHiniaCdWZEXbShvS88xWJJ04siOBrrpZKxafG1tO56VpZpDAQ9jpZtMaHSj
avbgPtIgSrpLR4+4J6UqdvpMhvM4+8E8GgQXW5kKyrYqGUEm2dllLAX/U2vAwy903VB9sufpsQ7N
N1dWe843tjF6vvZ1aLtTpl2G0kCImBFlJh2bHQkZO3eljYoQDUSYPXUwS4e+HpC6OGcLtiMny7pO
rY3p6t2mVMXRrVwORJ0n7Q43RUfUl3LVijPqIqrCPWOfIO1TQgHaS6avu9gmcDwTT7iIkIyKi4E5
+K4Y5auV0rU1SYsfK3SOeguUNLQS910NmrFGuAPH2KqG/F7qOaE2FNMmupS1OVcetIpZBnOS1KfZ
k1emofbSb270iqYww+U1QsFc2rUNR97BILkB55FTH7IJL6Wm7nMjX3doC7JNA1M1mIY29zlzuotB
OOVrYbV0VIn2BdkpAtiuJt/Gm61NrQgdAdBbg9yQbr8nl7PfAcGcdhz98VNY8QhGl90XaG8ZcQv/
optqpnNpdFUATVtnEF4YyOFys0r33q7KlP+VAljMDbqXyQpDKEnVvRNO915hz89zWCTw4pEw2mRK
rFy8ve3kaTslMN2XU0W8PH+4YrLTPddJ5m1HbyLEkqSxmFspbvdWzzZeDmprenm9mfLyxelp34gf
oBdB1FBiGHIvZDU9iDgN+gSYMZDmhy4z7r2u8o/jNPbEUtNClmE2gWZAAauEeDEZQmzM0aqeO0dh
KS0Z9hPSK29d2MYrAA/PBuXkXWjYI4msBDakLDeD31/Piw77BwOHSYWhU2r42F8gK/5k4ICu7Jhe
lBZXrcRlPM4H2xluhrrZ/v5hAGb86nEWgwIKc372PxcBrUs8MSvnqzzLTijGHjiVMN3mrxyXgFwm
f3GBZvseYHjmyX1jxJcEK5JOURw5qS5tZMIp+RNokW6dSgRmTIgICcVFFH4QWMXWgZ+ANXtXjoje
fv/Uf/nMYQIRT032F2y+H8sXO+/KpPVlcUVm7SqaADfn7B3+TMr5S8+T/9+eChckEVJ5j3fI5ov+
46M0ZPFNuez6KxWx6UJUdjBLDgYRVv/L3nk0141lW/qvdLw5MuBNRL8ewFzHa+gpaoKgKAree/z6
/kClUtRNFdkZrwY9qElFKZgkrgHO2Wfvtb7FvgGFdIHhfhLKtLiCc+dOJLEP5rDgHlBtL+2bOc4g
2dL17kLFusnZlbqix9QOtocmEFs5CqVleHaMBOL7fE7Vg8xzo2fwqCdLm69BJTwlbYp+mQPtPCAN
ayTdC4mO8pJWeRZqeaXRtHVYlXRCNC3Y0BVDhBDcBlsRpU2ob6tZfmHe8DQajEs0EqxGIz0AKmCY
bEzCRpSG+CCGWKzmsQupm9oIZkRsoJIK7v1Oym6rQWP/kAKA19jQG71sN7o0ePg7nWpxYk6xkXil
KJ8wMOTuONOHlZR074tPHVGamrFlXXw0BY5zxiBtplh9TCEQM7VhjFAikFME0Z1VSo+Rx8zFSF+4
o5Bt6haQeCaNCO37J5Jqw+cp1daiXmXEDocHuViiuJtqhfEZPZ48Xme6nh4t+uKSPo8XldEc3r/n
AJWdPy/g/HkgTW4HUwTYufz8jbEK2luR87P2aEjyk2I1mTuXfXrUCcSyWU8/Bw2TSlRyjqSPrhml
OH2U9MCnwryEs/KGoJsD6nebAeRBK8xPikp0aEPnY9V1orrNNJm4mojOEq03zPWFmm3QEJTuIEWL
zR45I07wa6AYOfNDLLJZNDqY1KEeDx1cFHQh5NWt9Gx+rgv9iQ6o5vRSYeBel+908qBV2vQIKSWX
EQPKDMDedj3on5hzbgdf/gr1NLHLgWXASjd6Pt76Vrw3+prkVQWHxsQdwuBjkm+0vj8kcXhTRWTx
GNZan9pPRKKpNnWj6OkVlvSw6r2mYxpoLmMxhdaiCPXKZar3JHBPOKWlPEqK8EkKMZRU7ax4Iejr
fiZVRhgL4PX1WhTjrZX3HilhMPJ7V01a0THN4cIgi22Q+oZtvlxChm+VoTxa5rhtQFYxb3iu4Enl
hr60BQ9Jl7sJgnCU2nsj11dDAWPDAE0S5YTCWdFVUgrJFpeWV9DN01MU5iUFTaEHnEt4GHvBuhqq
9hvKdJ8JFzr+Ll61bZc4OsYNGVWPJEGXaZQ14Fa+JSnIPDWYnWGpUJMOdQmwnUQaHooC/LkQXQIf
sIMQg28iXGTs4gTjMZ0j4qAkvISkYfKOVFeS2DVTf8DaDxWgzogPEqoYG76wjgfzYgYabFgR/Wgp
ABONXYBYAWkV46nQBvPSN6VNkLfMIKs9ZGyq3jYVoAUM5WZKjZ0aDBfktNFvXqacDAElZ8BrGZYM
rhpOCSkBqkrmFYR20re81DXPSPBfmEdyOvVpVagb3+gfSlFgNiYedK2uvdFX93E4wCsg5fOik3sD
UA59O4M55XroZ7ekbtjQk2pcaEKbuqcKMQokveQeej1s9Q+2tg+e1EWH8fZJlUNrYpSadLhgcKI3
B+DxztgzkR5OSX2QOLG8vzb8Ok5YfKS/rAyLguPX66HgyjNWhqJ4wSnRj9fYkPLg06Bu3r/QgsP7
tTbgSotNGdu1aRjqORZ0aHArgO8g90qaaDBHeOcjX77V8L9swwKDbDL2F2UZYQfCt30wKxrtelyg
2YoZCw/8XeKohG8oI66IkDRJTezuhag4gb66SSnfOPU4bSPfjAH2/LwNVlkbfc5j9UEI0/I66JIe
jndIxI7WXWiYPCgsvEnCn0OJt85bxXiwZOumBH1BJ2XXKe02UmQkZ9NWK63TkADmZts2QEEk8pIw
LqAAMJ2xlB6ysvai1N8OpUSfeTTtVsueZnHSnHQIHivGAHj5faRsjRJ88Kn+2m/5/vW9/VBxCrz9
+hJdzaPaN8ejOX4O5y+T+YEj96O/f7ZxiEJKjRwkE9L5G/xRdqXcfXBbvH9X6Gf3X6ZniZjIwXTU
5MuIcDI+JjGcnPcvsnwKv5Slr7eeiagSrLhGus2vn9JoNEOIV2k6WrIjt8/tkFGT3EWj8cG38WpQ
/nkhNJrk7BkG+T00vyhNpbMLTXHEWHcu5SNlzDObmnubrnxX8BhROw92bj9soSvsv1xHTng/ek/Y
tb/wRDcbZfv+G5aXPtvPF/K3x/rcSW31kVVaActIu+pd0UFWcdOtsytsDJ7lpPVKWvM5ryQHU5kd
epZb9p56zJ/ffxXa717F27vzbFaZQsU3ZQxOx0/jVvYMu11Zl4Z9ashsdtcPmrMncGNtHcPVuMlv
tM0tMtL1uGHds+d1YdmNS+vMtVxh323ydXMiWAFSvntf2N1RdKa1trW2xcWwqe+y1c37L/1MB/v3
B+usghbkJkpLwlaOml3YJFG8lKvyVnIrJ3YJg3YjL19lu2J9+bz3ui2Z16MT72Lb2sVHBveO7+mJ
/dV37t9/VUvA49++1jcfqH62O0RRAS9W51WFW8sOnXmTrf3bHOQWzj0b+YQN885O1+ax2sifaaR5
719/uX3P7yokdn89R2erDUuNMDXlNB7FufCMYbiYCTTqO7K437/Osqq8d52zVcckKJ4IcDh81NR2
PzyL42bQvzChrUQUpuXq/av9fo37612dHyaFjMVfq+LuCH2Uk991GVz9zy5wduZTRpPZKCDDY6Jd
yDF9QMtw37/CB1/MuYdeyEozNwDQHIvyiAB3Vco4L8wPvpWPPqezxa2RiH3sjbg9jsu3QlSzNf5z
tsFSI/z8Ks5usA5xU5c32XQc+tGJAFwSywIb+f0P64O7yzhblXQ/ECaac+wGo+6oVu4laXtSICEZ
hNPHg3zsIaO/f8nffj8aenqUG8qCAeWGf3P+MqEe+GXUdkc1+1bHKwh5NPnW71/jt1/Pm2ucPTRp
YDVCFarjESsM/furLPugq/DRBc6WxDnJRiUuqv4osmjTjE6U9IOP6XV/fO/BXzaUN59TGDH08VPu
Y84GNhaCHdlTB44Izq52Qi84dXb2Xff9L1slS3Teu2vN8q7fXJKkGJSRcsge9YnGMJg45xBwbXt4
kvbztrcvZ6fkB7bmZY5km1eCfd16y65++VhdKjtO7Wi2PPQim9wJ1x+9vN9u5G+eCP38zonqQQQT
2B6l07KRCzYkZHWbS46drFX3Ibd3oj1dfBO/cDir76YLkrU/WL3kZXl670s5+957oQGybk3UEm7v
zu6Soqbb1kXqXuPV3yvrzn2UV76d07Fd1ety/XFuwUcv4VUC/uZLEnAxqflQtkfMTPbo0tmMv2or
yTUuupdxU3rZ3lgLa+Fb8Kg44zo5YW56ef/pej14vfMpGGf3SUJIu9rk3Jr1alzBQ7GjparbJs4t
cMLtFnSePR+xUj9AkHWzVbk2LhE8uJ0XbjE9fk6dD17PUhj/7fX8fNy1s1LAFCxmQzlLSuWpa31N
mNO4mlfzPrqQ7Gd4uKvEMbflhqbefnSMO8+kOsi9dp2sbiJ3KRL+LA7+M7pfasN3R/fICuv8qf76
2/DP5bf/mt2rf0jKIhBcwnlepYB/SQsxf5mYKHQVyMqfY/0f0kKNn6Af5EBBvrpODMHb2b0J8ovj
tEbyOhaaf2b+kn+9pzQQMDixNZ0DjIzbTBGXn795zKxRE0oL5chRSEzZ1Rb+uUmw8lbvYaL3r3j0
tmpJ4dEnAWw6hkZaNP5QNfEdQGc8y6+Q9byGt55XJMKLyFfhsAP0pL/VIViAzx6M1QytfUx7mBKc
J19J7oq+2IeTV8Q7XoAa3nv7Cn8325aEag1cgp0LhqjbWMDi26xAfqdimJSdNBGJdpRIurFlvGur
sky9uWjTZjOFtJlSrTPuc6kXoNnibb4vcZACPtDKeXLUnLG8IzRVDmquNC+VpC8flayKHwWt1DY0
pVsawn3qnwxRCkw7NePoADeEdL7Mn7PAMSPdd6xC3uaBmDkIhzsob0Z2NPS8v85kHc4jgyUV3G3e
bzrB1+j5VeZnGVX1jH3cKmaEZp1OL8mM6CzG7EXXgmQWszO3WbRJa2N+zmRBAa2rTk3uTCL6NfK1
LS0uFwprB6zY7JV2rdV8IY0bjUL/CPhVknAL0J5SYxI2cw+vBvR7SPb9vBjdB2WerY0VIKwnWbAO
1obYzldN3cefFStvriyjMVZxqkuWnTZqeJstPUqlKTHPCnyal7kQ9KIXNIspO/CLrtqGstQhH4/k
+DFJG/l2tLC2omrsgKoMuRilG1HJW8MWzNKPtxXCy3GXGZE6vOiDGbxYTJPWwHx9YL1hAZ3SopvT
CA0acgFWW2JGzadQkcr6VAmMrfS5/V52/GflUqif31+5VvSTn6Pm+XeaaH75x8IFHwqkBJw+SEw6
VSxL0F+aaOUPwFDoiJnssTgt7rAfC5fxBx0zREXWz99qiq4N//u/FFI1LEVchhEIrEFL/aOFa9l6
f26FC6oCl7LK6kfMFdom8ezUoKWiaMZ+PZ/m9qEyfbv7cYf8yypx+Qs/r2BqIn9VNAGME8vMuqie
bf4QbfRyLBXp1IwCGp6VlhLmq5Hnt3nzBVx+/4u/yJs+uM7ZEYvMxxLokoaVDYiCVO8H4+v7Fzif
nP7tnZzVkwFWJJmhnnSSR8Pu1TsDJwo0P0sgQqT38Pg5Tf9YdpsuumwL35aiFxbVgLTR4qrNQVGB
FCDbVgtgFKEBUq+6+GbIQhIOsw8+isUJ/e5nvhTubzYjJRJ88gaXz0LxWG7xED10Pe4bST0N8JgJ
drej6ZshYPbj/5p69EGFBaPs7y+AmD5NF/n62RLPKqzcZKTYi8Z0wm3KpEGy6nSfwENDfFRC33Ys
cGDw0U1zV4+NrXXDtZQOOiteAeVJFGbmVBXK1ZIx4KoNFoVFi7MqzT7JmbIbfLFBWSnE0t2oZPFa
SSzkPr7JEDqOvRrRQon4G3D0SmonFNHTOpxPvR55WUBJR5ZLp8/rerQuM/kSQOrKB6YNAiVobiFm
HRTCLmuilntwjfIA0p6BmsHYcYpLNyFdsmTgo2NKmauaD1FyOqDkhph5y5yl+tQgAJsE0CdDjv5D
vYrjQzxm6x46412mpXapMPUqrNtW1V1C53F2MznVokCFq1mZrmhisCmS9LGlqZ9lc21bDNyXINcP
DqRnNfnfHnz17HEZIquJ27GZT+Ja2fjbed8+KGvw3ycmbPt2w6TQM13LQajHAXKXUZiPj8I2WbVr
ca0folX8waB1eXjeWybOjq9qmnZGttyyRbJFsIbereYouSIw9f2n+Hd35tvl6GzBM6NsTkMU3Sch
t9Pb8Wu1RDg7eDapR96/0pnc8vvK9/YhOC8Jef+1YkXyKcRRcgmKvhuB3xHUTVnhBCfoH+9f8Ne1
/M/rQSBYGKBUyedRf8wDRsNIFfk0wNnK5y+98EH356wV87oASm8ucPbZ4ZugGgtk+dT07uLPHQQH
i8UH7+Kji5ytstZo6TO5dPLJ6i/matfqt7L++f0P6ndb0tv3cbY8TuzVNZHp8mkZlo8pHlr92oqP
Fi3y1wv9u6ujQ8Rsvim+tf97+cvPRTnVURC2/+fXfzbf/x28FO5T+/TLP0iWxhxw1b3U0/VLw/T7
hwx5+S//X3/4J+XylrTo//6vp6/kW+JZauvouZWpZs4TwPha3i+PdsVTRZ7t73/1r+JIJPaHzh7h
XKYqvTrd/yqOpD+WcRMHOmpYFXDHz+LI/EPBXSYjxoatrL3azH4WR6op/fnHFgXPPyF6fOen/lyU
WCQXxQdJsJqoKgtS7GwbIyo2G0d1qk+TQBZXSbagxLaU52YMozDMT5HKUhga4ZF5+JqDgnZVgcDh
oCVeK756ndTdSyGi0BjHkDCQ/iI0pBWz1z2qY0foiQ/Ipb2ZS+4sAwnr1RESmLKnvYrIpcuORK6t
/MDYN6GwKibhSo/DO2PKHzTgD6ZfgZFAFM30n4CrbYKAJhSExSupbDUzvCfxwhFU8WpK0mNHaA2p
IMfR6PFm6SMWiJmDDwqAKLjTEPoKvCMvrYcvVtQefNzAba18VgL4IG27y3191SrWRa9WRz8Mj1aB
yXhWnSAsjx2YdqUgvGeUH5hbb0JCN6xpsoWkOMVSfKQq8/oO8lYzu6HYP1pRcxmG3SEYJqfH+q1C
vyd25FjLmFqtbw05Kl4GEp8gk243W+aTT0R5pKsPcdxvhcZye625DoMZv2eMZmO29bK+mZoJruAY
nQLN2CQGeTaxfqc12WaemuvMbL/k8ngUzPxI/tm+17MNife7rJ42XQXoMii/GXF5pIghXsDaKoF6
bYSIP4EFbFqDrqaaDghKDMGWJpwqfvKkFOq1VepOGKGgZds6dUK7D2SEQUG/rckVJ0HiOrbGrST6
96gpMf0pnp5Hkl2RxOAvmR+hL1bOYkqJzHQg7aUilmbqfLeI9CejxyNYVuPaLDUiBsYSlxIG8WwY
v+RU8QG8LPgwXjNZAziWxqzjDRlz4bYtADCe1HkeCY8iJENZE8wLdVHC7dePzZYYA3FdVF26HCav
k6Itd7mOgrWpiHhAPKscwP33bj9JIBJHQF7AYmRwWXN8LUsyuXQilVobbOIcihq4VvLuI2l2cnme
HSnv0OuURuW1phg7nYEGgiQljfiU6SZSp8qFvYQYVtGT1dyRzU0ZBWUgaO7MuhW9RKdgi1P5KjIn
MMkxdgAfUr8g3wqy/1yYigsm7zTL2kqtk2PVJIObIDNSU/8FJOUBz/CDgLErPtQdYmf+W3gCZYeu
XQ+8KCuu5CK7HzpEbmXftKDWiG/BUITAuVS/BGRT2WKdE2HdVJ3bqNYReAL5HGP8FT00uSNqlzl9
Dwwykc2XoLQ+55N8p2n6C68f938hNs40KamrlCjasS6XrpYjIoJgS2ezlDZlWruKGZ36MNtBmLxX
x+lbZ4i72DJ3ahEiXhXIkQnC+2gmSSJLqyM4mGqV9XAK5E7QD0Xqw48PET0CDPXksFfcTsXEQPrl
p4EsPrepsq9CYcIQHYclxyTIV3Eybn0hXcciTi5r7kFngBQlA+IUicYXjNNfRrWv7XrMuG8NfaPo
+KaMMIW7CklIrojzKTFmV4q89gv5U0taC3IjzJ4NPNkA5VmnR5+mAO6eJajPkY9CT4fbYXXtF6Gr
3UYmx2/0RcLS/AclgCw6QZWd5Q4tFXkhSocgWm3rzp7r8jbEJ+mKMYHbxGmB3PH9TwpYBwyzvsH9
payAEENMtAYe0SiZGNjyWNaDSYKEonzLRKB1vR8sgD5K8iSij59VW4J5dF5bvyvN5jRmOPKnuUO8
pGyHUAQZ1t/norhrB5OgKcGy7EiYMDGK4z4JxZshaC+0PLyVJkO0yW1z8zrubVMdFFcfhX0ExpUk
xuSuDlUc7Dg73dQo0+4mDJN8VQ9NEDpC4WOGBA3oCAQub9UWC3zaq3YuongmRwylbF5GKAezYjV2
MrDHCSRTAyVIGtMrptV/Hsr+3cXI+qU4PmUvza/Fx//XtQj12/u1yL6Lmv91+hI15e+aNfz6j3oE
hxj2K0igliyalrk0K97UIwoZp1QelkgU/WIe+9GsIaPQ4ndMfmCCm7D4rR/1iPoH4YX8GpXKn2Cy
H6XZny0Nqrp/2Ur5tcBfyhGCC/kfVebv4QA9O1DUsqI1dLmDE+kmdiNfROpHkjZyI349hyFqMxWT
P0SsNk2r157U29ZBJhWiVaboFIgf28LmslYj6S/1ysjGw6gA5SCmfGrW3L+k6wglRnCpNbUbmYzB
AiqWpR+M2rCwgAR+dehqwaycrFP06qDrgjiiRiWa0BVLCet6M4heUQ4iVocwyzziS8T1SIt7XRPJ
5A3okdY8X+x0xcAhXy+hsfT6ZUxy6boEVO12RVCvI4jGxLDUBb6MPCNC4iav5/BbRsd6pXwPQDEh
ueCTeQ1GsVL+5Umliok+VDNRuWlfk1TYb6urFnRFHVWMgnDbIEkNPymldBGOIVKflBUoseDr9NUa
q/5+6HQcDK1w7ML+XkuU28pqbmpirYK8v9e1LKetUhVQkNV9VateoFZ74sO2EjnSpM1hwwlG/WJA
FE6NiSAvKABo0vQX2TNmbCfYfR/LOCZaLTVIJSyqEyadeMM+v+9GJpZ6Ml2EpWKgwMNvYaYSRJUi
RY5ueROGdRtkOdREVcEjN47aGsjTfFFN5UXvC+sxSzatEAXrLNVqN1JmkN4l4PbogDSVhpFCHCHF
3Xqe661fR9ehVrGP5FruBqhm65neVtBI27wZa68OcdrU7UWogN4QJlF/nvqE/bBGoirK+mosuVVH
KfJUZg4UHrmb9f52LKvDgPzOlmI2pQSoGhahPraDWLvR1Kmw8WKQO5fj9sh9C56Sr8I7m9pDpfeC
A0NhS0TWtC5S8UXVu68SkWFrFKzZhWKROW2HiRZdlbmZ4XRWI434LEy4hiTsLHh4axDez4kQbmdd
OOKmuWuBsaWhr9smoEs/MZ1OYXydmVd9DksyhutU+x7ySSfTQbgTdLc2h1Z2K4UPXsuNTSP2D9LC
4iyRzIOi/swk51CIrWJH9bijw3o580d7CY82BM5ZlYAwCU9yA/deGLeFOu8VX9hYxv3ofy7MeUfa
lrnS4sCrDe2uAgq8bNY91UzXmi3wgATD4nQZ+LHkKHKCcimxHmGCPiqgNEgRlvaWmgdIkU9VuMFO
GjrhDGtGm6uVEQq3uD3uVPScY0BDQguDS7UH6wBYipFBTxoj7RfOZKk999J9KYS3ppndCSVq83xY
LbWybIy7yhJ24yjCtIr1XRVb61RP2VqNxsUqAWGgU9trdYh3vL9FLvqZ3R5bgkLjlyTRcCUrZXwE
Q59skPzLj8VgGp8as4ALPk6Tf5ctDrPRNzA9jakEhcrH/Ra1oVt996SBdyGPHbaqjIdgWLxrfalF
x06d4Wakr+a27tXoFrya3qrF/2YuTrh58cSFmn4vUJ14PXY5PyzBDi8Oula1Gm5mDAn94q/DlRQ4
gaxdt6KIWaHChRf0+PEkjHnkm91ki1MvHoqSAg/3XoKNT8fNxzfvVp0wu8bi9DM52Rz8xf03zuz0
iV58UYM4hpg74RHELDio2q24uAebeErWAYbCeHEWTovFsC2+dFgOY6yHZixjAsGMCAz2UcGciEeF
QV2MX6v9ZtTDKdXoYga4DWzYto9y3K1CjI4cGe3u1fkogSL0B6LR2yYH7AO2ocEoOU2RQ3KhF1fy
14wMWc4cEHny/rEHzqUtSvY56j43rboqMWFWyUDsg/EgYc7UOg6hi1sTFdPNmE77HBtnW0HjEIb4
IQinbYTRsx/HQ4/xM1gcoGKqX7dYQjWsoSMW0SJWHRPL6IB1VBrIzzKI4+1VTjcj9lK+DS/Hbjov
vlMLAyqtUgBkiye1xZyKShnQ5OJXjfFQSouDtVm8rEFu3MJb3rWKTgJCJD6yE3Bio50oQOKmIGw3
RRw8aItHFhjBRsM0y3IDS2okU5N3n4XGnjDXTY3NVmq1R6vsSb8unNJMTgp2XJAGdrP4czM5eRJM
wdWGaNORMmpXnf8kYulVCdKIFo8v452dium3Wdy/sdrsYuzAtaZ/9rEH95zw1ba/8cmGBVczr5rF
SZxF4aWItdhfPMYTZmNRjelzYz+2sCFX2JGR20FcwqDcL05lc/EsYygDPCeT7xl91v3iQlzczfLi
c84zUcIKrA6XkHfQeC9+6ARjdC6G+E1F8yQunukhr6oF9A8Rf3FUQ7d7jhaPdbW4rYdS535ZHNgT
HCdbWVzZ4+LPll+t2sMkH1AH+9/e1Gd/lj1vJzlnHcAln0ldDFhUIdCyJP2sFSwlmpRluS8c4/gO
WnlifVG19f/sEkul9WZAMnEX60nHJcSKDEpO8OVpjD/olp51Gf98G/oibCbhRTv388tyNxEnEAUn
EWeXaTBhI1jvFsfq+29lkRD97FEtalsLZwDG/iXQaNE//PpWgiKeFCPpEXjBFKk4dzaESwrVXade
Dj05lw0HH+27tP0/RwmFT/f9o8ThCXj0b5qa/OKPQ8SSCGRKtA3pGJqiujg5/zpEgByWoe5phgUN
/JVA8eMQYfyBHEXGA7oMzTROET8PEcYyJmaIxn30b5n4YmIz4VwYwDDkc6EK/qyuyvRpOInFZR2o
Hk6+f3ZHMibgEELPVOMdwplQz9rrcPsSpTMw1TdqzMJ+L4gni7xUdSP53JKQlrw3X8Jv1gv5XHH+
tyvy2b19nGUoRRGrVEcoId4Sc1po/VNTyJldBEWDi7Ywd32rlTiDNN9u9JUeA9KsfOyXXpu17IFB
rn8eGWBvdQXqzFSR4i01hWIrZrjXCliippw4ZS1+7YXkmzUKn0hRviwkWcXRpMaw/PFQ53gVQUyE
MJtYQe0MDABh0Pq6mdJopeF5WAUcktb+NGLlGyMCf2sKMyjGpHHKEdhe0ym76NqkUYxXorCNqN8L
lc+3FEd25psL76Z11Qn3JdZgn2giqgJlUxTSZR+yUeDoy0VoWkkcXBQWrnpFuKuhPNp9/rmflcvR
CDc9eS6e1DbrqAWOWZq7MNJGO9SLYcVhriENajrgAZtvjBYtEfIhxDM3BcDEjc7YNib6d1ORp95e
za9z3C6rx+KUMp5sOU4egaQi/gH94HLmq2DlmHsd3jRx0HvgV9sxgT1t+Zhhk+M06w9SSnbRIkwh
8VVZ1XL0rGri1xTGpzdo6mEs1Z0vK26flPvWHzxS7beTEl2Kc+XkPvvsOO2Hadx3Zl247ZyJTqAN
F00vPlQEUakqgLMsn++0lBGrn03JMeryyzxpCeEBoTwnO7FIDHsEfMARBJJqNZrk8vSJCDUi9ZrY
uIOwDf5KEIOVnJVkWXRDC8JQBotLDsU+nQqssaZ8kWZ0CoeTGprXTVfjRYUCTlg0VhFydf00uuxy
4Wboc3zBfC3FQjmMLJhE7VcjhCQk6fGVTPav1WUdNg2JzO5lODxdtV3Bco6cQR/U9VD3KxEkdMuW
nEmiWxTFzZyrl5lfVc4wwshq06S/HqfwWvelbU2Ohlman9Qkd3AB17dY9xhDRvW3XOm5myz4jBAF
ZgbfpFdyROpfxCG4yEnUrlSJ/FbDIoU91h1FiTjoD2QCBJdh1B9ULSZGJ1uPoualmAW70b9omoLa
BrTD3C4B2Uf2LFeGzcRCcTVBRgP9RvNYUf1VZSn3at2QfEygZJUAjcu1dNokAwFWdZoTMotAXpmE
XdLMtwinQnLtWhqyxU3cQ5qN2dE6n/FpZ8pPVhc/xYZ5KKoUkkdM1NfQ1BN26SEDy92bm9dl5j+b
nkoP6N1ND76Sk/6ersSv/rXtSX/QNJPQUy7SWg6bv2x7oI1U2Pga6CV50UD93PbQdOqLnkl9ZWRT
vvzonen0zui0wWTiPmFe+4+C8NSzcfzSPRORWolQszWNqy0v4u0mYUiBlKa1VpxkEwCGvCD8pGHp
OcN2tuUxkPBDJ6sU4l+e5egr6bU8ZtAAORavTGBiBZRAA8lerAmnWQAgy2iHgGij2KcLWpBH636C
NWhapeiaDedpU2i9Hh7h9zztFuP7K6awiI2rMSDJwq7nuBSBFelEDJsa3TBpFI8kqPUAzNR+Hfoh
SSUai1IutiHxetBS4rrE5T+5kklytV9woha1YtPpQ+YKPpEVDBCJUwdjq0OSdcOxHd2+F+96qXWN
ePIGGTNua6kYmUU64lqtPeu8T6fM+LuVRV4z3NjXMQIqoTx+tiLGPJNfgPDJOF6mE22TXPW3acnK
wHDUK3JBXIs43i80TRj2fgTd3+8zTJ51fBdVAO2FtMUrB8eoAFerLazdYYbWpne3tNpgiCTV3dLS
LCsJaJ4y7NWR9B+l8pf2f965uYDfe1AZl1k1n2lSdYeyjIkKnIp0BR5mTZTBjvDT+yzuGeIv6qYB
Xc0MdcBQiG6bkuhrz2wryOfjLGc9sylVgRlbf0pbCI1dsSSVlfsuNEmxE2WEGUnnCDMj1iJBG9UU
HMHKNlbcVNa3catfJf6Ef3poBleeA69SM3M1CMVzJRPrzYiMqBfI2ZWwLsSMhLjoRFlyoSgcc9HA
X1Q994zfNZdVpLe2STi4I9Jw8NQFJEXXpom7dVUpB0MLGcJaheBUfVyQU4CfvRTWdSygIymaw0y2
BN8eLZPO1K85Sh1o2hZePeH9UTMVk3tCtqlSzJGdqi2Ck0QkT3Wgj4XKaSRdbtXH+SFQ/c9T1U+r
VDDXAa1lV2vFe7UifEKpgEGQ8jtVrQ7VILgKaCxJ4zLjHBnAWV9rfYA32jd8ho2+DSqmm8y/923X
nCJAA8JVURjp/DKNabIxmDFZSXkP4rsCmU6w3DK1yyFt7OLWeiwS8brV6q9mOTk1idnlHKyox9yy
GXZWK6xqUb4o0vAYFcVujJtjXqSXfQ6fCPxCx37cDVvd177Rz+uoxAZFXUcdZnW4y/18I+vzIaio
bCQwMqtgqXYGRee66pq53HpY6iHQUXC0lctae2yWeinrrLucnRrQzUUt1xRfrcbUSLGDcr7sZpnR
JkOmSeuuWOwYRLWuTIQcTQbMTz4Fm9K0e1TsdH9p2BWUdIZkOP4U3MwlJCd9qfrCpf6TazLl1MzI
11YgUQAtdaJCwQj4I9hUSw0pL9VksdSVQsedk5fMZvOl6swoP03KUEPNvxWUpdlSn6oUqjNZIpqU
LHBpalhtqWbF2jdsZtxfTITUe7I/D4Shs0yI4mVWAHolNkk6AWt+Uciq9MR5eOkagBWZPl5DqAdm
lvef6fasKlX8NEXGwUyrFRwMmDxUzHRxGhVEdPCQo11mLMsebk7M40hNL+tLK0ovRACq81LGaJV/
jAkYciM92RSEXe4MQbszmXtzZVBKlnoriZoMX6kA+A1nBJZqPHqVIB9GHoNLo7CuKUg3Y6pGQFex
9htEoctljKOkUGRbM1qobVBW26RRHSuqnsKKtKt2gjlA3rOHPvxbYD1HpXHdtMp1wmfCPiA5cpCn
VE/mZdbKKzEU+BZ7wBZMH2vMegOhIn28Diu6RlGccrJoSVjkz5kmuUCaFuxSLTiG8DCRbUf9hSpI
uccXOm00ACVjjik+KxHvF5Hkdma+IRWeHjPtmO1Y/F/2zqu5jSTLwn+lY9+LUd487EYsPL0TJVEv
FRBJlfe+fv1+SZBqGkjdvWDEYiMa8zAzpJhAJTKvPfccBJ4kUNrIc9E9AuJufYP9NTjEHE+8ntai
p/cLyS+u1cBdAosqAV2YDYpmVAkdr7qDegndM2goSsMCEF8UzF/RAwUvcN0Y/YkuV+FU0oplg7Kl
EeVnFCzjw1zpzr26v5KHbA610UDNxzrOCmeFGmQHidnQLLpGfYgcet+VZV1SFAvno+C5/TeeIvUF
KwRe6i/jKWRj3lcRxF++CKcM5ggMoOFEQHT+XoVTmgJ1NG9mM/ApxIP/DKdI80RRCP1paghiZO9F
OEUQpNoYG5no6J/hxkHCvao7PYZTwNapBxLTAYR6qyvsuBJ0Kbadn6dgRRbohpaQEcbqLO7TL0Gp
2XO6hgrFqBImt8iioWDUh4Wh/GhxjJMsSbqjDq0kpESgu6rlZuVl3hz2EAj8SvLuLIVxRTDQh1b4
vXNLKKhRKSKThbs1rtt0btHzYZ55cC6gk7wxSniKi04bOObjCdO8N8A6sqkcfHFD7RNuOD23BCNz
JriZG8HSLNOUOkogbnZ1VCMix7nEG/cTOvEPUGY3C0/lMqTcCqo8x2HeDwu5T+dS1V8RqCCAykWi
JXjWcrPo7S0NcdVa7lxilde+uITlkJ1W4lp6tbaMZMdHNq26G8TVRQmlnVviOmvcazQNr3VnWPji
wjt6OanKMjhssQWK4lukdh1TtULCYWQ07dF29GiCCGvSQzUzi0vm/KGNch8tjrA9lrBCcQCLdIJh
QuD0yBGWKsRkjZiuUNiwQFgzTNKyE/atEJZOEjZPEdavGbVFgznUhF2EOgiiN9E8wGQC8bnKqnsV
Q2qxXCMsayBsrK9Uax+W7Gkl7K+OIQ6FRabTo4DCgTdcWOtB2G0TA25jyGkgZxdFopwWwsbLwtoH
wu5TBlOXo6p+0oVPiFpnZuMk0FR3joiFwHfhP0wciSw8Cmq/CxcXU2X1RYfLqWM0BnBBmfBFihF8
cYR3SoWfcoXHcnBdIy5sKIavgIIWhAjfdOHjEq29IpghGcf98c49YhrxQys8Yyp8ZKEMUIjiNV3c
pyP8aKuV3xXhWSFOVYHEUEDypcSaFxZDRvMhrQpcKfx3FJzAjuRnXitZR7koR/WPlSnrsUql5eDR
acYT/NjdUWtoyCdaizLvV2KoZzC0bqa55a2jQ8MMlyX1pJy3AHYEvGlVdkxdNwZbbHvuUkr88UbL
M2Wiq4D/tNy6tgvzuFaGh9gvohl19avY9b1jc2znY4IooQ9UzgkZ4jZpZUJhdR+OuQOOzLoHSOxR
+4JQ3GidCnrs6hJ2Rra4PHWp6szoOuVHmUVQC0USstE0uDMgga5nwzjfD/xFj1I1hB7DIlTcH3Hu
XsAy2Mz0pJbBQTVI+zZgrt0xPi7UVJ6PslmsvAZiTHgxLTc96kKVoSwYT0MERCamWdcnvi7BEctY
w4Msu9GnTNZzuENtulxK7NPJ+Nc7bbwTvY7feKfgodxKo8xf/fRMMmq5DGOi2mA8wW9/1reVA/Js
kLnwtzDvI2oAz57JOWAG07YoATBppL0CyTgH1LWpSVvUQOljkJm/AcX8DiQDXfNbz0Q3BLCphWOC
T5mxpteJ/qj5ia9mgXwOWodQLhlBqijfMu8eac4RXd5JiSpnIOQ5g85RT7qcn5eqdW6i4dkU+YI2
8VWMtic6r4AOJNSdI/9rWhrLAuunpfZp7pB9VdatYuqMSaIXOqIbWht0rAm/YGP1mpu8Tz8x44JI
gyPH06Ig/5aD/NZFidREkdRAUSVBoXT0sTgolqq6BE4GDVPfIHYUoqbRGKwqKvWTEL1TxbNWnRBA
hQ5NlHFvIZ6/GVFIdVBKhaI6mURop0pdCl998xl2UehuUVctHWkxorYaONQ5ebJl7qDS2zkInwe1
OdFcG0Yx1FprwJ5IJtk0UPWlhZ5rWbX2ZEDhtejUnvR3sA5HIf/aufpxKMc0NDtpZXYB/gIKJeYz
wWLo8NQ8qsiaV13eXA0obt/E6MzGQnDWLOwjz5e/yIlxbIvpx1zuT70oN8CAwtdsoFtbt1I47VGy
1VG0RfIvYzbJOBqUe2Ag3zyUbwdKJPAdovMy2h3syjAAxqTKMXq5mhDOpQ138zgL28mI6koUG2sh
szt0rYm3H1ZhNSxhkpvnKPI2FXvmeYj0dhvB3gi8UHlW97Xiz10rzJa1QaoIHCIYgGzkcn2Y2ZRc
asuh9qLWdPGLTC4hjX2U6aoeJbvitugoERhqPTMfRb36R4GvRM3giYx1UgByiGmuO5D1F3gH9MFS
IRRG4UadaTpyUPRt+V8dsIaxuoP+mCQmKn6IIAxyFZJxIUJmCTkyz4CbdMyHY0uzziRftae1mrMG
U76Z5H+Ne/02tZE3a/v2Gk+BfJiQPtML4z5EC00d+oexplTaopLmmSifaYgowC9GfQVYWSkk1UIh
rqYb7UX/KLfmRCvdL2/tyKgXaDXEcwNttqEm58l14EZI7dxTCRdiKl3PyamdWSrk3WQh9BZ70pl3
G7ezFAW4FFitjiicgTicSsWDeO3YTNNlmOWXrRbS10dOLteZPzYRmAOXM0ELkhhLNr+4QrHS4Cc2
zHreWFwGiNQNulSddNVtahiAwAcpO2a8egxmLNULPd+ZRLsCBwLqWfLh0i17RAU6k7K+X1w1Q+Yd
Rr5/PJrpGUjUoz7Nf5jEYGgKt8wqguYv7/71Kxu/QoLwO79SRcGQNVtyHv7up2dRUD6EBJe8hnFR
ZlNf5DzaAbOzoCs33kMkNk+eRafdKsNrKZvw15kOo/A/cx6UFB1RbgYyqcuiKG39E8+iPHIB/dlr
J+fRScRwYYLr3+SjkHi9LCFDuwz0pjSzi76UrUXa6h0aZzrsFXq38i3QzO2ANHYjd/geEsVjOU6U
dGIGVnQYY/a+BolbnZLXkVhrWnEdNqa+go+/OusiN7/Pa0GTHmOe/NgaCM8VEDo5nSWyJEXqL6oy
qc+LEC5VSTbhsXdVw4ZzVolnY+qmZ5GXO/e25F9RczPOPQW8m+r53XJEjfamtgeDK0hy0qlGc1pX
vsXMSMrIuNVI0UIxhuwzlK20rbRKfYA7O/5qyHG68gyGLtLcrdat5shzX7aR1C6dbmmFXXkM9jG/
7IggY1RQKK55+axFNQVtFSnV27sMHLR+rKTuOMD0nEUNtN91Iz3onhP6Zyh6NAVGvkrLc8vPAT57
Su9f+6FDC7drIIIea+pC3ZmN6h8YSE8nQ0KnDrgYo3stnNozQ/Xi4NiUUpBfyNcO38NWLVAlQqMI
7vP+1uxibQ3fgpGB5jTTBdUTXErDTELdZeNaNAoYNVQDGdZM/ErgKc7SzVvvOycpmMrpOK7dyh8f
zKD/WkrFIvWCI8kiSUkUs512BnIoUt5BZW0rzbCMQI0dM/g6nERZzxAAXMUklEkGIjHovADS11qj
yt4mOZ2A4otuBeSQjnKjRSD1cgkkii937cRgJAKVyMq8tv08Oayl2rnJ5cI8Q1lXnuFNHJmqlZF9
cisZHHcbO98lq5OOtBiegLxPzlHvlWZl3YKKl0hY511cFPWsdwMmXaSsOhxyN0XV0mYkRB7Nbx4i
2LPRscKb3o3gfg318BQ6pPAWDv5s2o0CLhaN2e3Y9NIxhxf0vpV257S83a/2mHQ3aViSCmY9Leyg
zy/8FnHtFFaOeJbqeluBmNKZAoJKoZ5XvVHN6JV3MGAwzLJSW/XBgTQamcYjq++0S8oINjJvmak8
5Fk+LgrROHTyypyA1Df+jfGVjS3+/XReRsq63mKJ+aufllg9gBWFIJoY33oMyf/EsGjIZmuUpcQ0
/+OM3bMl1uwDMgIdawtFN5fnpVSKfcAgHyYd+44NlTGd/yDGZ6bvVYz/OOsKMSXmGP4EzUYx5bUl
pruBWIIcyueAyICUGjYNFk0zm7sybOatzsWTEzdaMQefglpwPrt160/ckiEegBjf6yS+tgBn0bBR
Z01dy/Sagu9oHBxWbXGCjBkCCKhoUtoA/2e2NaxjyrfO6r1lpXbVcVIUh0XLPRiDc62WDhPfOWV8
Y6KUFZ1pF5LddhjBb1T2Kg2onWKpLNRd687Mppk0XjDu5ApW+ysG4hmJsySioJRJPUmBrl76JPn0
ddw2ZP45CMB1msdx+DUOhm+dx1BMaIRXVQkJa1lUU5DPx4lcUCYb0+WQZeqpnOvnPu2Viawg+g3k
pU2bY7ty73OnOw4YpVUHM7rUeyZyvNQFhV3D/61Kt+TVcyI4ZU3dCvm5yJ6NVfk5UOV7zwJU1uVa
MaWGftNb0n0jdLKz2FlFkX06xJ4/V3gGV45OgzFfVyEE/60bBXNE82BoVwvw54ZL7cqHWh44Mfbn
HBjSN0Cn5B2WetLbxbLWIybOwP1NWsTH7coD8GicRyr9TKMbV02nQFs5Op9D01k0nXHatf5Srm3G
1+zwEqgjWrxpf2JXI8GgDeetm38NfEOb4hCI1Z3oc1HhUqOo/mqM3XFnMr1fV8mPzC5PVUXzTvyI
UplPkJ7WJlIaDRTPtbqqXGLPqvA+qXF5KOdU222rdo46s8nnkNTcp5517bnDErncfk4z5WjI1Efg
zUOv5yKqBGlUf+FnqzSjJqi3Nu0cFVCrH9YXaRXGJ06ffDJPMiWKJ47FDBXV3BnquP7MaqofpIir
0CqXZlv4UxgQvAX/8FRpinmeNclEjtp2AsfYtdKWy9CIbvVBoZUEf0xuG8cAWJxpnUF9naYJZBP+
sGBybqHX0A+OUNwMYsoRIKZNrlmS08YQ+yeCanfQlqqXHUeGjhoe+JTIKS/1qDsKfWiC/RIaL/TN
gaIc19R0wfQH1nDXeFn5xYcNEsIdh4EGM0utKzWH0s+b2GUiXcokzVdQkRPCK33AQKm8AISPULPq
/oi8/sE1HBk2/3iayoV1ZKX958osv9cRIUKeZZeWh+yLH10q1F2BpBtTDbB73sP8o1ntLIjlcmHD
xAwHvc7DMc1gUZfS+nCV1b0+910iNSe2xmnYViSfQTKrmWLVzGHdm0D5+/6b7dpz2Rlu+KLByobS
4RBIJ2nhL/1IOkxpz5qRMvXCeOZI7ipEwCiyEQHuAWUN+nik5fUXpShBlzPdokKZ3Sa4MS3AnQYF
HahIBSttLTvwTkme8IV8rstwOfTNAizStEUPDcoObxKlFqoW1cwPnK9JCN93Vfqg2x0mhIuASZzE
ZGAuooVUyGeIRN9V4IJkVOOG3mJ+VndmjCCewlV+2JVEGomK3K/adXy3yPhIEJNU5V1TtucUMmdV
qH+SAw8M91CejBFDJjqlBz3iFsqMKRQoJS+USL42GvcBERJOZ0ssAvUR063tioJEP5UKwF5acuHK
tHR9EO5hQE3eDlCD1pvTzkqPe4lBvSRCStyzEQBAttq0V1SJKY7LS8dqLgKz/SKr+aFLn8uEMGQe
hTH2r08lVAKyKw1liWkwlue6TCLvhSsxFZgH7Zlrjp8KUSJQ60tXbY7KogVWT+2lJz8fR3VhmuVc
k5RD5KvbWYV4MVZYWzhGfUxUt7CJTqcOlcMil79DtYt8jdp80xjGnRIea4fAoS8UMRHqeZfKaJ84
9tBOx1EKFubYHclmNLUyCrII5VDGkQIxNWw0CD/3F1osLaJ4uFAd+wdywoCwc2ZgCXxKW1oEAXxZ
nVSfD3V+UVv2TR+gFpQYjPn2ieHM+1CNv0bosaMl1f4Iq4bZI/lz3KRUFbIT3wHjBcz7ig70TAXI
ZXhonjRKfub30OqF402kqIyktNFnLPC8So3LUnJRxZKdW8ksv/RFfwzfTD6pmsSiPEzNQPGPVaYx
/Z58AfCXXgtIhD4cugVlYRBfBdp66A9Hn9tY6qggS6mykMa6m9q9PY/l4FA14KnKu2Sc9Zl/r7da
MxvarEeFRlk743iulEDsCRe8mQdVfQ/ghRng4odVtxEsXvBTBhbmEkDkjIbGlyxUL7JEvQKz1k3a
TEccorqj3Eh/SLSKh/PK7A9HFftVItwDciy96Qfpc95nn+KAUkSXarM8BolgA29tI4QfESIBJJeD
3mjC5rKsw2Bu0MxY6UKF0gSo0k8TRWv9v2DGVF9jv0kULZPhEgacGAskW7RE8+wFvhyiM0UfIOc6
V66TyVdj0V4UUzrqU2f96ao6Zdxhnk3rVXBiLNH1WmUL/8hgsPrUX/5bbNgEuBSWf1NsIGR7KLcE
uPzVzwCXUgOlAjFjINgEBdnTiyK2Q8QJm66Q41FF7PlnERvhYOoJdD6fkNg/26v2gUVRAL4jmLwE
ndc/CnCJY18FuOIEEXarDHnqNLw4Sm9OUKumal1IznBOQaRaQCafziv6+RHUsXA/UEQNe4Nc0pAI
Ht00P+265prq6tKwI3CYJU2TwJeNkz7tCwaYVQBclX5EkUSexoNWLVSlhoEUPZpV3xb5paqD/0Jf
DXUKlFvRA8++OiMoUMmQ71JwH/QFx8skYJLG7RgzlFBAmWgeMw123E7TrJWBxljRNMg66tm2B6aE
hhgq3OplpEnxYZuARk0AW8ulb6wkq+8nhuZWhwolCBtGitSYBnl0pSv2QxcV18w+o5rMJHspm9Jh
2Ev9kefERC21k5/LDTGsql45eO2JSzgEBr+b6Sqj+wJr4XbOqUwjlcH1eNJ77aUcjZ+TJr+hVH4c
+NU3YLDLME/4sGOnTiG+ONENUbQhphxz+350kB4bhqiY2mp7PFhZNgVoXUylBoJSHx1mB0aCiCoJ
eXq2cDG0llScghf8Ggb0pi0td6eBn5Tzzhi+j4F6RoWc/wPjQuB7MQVRrbAvKs2mZI6EPS7G5/2Y
+GmnBShmW2GkMs+WTNktZKosqlwfN8ITl+PDaFN7Maz2OO2NcsqUrU1mDRYtbaocFBFiSKUNCZXj
Eax0qv4lR2S3kTQPPG8+b3sVmoDhwUUhBXhIPVVdbz0M6Y/G8rKZFTHcWesjfXy5jgH4QIxVDubE
Mgt5Bdru0i/HtV1UkJrVDMYxampOS71iOtNERFutP4dhdtnICaSVZo74cQzgp4DpLYF6WEuXjWJC
ZOl9YdTWmdRJdeyVdTxrpYTBPJPjalc0SRHrAqM4jPLKilPsYwLVfSakH4LC+Qz54UWUgB4rKvPY
7WwK6gVSFRTp1/IwMrvUZmur10r4iKRgVknuuHJrIt+ujpAp8nQgXGrDdK0y5rNehwYMkfhry7U4
U7SpV4hvndYuaJwmjRyoREaJ1E/IpOj6MZ7v0lT82xQe6knaJ/acGbaTxFRXpm3D2uI5531aVbNY
UiEK85VD2aNkgYwYAL0ONgNULc6zXjoss5pJnC66wxN9CRPtez6gSqk3/Qz1mAeMFCQohGPQGpy1
nSHPIUdjLqBK2xNnqC60XLsPRVW8yv2VRqWrC52zXk2vgzQOCSHG2xiqAagfDY9AOAwXuUc5snYR
YswK0OV+PCGefAhH5sYG1V2ODSUYQNjmpNJFcOcF15nvgcD0gngu5dGXtMu+wDnKdFSrr0s5/Jaa
ZByopNfE424uAFenTWZ/DkvpGFW/I4bRZNosxtz08yM3MyAByRoQEQq6Ho50WxcDJcPsJCuTeNIh
KjHxPetrPaK6E3mas2pzy5lVCVR4HVCSCQhD/VyNMkbsCmMM7v91i49u0fhtb/czJE7Ntuau+LNn
v6jYB6YmuqYQszITLTgpn/0i5Aig/hlCMiDh3cw1PftF/QA5dJWCjO481nf+LMFr2oGq6KppwdbE
DJPAMf2Dwo/weq8K8CjYChAQLWaFhFB/g+HuZQhUyzJtzsYhwmCinIURCuxkUxj8JdEC41Xv38iA
kkpnco8eMg7jdQCngDEqzFDPz+TGcG5QmJXMaWLFw7gCkYX51eq00Q+ZBR2vAf7BdWsqkBTZlneb
ZyGsht7gHCuWqPRapdFf+IN2pQ1Zm83MwbOq4zYKK+1b2xemDaiiaFtgEpirFoVoEk0phsItZk4q
yPNMnWdd3AB1kRj5ngSVm36FA8WZi5KXPKvSOyPWuzNLz+NzvZFzdONyEpBF5vbaNKbHLcVCfdcK
ukw7l1sFVd42Ds/LmgHmJEchyXcuNEV+MJDyTQtvQVH5k4WRSDttaQjNX1XmKegeEsa7CyeZG31y
6A4w+mhRgqlFNTgeih++7V8xEnSmoCrcaO11LCSxOkDgt1ZEvVzoqZxKVl6CHTbMozhwSEoT8Eij
ClWdJGk/9LAC3eJCzZLWBazkLaTGQSyhU9wJTkbnrEqBXI+q3c48eHKWdWrdDIr0FfmiYoZmF9WV
uvZU+txMYHEsXNoAtP/nti6WANepRGZ5U+q11s9MO/WvKgA588bC4Tq93H/VKbCxiwzOIlAKgY0u
lcMsBFdVmDVTUhLEVi9C0m1Ta+9gChCD0LWC0UPncnCsXx+xYigLz2Ny7QzF+3VXTpRrpq4m5KRk
BunKZe5/5s1pCM3LORT6R/pCm4M8nv4l3x43+sWdAiuI7I4FY6BpMEdHiCVymRe5itEzKgSRUXbm
qt7REPv9NEL0lKxOR/XRipx50bpiOssECO3a8qlnle6RwndkRkUyHSzEIFyZaQd1/Fb3mbOoVMYI
6jpfuPb4zTKQgwxdetvu2H8p4twC9VwMU6sCUt8jQEdkCWWm4ffzQXOWMBox8g7tkA4X7Wg4q1FT
JoOqLlGEhD4LjXcojin1Jekq7PVZpgGXg2Ft3nXeiQo0iwoKuLiWWkSShEw6tMVZ1zvasvBEMUXz
bjwiXkVLTpvelild5Us54qBZToFqoRxe//4rfm1EHlGYjgnzLfbS1EzNeWNEnJFGVJ645ZncQlOK
IWDspJTTqRT4cyMDPaEXf6WRuV304MV7vvk2pZ4eXxt51VnhabeGC6cCpTlqudZKTxpGpVxCdZNg
3wKKYMSwYRl6OpyMqMYyr2KcZIH9VQ7ovQGG++FGzP4DKlYz81J2xzvDK74lHbKEBRTlm5T5/8F0
1dNH3EqV+BN4JH57kaFo/SmbvyVb/Fv/6NnpbV/oH3EvCijuq+T38YM9sj/+dp14DUtkcw+7I40a
HDK+WqSVcUbbcvNzieQWmBbtG/zVy5hq+6d+zzX5qy36wKcXH3nnp8fqOqDQYGMRLyzi601Q0RrQ
aXwp/Ib3enFC/ncP+Hc26rdfHZEbBJ+H9//5H5sGn0y/a+dNoMKhErRZ1Cx4gWV4vQnyAc1cKLt1
TMj//Sa8rOYYhvO2/vN3rgAP+OcNsA5UgxF9B0zJ44vj/urxCXZhayfMZFDw8bUPm8B39PYkqBSO
djwJ1gEjmNQobfWXW0EtzCLmlvd4KwQRxgdsBYmNzQiFtnlSPPqrUyHI/C1YNgTy5//+Tmw5DuIa
73gcyPIoi+IaxI7yemcdIebl6sBisbcuYvc7gYN0QCqDYt6+CZgHomaGbISY0V6eBCEKsONJYAAb
fmUVWZ3NJnC/Xt0GagUYR5M61976ybcFkb/jJ9i4F47CYaodL8hR2FhH8dtXEZOAH9q0m0WNYC9P
wjtSm3++CY8uwoK0Bs8rXtvsIo0SIsp9tQlCxnXH6wC6CcwRGlRPIQMx2OuTwPADw+Nwkm82afOO
+xc8KrtfCvMA+nUcof50Ht5ZBqInfoeL4KTs5aUQvEc7nwcgcpQHbfbz9UGQcQ6Pkyebk7Kvd0Le
RPabsujPFO+fJJI66aIoX6kinxKvd4ZBx3zqGgHTxh3t323QNid0h01AkQmBObDhtGofX1sMA9RR
1MadjQ/Z2/Ow+1bQBWfsy1Cf4mcRkr+7Go6woY/SQIyR7al5EKRlO5oHdLpQJCSIhDJavN4FDrgL
GVIcTYw57KeN3H0TTFARCpVl5SmLfnseRBwNpTWT7vsaPQnhkR1PAhmVIO+DtuvtbaDQBMMlh2Rf
raNgUdrt6ZnBgdRQ0ekBvn16JD2FbCb59sZ57Ok1EAOmu+2BxgkwZY0H1Te24J2HkA/4JeNLAtnO
a1/NorL5YLs4SxWyfJWeF3Hy4+vtVigGe8XgDQQXj7/f263gg+94KowDJIdEoWXzpOJbf+UsMY6i
UA0GbV+j6Cervct54Bk5C5QWf+UmVSSiDIVBk72oQ2Oo35Vgdw6j6ceg9qkCR/zFpXgUERXtGntv
HcXOm4Cj0Km3CemN7ZZBpSMhhosAV+6rp/iIAJqRC5PD8NSWeWseOQlAX0ydkv2ebsJTyr+LTdBh
kVBVDWzGJjAgDn1tGLkvBM70KTe7tLc+4iMCaLp0xIfWU/nxrY/gUsgmzcpHPkv80f4l2IJoc0dH
SYItZhEN+SmtfHseuBSGBnLFEs2KvdyEpybqLpeCM2+QOAsg3XNg9OpSsAkA4ggg96Nhu81R7n4d
YAEQ1QPoAX5hGSxGUDUZ2M2+2oSnrtkuJ8E5oNJOrc16ihbe2QQwl0CANIQz9/Q6POW7u2wCJWj0
P4kVft3AZ8jKprCwCdT3zzA+lUR32QQLJVToAckbt18HvIOYZMFPbhLPvb0UOydTVKJ1R3boOZib
rXhXbZAPKNHSz1X29Ty8Q2//8z4d1XaqCChA/wLZREYJtBu9XXlfHaW6e7FFOEqIC57vxLuehNgE
2MYccs49NY9iGm3HkMkE4bcB3f8imVIOUBqBeX1voSxPRY9dzCNftImkCuzyv9wEIfAs8Ll7ehIE
ed2OJ8E5cNBjoSXzVIInJngdN0KSRFoNWey+luC1jdva5SRoB4ysQFvyVGl7X2rDk4KEpF+9rzbB
2PkkUGChqIogFROsm9fbkwC6TWMq1hRhFa99jRa0TRFsl/NgM8oEwovZ0M1OvLsUIpwQ/6E+u9db
sXPgpIHyMsgsKTL84lSwFbIq08LZWyO5e8xAK4q4iWH9p+SabX1lJBXwwtRfwf/sq6PYPbc2CB5V
E3+IXPHTmX+1B6L+iv0E+Lm3m7B73PRYXrUMWlTvTwBShCgiP9+TfT0IOxfiwbNA6A6xFjHyr/wE
UBemMJ+QhfuXWus7O0tNP+AZRUnxF86SLMJEK1tMiD5v0n5WHnd3lqYovyo6kgGbJ317NUTlkYSK
Usy+eognWOouEQMBIg0HupS/KrUoB6LaRDKxr2G0vnOsQAQJ4B0ryHT444uz9dpFQBto40nxI3tq
Hp++nR1OgsA8Qm/OIz6D3N5vAqIYCGAK5dr9tAkbB77DJoBoAZYAQc1zLvHOJlBfEP2K/U2txcD1
bqm1gDaBzaAx9WQY32URYBdo2uMi9jWVeiqO73ISaM7ZxMZ80xubwKO+tgkyNgHRW1vMKu/ldTB2
D5lES0YBtERRcbthZGgKBIuN8fz7m/A34qqfs8dTH+3tx9Hk4KF6hHBvhk7/8h88j+a+X+AF0OVx
4vLVv/w05A+btTdwGPH//2t9j5LOLKjqMrir1cde9IvfPvemH9/p6e+fHvH9m796s+fnev7hCpWK
dXnnD4+/GJ4+6Nk6Ybb5v2P+6379FqYjGmbPPxPv/Z//8frDvrAFv189D9KH54VeDOQScP75qP/b
xZP1fVY+L/Rica7UzotPBCna8zov1saF77z2dB2vW76S6nmtF+tz3ndfP4ub6t1XSlGXxP8DFk/r
EoXTrKq3vQXR3M5vMXuI/zjLyq37j+3Zef15/McsKzk8z2u92H980s7rL8qHKt22OF5/58WX8UOa
Pq/z4oN/xHVdNcn3LL6v3y8vgM07f/TDJH8og3X8vNSfn14AZXdfPh22bLoY7Nx56eOHcsuei9bo
7ksHqbfFEIips53XPllHW2yYQKF+wNJV9bBtTz7igp5k1R//nXoP8cO2nfmIK3q6vscAP+/Di4P4
EVf0dF0G27bmI66oWDvPtll3QW2w89d6+pDeZ3fBNuslkDgfsH5593D/vNCf+y7AHbsvnvHZn9d5
sfZHXNNTVAC2LP0Rt5Sl4V99GLYs/xE39WydbznoouKw84afPbTr97GjAYPvByx+Xq4xAc8Lvfg6
P+KKXsTru22ct6JWv/O2XMRNsi24E93pnRe/Cggdq+B+y86Ixu/O61+v70pSgrTectxFJ/ED3iD9
Y/KQBlvf4COu6vVavEGZrsv7rYZM+4hLK95kFjx423bpI26tWH/BDbgLqrtt7/ER11e8x1G2Lppt
3koM+n7Id33SBNUf59+DKt/2HB9xmcVznK7rh23rf8R9Zv16/cdkXX5fb4sZRPfkI3aK95jG29/h
Yy62eIrpr5WUH0mzdkj2r/311pxQFNJ335/fKW3u/MmD38qt7bx8Fq+3RQ8CIbD7xvxOnmjnT16v
ER6M1031/En/9MNi5nv3T/877vldP/2nB3+9TblJYIN2/uSfiPEhmXte6c99EYXy3VdvsARbXLxA
gn/A4hSIkm11OVHf3nn53xMn7/ql3mbxFjsvSB53/uC3zfctkbIod//F0tvKsj9ni94Xa5/5Dbf9
2etatPgXd/HDuvyv/wEAAP//</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00000000-126B-46F4-94CE-ED50A6E2AF6D}">
          <cx:tx>
            <cx:txData>
              <cx:f>_xlchart.v5.14</cx:f>
              <cx:v>Qty</cx:v>
            </cx:txData>
          </cx:tx>
          <cx:dataId val="0"/>
          <cx:layoutPr>
            <cx:geography cultureLanguage="en-US" cultureRegion="IN" attribution="Powered by Bing">
              <cx:geoCache provider="{E9337A44-BEBE-4D9F-B70C-5C5E7DAFC167}">
                <cx:binary>7H1pb9vI0u5fCfL50sNe2X1w5gWmqdW74+xfCMVWuLO5b7/+lrxkLErOoYERLl7dowQzSahqF/mw
a++qf9+1/7qL1qv8XRtHSfGvu/bP915Zpv/644/izlvHq+Ik9u9yXeif5cmdjv/QP3/6d+s/7vNV
4yfuH9hE9I87b5WX6/b9//wbVnPX+lzfrUpfJzfVOu8+rIsqKovfXNt76d3qPvaTiV+UuX9Xoj/f
26vI/6nzxF+9376G/3yvqrJcv7N1lZTd+3frpPTL7mOXrv98v7UKfv/uj+EP22HsXQS8l9U9EBN5
whAm1GRUPnzE+3eRTtynywbC6IQxyhH84fnHXq5ioBzN0AM7q/v7fF0UcFsP/x+Sb90DPIi//tMD
uNs8iM2TdwGEP99/Svxyff/utlyV6+L9O7/QD08q72y9uctPtw+P5Y9t7P7n34N/gAc1+JcX8A6f
6n+6tI3gf0D3QiflOl93BwCYn3CLWxYxLfPhQ3YB5oxTTji8O4/v1SPAb+FpP8Y7K4yAeYfmyJD+
K4Ldc786ANDWiTCpwIKTx51sDYHGJ9jC1Bri/AaO9sM8XGAEykOSIwP5Y6WjKk4OIa+tEymwpJTK
x+0MUnlbXpsnRGCEBIaN/nI7v4Wn/TjvrDAC6B2aI0P6ryj1D4KzOOGSMI5e08tInljwYcyi2ziP
52g/ygP6ERgPKI4M4dtV8k6t82SV3/uJPoDcpifIFAQJQvYraGSdwIY3pSW3gX47Y/sBf2WdEcC/
QnlkL8Bf8epe5wcAXpwQ0MYmFrCDhzLcsjCWxHwU8gPLezxD+wEf0I8AekBxZABvXuPzyi/eXf3w
i/QQW5ydYIE5klS8qrQ5N01wsvbs8Teyth/z1+5xBPivkR7ZWwDO96pe56viIDsdSY4Rtp58MPC0
hhueC1OCH863ZfybmNqP/O4SIzDfJTo2tMFALw7hhckTvAESDLfHrb4DNT4xQd1zSdkA6tEcvYLz
Nv0YkLcpjgzhWx2tDmKviRPMEBWbkMrDZ8cDA4SpFMwcbubxHO1HeEA/AuEBxZEhbEPQLN/s4aI8
xE4WJyYSUhJivRIZxSeIUMEsBDHTl572W/naj/beVUZgvpfuyJCfrKN3lxoC8v+8rqboxGIUzO8N
9pvPThiNgoSnBMJog3jpm5jaj/nuEiMA3yU6MrSn0buJzsEJ++fRJuLEwpIz/BQzlWB/Dy0z2P4g
7hnY5/AZuGJvYm0/5rtLjMB8l+jIMJ9Btugg2pufWARxxhB63N5DwDdxNcHgFxrYZ+M52o/zgH4E
yAOKI0N4Hq2T5AA7GhKa2GRIYnCltrcy6GspkEXYQHCP5mQ/sNvkI3DdJjgyWBdV/ENH9+U/jyw1
YWdyROkushBC5YiYkPx63NTb9thbWNoP8c4KI1DeoTkyoJdxus79VfTPA03wiSWxYJSgB51rDlPW
iJ0wEOEMQfR0j1J+C2f78d5ZYQTeOzRHhvft6i6H1HVSHsYMYxbkuyA++riBd4xudELl5hdUquxB
/G287cd8zxojUN9DdWS4L5PuEIhzqFbAoKmtp7qjHTtMgLaWnAsx8K7H8rMf5S3qEfhuff/IkL31
1/lD/KT652vKuAlVCOJxs+7Ib2yewEVTcAiS7dvNo/naj/HgvkagPKA4MpzPIHt9AC3NToj1UDj4
qIQ3rvGWvQ2e1CaAhggGaf4yPjaWn/3oblGPwHbr+8eGLNSnHiJfxU8ANKgVo+xVJ5nDNagJHUI7
lqFXsN0iHwPuFsGRoXsNNWQHSUfKE0m4BUGvpxjIjrVlnkCqWjIoQNreueM52o/vgH4EwAOKI0P4
fBUeIIQNNd0QoEaWCQUkD589OUiJGOLCGqSbx/KzH90t6hHYbn3/yJD9pqNDWM1QFWiBxQzl+gNl
C2X6cMFCEAfZ3rJjGdkP6Rb1CEi3vn9kkJ6vimJ9AEMK4loUyjyFxI+7dZ+5zOEyFXygbcdztB/d
Af0IfAcUx4awLt79lbjraH0Io4qemAxjIp6NquFJGwSFBZRASSBI7s1nsJHP38bcK4jvWWQM7HvI
jgz762h1tz5MlaeA0l3IID4V7A+DmSC5IQgCoU78y9Z+6SyN52s/4gP6EWAPKI4M54vVPRT5HcAd
5idQ4ge5Jeup8GvoDkPQw+QQ4aRoUOM5nqP9CA/oRyA8oDgyhL9VPw6BrzxBoKYhsfhaDScclASD
WsBJuoEFNpKf/ehu3c0IbLe+f2TIXqxy/wAGGIEzVRZlsHGfqkCGmhnjEwYHNLglB7Ho0Qztx3ab
fAS42wRHiG6qD1KUa52A3AXJLJ5M7KFshlCl5NQSGHzmh8/2Dt489rGcvY701gojwd6iOTK8L1fp
IeQ0WNESQpcQm3x0p3bsLTgGC86UCS/DNspj+dmP8Bb1CHS3vn9kyF6sk3t9d5jTchs1DFvUsp7g
HW5lTKA80+KEbAo3XxrSb2JqP8a7S4wAepfo6NDO76D3gv2Pt6awTojJJYc04aNQ3lHLEDgRYI8h
a29RwMV6LF+vob1FPwrqLYpjw1nDpv7nYYaCazjLDskGxB9h3qnbM08YxXAOGg0M64uxDL2C7xb5
GHi3CI4O3YOU224OyzAo23vawjvV9GB5YSwgQmIOvWI9jp/XsH1BPQraF98/MmQv1/XqIA1HADqO
LUHMp4jHjqUFkS048wo7d5BmGs/RfnQH9CPwHVAcGcJX+Qqi1v+8aCYECjEhcin4K82hoDWBYHBK
nQ+D1eM52o/wgH4EwgOKI0P4gw9Hkwv//jAgS2EyQp7KeHbreMAOg4PLUOsxENFvYmo/zrtLjIB6
l+jI0H7sqwEtzQ6RQobCSwYHWCFU/WhuDQsvIR9BTWxCof1Aar+Nq/1471ljBOB7qI4Q8Ym/dg8B
OFTTIwhuQkX9oGYApDfiREDnmadXYdth3jz10Ty9Dvf2EiPR3iY6QrBnoLLv/OJOPz/zf6KXowUH
ZEzTgpLpV7Y2PqHQzZIJMpDkG6h/cTTGjngd7t1lRkK+S3iEsJ/qVVYdKocBm5xiAPjhs8cYxxIq
OqXcX3MNb8AbmHsd/+EiI9Efkh0h9hfQm/QQ8v0huWFZUKz5uOt3qjkh4I0FRE3poKJks+tHM/U6
4ttLjMR7m+j40IaOFGqV/1gdpNSAbsT4Jh35+hlmLgWhCNrMPHyelcxjY1fA/W3svYr9nmXG4b+H
8CjfATs6zBsALhkUikF972uhcXQCVgCC2MuggvsR+9Fs/Q757UVG475Ndpyo51U/xop6Y6tuqDCy
KKLmc6B8aM9DmQI0EwQLcBhvewJ9JFe/xfzlGuMhf0l1bIh7q4O0H4KqYGjtCu4Zea3eCEOjX+gc
Co0FB+J9NEevIL1NPwblbYpjQ9gvQr/T1T+/oze9hgi4Y/i5ZfdOLAafcGgCzKBwcIDxG3h6BeXh
CmNwHtIcG9KQc4oPU5NCieRQlvK0l3ecs4cYDadQpTTAeTRHr6C8TT8G422KY0O4XCV+Ea2qQxT4
WyecmtBehr927AryYeamxN8alBHC2Io3cPUK0rtrjEF7l+p/AeK/Z3HrtjdzN/563lN7YmxvHZcC
vbhhGgoHz+sxzDIsP4J8Nkewz6FWeJ/rBX1Vf014eSxO2sfTfoRf0m7d4+Mt/v6h/K+biHK7mXdz
iPMYUEBGMIZmvE8A7VjR6IRvGnzuZK3Hc7QfvwH9Hgi3/glm/gwojgzhj2tvdQhtC5YzNAbicNjq
lfAI+EnQaRnyW+gxVjoIi43naz/OA/otUPePNhpQHBvOULQPw6oOYD5DQzDoUwBh76cw157I56bQ
F8JgQ4jHs/QKxoMFxoA8IDk2lCsIdR2iPAF6URBzs1Nf17hYboJdbOAjfRzN0SsYb9OPgXib4sgQ
/gwGS3WgePamGxAxX+u0vCkSlHBCkpsDw/kNLO3HeLjACJCHJP8vUH59St2vWX+TVbmaPkwJfDGo
7vdXHx4RzDYckD5V0e8xVH8doFje//ke6vEJMxnEm38NINwstFWDv2kP8GyMb9OsIYr25/vHcYOw
1TenJKF3EN3s6Wb9dGmTvYbWnuZmaIoFf3z/LoEe0B4MMRQnEsxyYTGoZUAwyhAUQaGrp0sEOkNy
QYSEE/ZQivprhOO1jjpXJ7+eydPf3yVVfK39pCz+fA/D1N6/Sx+/t+EX7g8y7BxcOGhWZ2EBbQrh
+t3qw6YNDTyC/1PmTZBEOGiv0tIxVCrKieXkH0sce3aAu3LSo0R/9GsUXeEyjm+LyskXhomqRdU7
yEZVq1ypnVJllFwSqGufllHc2p0VrEnPa7uEwpwzL6t/yKpJP+pOF9Mwi9pr6bqpHceJZcvK0R9p
UV/kZmWpMpGT2vf0VexmmWqaxP2AXCuZV9D8ZerWDpoUCH2KexQtoohU80CSecqqJenERzer8llL
AzzhdepfRX4b25TL74bJm4VsxOekx/6njDb6wsNdMit7WdlGmLQ2gkdw5SPhzFqzlItMa3blNpir
MpbxokktOYlcIhdp0pfKda2vukgbRdMgUvDwz6usm4fS+NZAk15V6sqWmgU289JTs6LT0HLNKXbr
0zA3zmotPsPTvNDaSZVZ6lJpXsUqCb3vrKarlstW6UZ/cbPwS86SaJp6bqMc178taREpEhlckQRZ
NnfdRdjX2cLg8Zq4XqTahJ/yHPuq7JNKSRYEs9Jg7sxzGlMlrP8GQAe25OmtNpxLGnU/RO8viBOl
cCfk3umKa6NI6vNQiFzlZW9Os0Zckl5Gqnf6S6YB0jJtJ1nXXIcx+YFJ/qVvwjvDSXOlPe80jNor
3jieslJUKuSahTIavNycMLajqi0mjSuvmBCljWO64AU/120sptoijmLI+5a6/Q3MiTsLMstTRtsb
qk5CqeD9aG0uslBckc4MyA8Tc9YtrbIIp5bnnhkO7WM7R7k7iVheKM9ia6MIZ34lqEJGN+O9kylH
BuzCrKPTOvBzZbEkUDhG58RigYrqOlCOibyJy4Q/71g4FRkSqjB6/CFnrLZrkSc2dcO7DKdUdZ7f
Tf24q6Y6kDPTDAPFwx4esl84S6MrMttlIbIb2OC2CW8qcdMPUZK08GbTZStkodIwNj8mnlMoh9IF
0kmrchY0ypI8nmCnsXtqJop0zrrr8MI3BFuGjH3MS+c7TpLStkJiQwb9khYsWjaUcRU3lamsiC8N
kdMrq+y0akVe2iny+azN6W0dam07JTs3/Sa1ZdJJ2zTYaR5V/inq9FlGI7TMtA8oldKOyNcCOVdG
486a3mpntPHnZZb7oS3jfF50YarczpuILPrhRWwmdApbHbZJmlotPNj4e+oVp63VpMvQsMQk8hG6
8pqUTJzK8D4EfuaeJlSEqhLOZZ0ZWgWST3EnexUlNbzndZwoJ21vOlQ0qsvS8DTreqEqjJ2FmZV0
KgpN553ryIlpZMUyzZIz1zOtaedW5LTgbn+aBciYU52ZU52lN9yQ+awPu1PDdL+mRkyuceC3Nki/
cGn4VNpemJ4apLHd1nWmPEi/ZVbg/iySeCI92MY3VhCs+6AvsUokKXP1ckDrlmS+02mX+673NF/3
11//56OO4ffDxNa//3Eznvfvv83XepPyLoZf2ujPX9/6e+rrRl/9GgE70IKPM35fUZG/vfgm/bkp
0ntdfz4WOe9q0A3VswaFqj5I/IO9DGFGCjW7oAufNSh0GNmcYYe2m9B5EcJYkG541qAEOn5ZHPqe
E7CkNwWBf2tQAnkmDokoDstCSgr07vNT2MIJDIc9GhQmZAw0qEXgA6UqoOUhFooEuGYvNWjGUec3
lulc5BJ5U9JHoQS9KJ0zo83Ms8Qq6lAZZld9p4F36jvdN+Gi3k6t4I7UDE2MhjXWgntRXE8zYgZL
M83SaRv4gWtj7unPbl7zzob4XeGqxOtSZQQ+xwo2U76ikeOvy8p08hlOmDdhRa3tpNWTxGmDmVf5
QQYKucCwoXNaz7IcttlpZxlSybBThVNJqUI/5aEKWJurNs9/GsJtFQtjVzHfqZWH5b0jUKd4F4FU
JiDwotp1VdG5nfJy9zSq0FXa67OCmRd939wg0p97tVw4xDinOloi11u2vtPbjOegSZDBYP5JXU1w
Qb3zlPK5mRrXQZ0FH1JHnJWpF4BuE4ntygKdJ4XObWw04bTjQaDy1AgmVlZdtWVxZYStUI1LTdVR
NO21bqaeC015VcRLI7V90uU/Q1Le+pF5C9XBMbPrqEyujSzsLwgNZ3GWztyUe1+1X9tWKWyncOKL
mkauItr7aRVuYOPUcqdYg+CR1UR2JL41OGtmqchKZWU9nuR5PE8yuN004qrFZauc3uITjBLvqnYb
Z+GnQaUIK2Zla+gPvGFK8sYuzC5XRFaJSjGyfd+4QD2Z1Rz5qqtS+qmQaGJ5oa/yLhIzM3J9FaWx
3VZ9rvrUSr8xpwINhgzpg9rBbmEXXR7MX2zFPa82WLrp36ahgN7EUHkJsQghN4Elwc3tFzswvcYM
ZRFcYtNLZyRq8Mrr4Dk1XZh4/5V/j/7D5hjY6/LvoXP+rvh7ODv2twMBszogumdBt2gY4gKS8Vn8
QdxPQvsl+A19PDD0Lv1b/EnoRrwZ2gQtXKD4nVC49OxAyM08XVgL/oOgdhamJ79F/PGh+IOKnI0L
semOK6C/5mYY80vxl3SFhdtKyCsc5x2IEdSn85xoN7khRuLhKfPiwvkuCc5vSOSAjRrXfmL3tTzn
gTzPExnaaRz+CDN92mWRqnHpzjpKtadSEoEFn5N+mbQkm1a1vAlF8zNyYt+2crGSFZ4bFrbdwgfD
LZubbjoXCblsU2Nh+NEPlrdgJQX63A2amxD7YKWV+cTN+QIOhyzMIEgVyRvbl9pQftDNoVXKJe7N
iY/NSjUei2aV2S06VOcqMdCPIEaqzWq2zIX1NaXWss+buzRpL4TMIzZ14N6+yTyYlA6I05Tpdd6J
SRgFJtg2ZadCU2dXvWHM2sBMbFyjRVbqszqMarspzUCFxMinaWwlS+hEDHebGOak0P2XGFwj0aNY
NUGBVR7SfIp9ojyK5wGp3FkeEtcG49eaBg1aiTA/C4uwnmTUyhXS1be4db5XQXDrJfqq7SxfGbHD
ZnGBUzsxk2XjW5aSftGCMInZxGxorXQs9Dz1ajKpjDi2IVh5ngbdTczCZeFmLuiE4L6La6FMkVCV
a+eziChSxO1WCa4alSP0s8TGKaqrZVN25wHYjWCAl4GqCysBV6xqznWOgklHDUO1vDzvw2gdG0nz
FfA8K9n3PuYX1C9AYkfXURacmty5bYqgtPMmDIoJzELJvHMDJ1U/TfwQ1FEaRdrjCpWhzC5bl1nL
qBDUsFntzX1waFoFDqW8wJbhnVqhrufYC/USnktqTqnpp3PPEfLWCUEj2lGH2kRluueLmnV0nuaM
RhPwYNw5GMrgaVlJjs+tKKq+CM3FwuhD8+t/zcGHcIoJSuR1cfg4eHmPPASqX+YgzEOhMI8Q5szC
UU28aS74Sx5CRyoLjueCKQiZEsiW/C0PIaCyMdPgWBg4mFBpClLqWR7C1FowH2HytIRuOSBn0Zvk
IQN5/EJrQkBFYHB0gEEI4FKMhvLQza0mCIiIrgyUfXP9slF9Ff1AHVtGCJyagPd2kVdTi8XKrK1Z
T9xz2WWXjQCLy2nibBn7Wawq17Bzq8Izl5kzU5Pbxq/xVFgQXKjd7twsnQk3dKp8VH72BezlCEXn
HssiuzbyRRQWq5i3rqoQvXcwbCTweFzwStuzVtT3YYUyW4RmNzEJmfKuZgp1ST81KyOa5DFrJ1hU
4GSC0WPTzuR2qZNulujuGneMTbAbnVUtI6pzy6+kLdtJkXT32uSn0NsgnWRtAs5hXYSw5YhiXl+p
xJLXvURfaqd3VSBAGnie0ajIKuGvPPDt3k2ximPXUZazJG456yztqCwrfIWb9nPvuRellZylTnrm
wT0p3YETH2P8ofHDCZij8TRM8IWD8Eeni8pZDY2IFUS8alUWdQnetiEUpWQRk863HZF+ESw3bG6C
s+iCiMh897bEQfrdzJrPXU+bs1IUVykpi3mEmkgFWf69deuln4TzOG24ohXTijbgY1fEwQpkx4Xn
4s8kK4iq/ObK4JRPw7DqJ5j17rSXvlBuLo25oasPxPDuWeToeROC4K7C8EzzVdmuUtnNaMpXRUf0
vMrNOQz8dKd52sT6M3gWyW1kRmm49t3+vmm9Dz0xy6lVpdpSYe4JsQKBeunA+700y8RctCXWVzh3
5BWNneK0k45NZTVNGosvyrwLlOmZvu1R2V2SoAe14Ou4mUfM+tIkzcTyY++CtHqd9TWoSu3KTOVc
eP1/zb4nsw/MpNflnP0wqHSPnAOqZzm3aYALR1vA34TO5QSMvBdyDqqrYNIA2OYwUwaMQhBmz26v
BF+ZwiVoI8LAAtwU5vwt5zZSCVrcS1iUWyAd32D34Y3E3JZzcIQWgeUJZulmOOim+dBLu69tHDc0
uEOvQnBIumXPNcQEa4+UzhXmNonjCyMw8EI4VmQblXfbUZeqkNN0AjaCqZDDfdVEWTitZEknBYvN
hQnKfSJakttVrVeo6127Yv6qz4p2EhOvmOQFP4tAkduZE1wHmfycuk4JRlNBVS0Kfyq63lz4khcT
EHEOeFphrRoDHGsvL6OJx8uzKkmlQpb/pUb8xifJnEdxbut2ktT93M9AWtdmbKow0De923zWXC8L
CLIpP9LcxqXh2jIrHOXn/UoG+Q3nmQlzkyBSLCN8jc0yuqhor2ciZAnE8SI98YvsJ3HcVRWARI0N
a1p266bFbNKxbFobBIKWcXLRYvolTdxUFaJJFxSiTmD3QpguTJGniAbx1YOVaaO6PSO9H0xx3q8h
dDardH2GZDNHEKKDSeDzghTTPNcTHCCIvYO4sPOarEuJ7bBxeiVNhXtynnT9ooeoA2gZJ4d4aWnX
sf9RVFEyiaJ0EYfutNXBx0gak7JMbtLcPPOMyga727VzFt/UAGkVU29qtn6ezEsDiZng6Sli8Y+k
8CLbt5xzEyz8ZGPqQ4wCrH5Q5fkNas3U+R7kkYunxYOPYPRll85jlHTKNcGM6vpAasXr8A4zMmu9
vFE+ru5k4c1g7qFrNwIu+1Wzzigq7KBopYrrdlF23iVNHDE1mrabZaX3szF4Dqqm+8ZN+bHs2xtU
o+8kh5C87r/5dSBtzgoytVx67+P2tDHd7nvkZaHyy9SyKUlsUee1Yma2CFh+48hoAT6HcV5Z2cfO
h9tKoyqDXIC4ctrCt0E0/qSgGyuvDCF6wuW05J256K2fKNB0ulHTdRl5kzileBIJfBm6kLlghn+a
O/28TREDxVvntqG9OzfMegiYd/1MNEFqB507x0bxzW/0QsO2sRMB4WLRgYNkFf20dEHdIh4u24Y6
tsiN684xvualecpTgiYBDj4xx3OnAqZ5Q8SnU7CbQb+DkWCFkEYo9WnCIMbqxaldZYIpj4c/C6+8
SmO6qgvnnEc9OCddcAm96M5S4tWKa3mWNJGlMCG1HVBL5Z7vqaCsm3nWxo4qPYIUljDOOBTfektP
44gtIXz1jYQkve0NDoEkT7QqwuwTGOS3LTaUKZuvmUf9ZerJZd9mZ44r0jNHF19568yRsCDywpce
EVeGLG48k69T2l/Gcb4INbybPe/6SYqSalJj90Nd6zn4Wwu38ud54Mlp2MpEwe7h34u6WIL/Un1w
RO0pP4lmcduc8U0y4b8m/IMJj0DSv67aNvOFdhXbhuZZscGwM2hNCMXDUB0MI6c3uc1nAx7iuRbE
UaGnNAR7kSlBHT4rNggCQ9MObPFNuBXSqXDpWbEx0IYw/QEaIsKMtbcHNDZhrb/DXlCaDi0TyYYH
yOFDYJcAfy8VG/GiFLm1VV7GIfdmWkf+pNUxFf1Nh+u+Bptbek7Pp9SrTS+ZhnXYTBkqMZpqAmnF
Bkxmn0RnmfCz7ipoYN4yU6JqWA5WdsuzSsUs8giI7CSOEJilkQ/vs+EENZ4YjtTJ9z7nFb22qkrm
ycQy05qetYw1BeQpjSwoVlZf5n2vSu5YhWm3bV5DRgnVXj4PilReeJnpLd025yprGvopg9RMKPxI
ZZUOmaJhEE9Q1tRncESgm2HhJ5dWFFYfQIQ0P8yEsXRZB577o6Z5O4sKMz73eainEdXOZWAwOquN
wFtAwCoOlWhIdwPVo86yqHRzESZWc4mCupzkTvpTN6LwICaK85XwwQWJSoor23MYXnosKD/iJott
eILsTvSRnNde1Jy74BA4uvfnkUHJB9Gb0bQlbqaiymzpRCAIU7CyNJbQ+6O7zM08mIVVUIDZjFLQ
nUWMGgXZ8x8AU7nIHBMkF0ohlCqlh7+TPu2vvb4PEhXiCv8IQa+fVVnhLjuIKXyFGC2ZICi0vAYT
wZ30Iq6uqiq8g0eaLDMIkd6iwjcjOzBNcQHpMKmYpb3LDrTlxO2Yf8n8ophLGeXToJfiss98toiz
BFKuHZgYHkRH7ihvo3PWOMXnKtbVrJBBYheGjy8IQVGvuAdpS7DUQZ63Gb9BINlmfsaKa+KTdAJh
fn0G6fT6rCjCU6eL+2knDDHLWNf+bKgXLUQau6ethmyWYoFlXPgON09jKB/Xtu6iSJVlxc+zTiTz
1K3QnDbwFrUsh6B1j6VzGuUG/1xJ44s2PXyODZFeAfvOzAhjelFoTGdlnptXXe+1pxGopqXrJ/VU
G2VwQYu0++DlopnURZNNO79qIVvfO7MiKwp38v+jZH0pJBmkj34nVF9WSj9WWT8UbzxQ/RKrMDN0
04vfhDneDBwDWPBZrGI4XwtlJlDnAVF86H8EGaonsUrhhB3adDMzHyMmm+jys1jd9AiGBSG4K+DM
Fsy9eou/gDZZsJdSlW2SCDChBeS3CS7N5hjnS6la9kSnWVW1l0lD5LSGMoFUaRJYoR1aTQ3pWdad
Bi0k/KeQTy+/lZrWn2CHtpkqZJJ9efH0rh9/7Muyl81UpyE3FNJ1FowYMSkcVxrk7GjSpaH0qvoS
Zwm6dMM+cVRlae7ZbV1qqeqGVt+sOjUgAxOLEhyOIA9BNPWFRW1o/pbcy7I0r2ANDzJZUYQ+9cwQ
aN5x5qxRZ6B29nuOMei3HY45dOOWWDILBsMOkjHUtzzAtisvSctcd8LbPvpUgylHZqXVaabqroWA
Khje4CpYvIM8UmiSOZiUHZrktS7vvbYoINVkpGxSlL6G0EjsmbWycgbmvqsD7zqs5GlcSPCz4NSP
/Fx42VkYNayd+oXBL/zcq+P57+9qFwYYFGBCtAyGz0PnloebflF8ZHWG2xhpVFwmpSM/axdsVFBQ
GF6NNKna66bN5W3qoOjr73/sdmKLmRaCbqtge4A/DB2y8VDDM7N1aVq4yWUCgfVLFHrVZVLkti8c
7/PvfxJsny3UNj9JQvMhC2adQPBrmBtOE9r1We7pS5GadJU1Oo/mTik6rMIU3KesinqbmJ3QdkBY
E/+nl2ZoysBd4s1QSkrgiAdIh8FrDnEF33OT2L+0spCt4qBiqzDa8MD6uJjyXGvVmQD9HBzxBqss
1Na6jGSxbGRHz1tOctMmTaBDOwBr5RO4T5hMPNF169SoU6i86GPLZlLTfMEIh0Df75/eZkL54PFB
A3oQG4RDan0zJwiuv3g/TF4xMEgcyI5WTrzy8xJS4MgIS8g6kK5L3NPG88MfrpDpedtn3oxr2vo2
RrX1s7T6XtsdZIRtqoN67efEuq9Z6lmnv2eS7kR8N9EZeIk2NdvQlIJZEJF+ySXPhW/mXkkuApql
DnhXpfTApytbImdlXVV2DoUAN3XcsQrinp4FtUrJvMB5Oo9oCp55lMUf0ojFLdTvNO6XJoj1sitK
iFuyLP3Ei1BMnCxx7EoHAcTpSgKFQk7wf9k7syZJcWxb/yLaEGJ8PEw+hcfkkZkR+YJFTggEEiCB
QL/+LrK6qrOrTx+79XAfjt1+KLOqinAPnEHae61vbVfi3gyOehgdCzKuJkmbOraCcOAtrD8Goe6e
vbZ+rDdB0Wmhbb3X1biDfQ4FH+fhRDabh7XBn1EFuCZu7zoWxG8VWJczg7h9Z+t1STLjMr+HnrU1
O1m0wYbaYpsTEzi5bdevgxr1bXYdEFum11FZqXE++ZXnvYyMGH6oIgeetmW8+oKiGw11I0bn89xH
PVAh5Z24FMOJjEn3rVmGEM897fmtSao1SpfRr9EdT3MGqWQ4EN9LHkbTr4VvprEkZCVLAb2S1Nli
6njMFo9VRa/olM9D8sAqp3ZhFEl9xFbjGZhdbZjGOupe195lF29KhltAdXCYE+hUpQp7+x6HciqU
u7a2XHhcl866uu+e6swPVQ9DkFlPwxoUtbfU5apbiYfDGCBHyxyXsMFY3mnaHwV+FdqTDx0mXPol
SlvVtk4WVVBcIhmsNvV1V2VUO6I/TCEvan/e3CdDiQ+5aHIhOONO0iXVJlGHlUbrHfAy21VPsxkB
YaZb021i+sYq5nn2TRlnjXqWJhOWcvnV2/pW0ymd9TwP7r3muufrOWlGe1iSWVenfmqaIW29Tt7c
yKGndqN0Ru+fdBVIKxcAomV9HAMhqbAf6o6joENvULvZ1GkwYegvwkge+RYZlm9rl+i7UGmKO8pU
ErhWNmMvLEOHtdXDgkcnrLMxHmLccJSrvhRdM4HRGLF5VcW6NGGGrgdqZrpVrvDBhlSwHBlw0aqE
xtD1hapQFZSBqHubxTbAiik87s9ZzyYHfjFAFPWoGhiVhayb+IczL1Hj5q709KHx4zm+D5yqrs6C
RhqwH+gYNdrtqGBpT6wYahb1RaUWO5bJpERTbl3Yb0cXzcSQBd7WwWteg607TM3YOMAnfe+TMwBA
zcHU8j7HP67zAJfXUTjlQnxqezCjJzoluis40+GznTWlZetIj1yYYXBA04h5TB+qaRnEDZsxPbe1
9Xg5DziCQuqutpBrVptkcbsN5tpD7KkKB4/KlFeEzOeJBkGX1xWt5zyCyIaeNFKoT4Rtqf3ecWR3
8xgH0Od069l4Im7jH+sm4tAwOR9p3simyu1coSF0zDQkj21lWj+jzdjatB9a61zcqvNLMlR1gMOF
r1OQjVl5Yg0xdcETn5l0/72UJE0icPvUdMxW0zhoTNfG+TxBJ9jgq+M58u6JFY1t0njxHfqyASSZ
70PYHcCUklFfg1lgS6pVxPGCpEf/X1YNI+INlK9gAP/6DuqmCWxzIbrWLyB8g/dgraA0AUzCb89i
jWihQtvg4GeCBrejI1dZbCoob8341hmDyqKt2+WmgtB8GSZGj0tkQPpBqXWB9MUV3ifoZLuWYlrI
vV0H6j8pHZAXoh38hgkdFWeabNFaLF7fNscJra05iahWYIedKPko3HG/Odt2VIeoU0w9rpsPXgau
Eq4NMwIHJhUW3Qt2sOQjRBDc3WhZ+YTONlnlSauk8h7bCZ7QsxeLBLCo35r5qle9F59sWx8DaO5r
IU2PPy2ltQsa7F7bg8uj/cPvhw5mej+uoSf3fiDwKeYxwKmC381tlvAFj87Q1bx5ElOER36aURXU
+BnWVE8DWxqJv02ATwfm4nKbaZ2vvcMGlTbuPK4gpCOXFtsyopnHfwN2xSfCArImZK+Tteg/Vh5N
zvHSwPWKWcBxX2x1+G4ExWGsU7s9U7266lKjzG0vchC8vcXYLQ5KuOR+TOrxDUxLOIJxYI13lnGd
zJeKyXrJtykaYahGG6hvD6c1c6Nx+8o7Hjyus4LiN7rbwj+ZsK/Vsa+c/scGfhlrSDNCfEUfENOi
8TamyiHsk0+OW/VlbwYoDJG/962TYc+N1OqS9LwN8sCbPEjeHQD9dAEJ93FqnaUuOk/gMbFORZOT
LyQZv/dYkLdzTHBLFWZfsYs2cHBGVygRBTYZM17INMMXgY6sF+y0dAGtO43t5ylZkhdnQ5l+tome
yDcNM1WlPSERDEfj4a3WnjCb+aYO69OAy2IArSdhaeWy6CuQju7WLmpM40gd/X5dgqM1IS4Od4my
h6ED93sV4erfOdr1ZcFG0S+XejMDy+JA9ewFlYj65iYCywiWTrWknCmj0sQs8YhdYBtvXT2S5pVI
S+NlR/j49mHQ1EnwZqqaChY5vD6DAzdfWO06S9ZFCoJ0AyPqaVUOBO4JOktTNHbGTdp4uqWPK+9s
cN+HADfScVhc8B6E+UgOoLpRhWEDrpqJRVOnk416rB1KdQVZ6TrlSwf5+mBjeJMp99c6yrdqc1VW
DSocP5lgIy8tm3CvYaeDRdTVvXoUiSBYYL0hacu4Z6FJ1/kNLreJScr5En0IPDGa3AS19q9+1cXL
81ipZMLmjju6GBqKq4nGYVvvGqq5vIumgYEhXl0g19UqAS436+rUV0D+g8mBPGHNQDU262u3A0vp
lPC6VCzmLDer65620cdzv4UhrFe/YtH1Z1X695zM428t7m9Jj1+5318x4P8bnvjafJ2kkj/0n4Hi
f3qj/33UsY8a/N9r1Lef411+FWB+M233V/0up8B+xbcJY0GAmuImiN/+IqdQfPEZojKY4Q/xADLx
P+QU8jdYolBfoKhAa/kJp/xdTkGIF+o0GpmfmjdeHvwVOQUzqf/UGsH4hRqA/jIMEBmFLPDPTYe3
//GhG7tHt4vaNPBnSMC++bhEYQ1Q33nA6j2lyjZX3nkIF2zxcdzqoUDDq/Jljb/LubniOwxefC66
TJAxzjeaQEOtbSpjeoy7uQw16umVHA220b53+G6louohbyrQWdgYOJMrKyDRvLOovW56/h61rDAJ
LeCTtulGhuu4+l+hSh3qLWlSqtBIOk0/H9thOk5JclFtXUgvKK3XFg7KsZQEy13oyQ+QhO6Nx1D6
T35zYNZ77ya3BCP+Cs0iKKOqwiY29tthIh0s2SBmqR+qc7DqpYwBiYA+Oya0RQHW3qpFD9lKqSkW
BAoE8QEvx0OJPcI99ji4C4JRXmZjY3NHEAE+LnpIaPfNa9hw2LwAlmDNaeps1cvUyR/dMK+5K4yT
CtVesf7A4609Xohl6DI2IOsSrXJLoy0uuLOdWaBFXpvugwZycoYenM+xfGITG1F0JEDknBppFH1N
xN4yzQdPr08NCqhits6WbmAyXBv/IM5qUvBuTysTfYqvZnxrW/K8qcFJx0pG2dzRPttC+mL75o2L
MTddT9Mm5lFKm+YO4h9SNe4PpcC0tRZSutfMW8GQk4ART5+QPPvEWhx/vYFdtLW0WTj4xzkEYTSg
hEBbNX+XLZISqkM+ZErB5kFh0iTMXLCIjbsqlO+w2KRgr1CmnxE4WTMZDyK1CGkhMcXTUQCC1FsS
5KbF6zqqkxwegn+AEv4gZfwpIBWuu5pTDvU7dfvhjczNnW6bOyzj6D5rEoMh103uewJWNgop+OlU
w3ccDhWV94Ild9DcQf4hxpQCCr13W/k2tmNTjh0HUtVM+eqLLDQ4ULNYnpJuOY7EffQ8AFKQX46c
VJepnk9KDB9mZzlIJa5MyhK6fZLGUNLBmi5J4YdmSsOOuXnsLq8Q+r+rxcucdj2YZtjyVoBjFaF8
gLDzKdiiRzkanfFkucW8K2HMjvZeL9fKQbPhJrBqxAMJxKO3VMcusA/OHCIDtwFRRDeZzjNoCMlA
Elng82GL7dLpmypDfwVAKglxyvGmog+GLA69HqGjOcx7d/nB+MrztadR4Q37o8rVl7UNcyPjH1G7
zicJLynbAwAHIoITI2OQ28rvp9TbKLZbkawHx1nrIlhplcmImTJxoDZCAkrrlemzrHhb9ov/bQ60
X86Mf5N0eR3t/NWCgCuk6vq0puZxm3cPu0EWcNOhLrAcLTRDye9NF4Bk+oK1Z8zbeIiwgY4jSvFe
nwLRt2FJ5yEMPiwuAmkH5k/kMPvbgGcJkm26RuuEJmmuV1LEwvHXdFxg6R3x/TrbkKI/ss092utt
viVuT/TNJJNDQa3N8mIQq2Ovk/W95YHr4ShrTTLwrV0hfe6XTRPU6ejadzC1z6qCw63RP/u+mMvJ
mdZD7ISXIFqbHIakn85d+BVxQZVyjYK1b/1XFOhxxvZEGXFteKYSNzMXiDrh1xFVCOTnofLfWTt5
uY7bPkVh8QOC0ZJRJt3UF9DhXBeRkUlPqIb4et0Gla8N6hY+OFdfTE9ONV9A6H5eGvPDOjQD8tCm
CmxFWg9Blym6ntl2ClzTp+jb3huO3EFTmVR7AfIpmPYCI8jcXA+4mErunHZ765j3wxJAyKoOfvCl
RyvT5I49e9va5n4wFVU9PfMVSw+osXRd87W7dKhZXN65OTqXd1NbePMAd1ZnDbOxsSLFzXgfRtzm
YZDUhes4T8gYeLmJAps36Cmsu10SdHEZzsJwjMQoUiVdfaD+grUdmFCUNFFhEYBIReW8aJ7boP7k
TcrBmWyrnDk7LMQTgz8+Ie/IkyOyiiSzaxfn1ABVMfGKHOk6mCKS5g7RVi+N46VOaxI9NEZc5y5C
pGKoHlD6pqpXwAX0e5iYrfAWfts6ZyxsX3cFyGVIAe38oZpnlc9GfEIq+Nw6HMc421coJ6zEUwe6
SVsJYsQDuin1d5UkH7BAl+7Q3fGe6dSr6ZG28sO4NAeniVaQnO5pNPRxiYfnJJBfGmx0gJPce9/V
F0SJq2wRfnWoLJmywJ1OtbNgS9CmTr0Ach/j/JQEW5wutcja2BsPKmjAs/vqgTfzIyqRUnjgTnpy
HPjIMn/2cAPO/lpwF0wU6K4xT3gVHZwaP42WFnoVXw7Cccgh9Fh80jihGXieB3dQLfoLfZ6FmNIx
TM6RWj90QrrFJrEJYskqncbWB8eQSyeSMNtMhModT9qlJt5jSDSQDzWMyPe6/cl6HU2XqiLpRscK
2jI9+X7zyOb2owPWsHRAuKRY5LDABeZowXmmwG4fvWmx6JQpRBe5fhWy/kSD8UGJ6Kv16dc1dEs0
AK+S168SuZ5c0+ZU9cOrK+Mj9aebib0LhQ4Hkx59Y7dLgOa97rvDHHnfE27PoEWeLInGNNHuTfj7
Iu4EJdZ6lv0/Kc7/95Xdu4D/78vuu3f+/V+L7v01fxTdGAG5jwP19yoaMgL8ij88TBTdqLgxFAM6
cYjf+KPopgDCYQyB/I7wQ9ifeMPfPcz4b2igfho+sJfc3RT9C8wj3M8/F92otoENQ5lBw4CuYP/5
L34EQiyI5o8ieOBLh+Bx3Y/VbV1Rbx1Dr+EHA8Y43SJ/FzyDvG667uRPgcFu5wRHXkHW7zevvxrj
JgjcdbFbrjOWbn/PIFOEkeM9lWz2fDKvxdnZE8vRnl1eO7eEohGkteZlYuPvARp+OH6mzquf4ecQ
MWgBjAkJ79L5yTXthJMG6uQtYJ66nX5SOwdlSHvoIJNYOhwMQKlxJ6bcnZ1SXrtkAjiVhiWWqOR7
VM0AJOMHO8YnDA64NfGOL6tXZ+eyRIXAMECtaSe2ACC+drrOYqBcPZAuqLBrivEFqMl33osA/AK2
cKLxULRu9UYBhs07IQYNqcKaCWpM7fxYA5EF2t+STROKgQiQ2bjTZnzykGjp7kdMKUgRyb2OANNg
tzwg5v5D78RaomVmpUFOuBrO/U619VD9Axgx7oZCcefeEisgWgKFi3Ymjkbb2QKSiyf2tO3UHNPt
ad45unEn6hKgdXJn7IadtmuB3QFVeePA8ABkyCygky3rDVJfPbCvaqf2tp3fE2Q7hAD6up3s66F6
ip31Mzv110zTx6FifkGnH/POBYY7IVgh5J/WAaTaiPxwdooQw+4fxp0rtDthuAA1jHfm0AF8yAEh
dhC1kgUmio+UJ8peeG+14Om6s4vg988xYMYIGEvR7nwj5Jo3H8BjUPufV9c+jbHzskzkzQyAPjGG
4kfU+1spDU8KLO/3fbQd+c5TTv5OVgKxRFJdpg4JarQ1ddkCw9x2HhPIVBkB0ITsh5+304DsaROq
LwuM0DuASgjI9HtWRiMggW5hT9Dg84fH/mespgoaRGwWZMVQhsSRA4wfq0GOsIdIirHCi/l+xiEY
o++qdM4xEgSVp9tsacWB34qBseO2uA8WD8PTFrfRAXS/eRp2Snc13pnSliKqn6R0xGtsMzgPbY0g
QrS6ElLcgnhSMFKOLmND9Ic266mPnCANEH0/x/FqD9ESmEI2jUbOH1utuyyl0f3X2K0fxqUG9++R
K51RrkRJ8oT0W52rrr0fwwFZBfIJvNd2myCRvQnS0tQbIT5RsuakmtB9a9yQU0jRLcIPWXx4fAhL
UDBLYBH3iTKH3gN0GwnXpsQAT+h9v1hrAAmRs125t0B4F146w1LeK0/QvI36Ms3OgVCU5QudTiKc
aQoL84xaPTiTGrWQHFrQmLGYPnvR6KeBiE0x1wtSDOCdkSiOurzpp6GEEd9nFnMfvo7Ee4WNUZUJ
cOTCTCY+CIt4MOddcJC9lpiM0LqHBZm9lHj79a3CPrV+dUEpdIDYft/gicqMnc9tMj0xg0+NWQMl
qeUFgv2h6UFty6RTaWsnsE9JnK0sQhovnnGFbJcN4KB0y7ayF/0TCxo/n9ooQUMZXGJENpB9dg9N
wN/cZTrMjrpZvixp1009VPapgNJ3VfOEGOGMKSZNNB2qYTiGs/pRU3h0ATaPfEDSBb/Xpd41XvuX
XrXdHYrwR4Ezmkq/SYpeBlNaA+8Gq/ZpC0Vp/OEyV/H3FUZO2sn+rLkB5UTWQxT6t/9UCC64H1jk
/1OF8F8dhht8e/9zkfDby/4oEvB9Tvt3qCLbivGyFELaP4oE1A8RmCVwm5C/yF4J/IMfTZCHxfd+
+QhI/HORALQ0QL4CGt9vGdu/Foj9V7YIzz2+RxBiP7xAF2Oe/rlIiFcEDeeYzQ9to4dz3CX+dRLr
JRbdiEpg+hj2fT62mh+FjDr7nUk1Ok/zhsp+tADJydo9JQzKiebbk679s1S9hIIBwYXYDcAOx1iL
plt8TG1hZc0XdoIr7GIzqvwUun3NsmQZRdlHINRv0PzeErZhHUedlEaw5tpsQPT+vKzo7wLEV1mV
bfHWnOeO55tXOUftTD/qRFiwQm512JAhTRnhyanDovFxwOSyC5Z7fo2pgCnf3IaZMqxs/Ybym8RN
vkwIrkZLInJJLUWgoPFSL0zQDUCE4tGki7EmWaA9XQbrcB8H2OMXKhOEtuyaOpWG18eEOU5G3ROl
kkyL8W0y9d1GEPBHZs1T3tX164uxaCp0O8zYJ7YRrD+S6bNCxAmBmbSuHKSjJl3/qIwMPyNWsFQg
JUesm6BWgOsrckym+ZlxeotbV8wnTAJw9FNDUMwBN8jEyMIj0EolbqF2E8Qk5ipaUhpV/oESg/Y+
qNArV7M57bO2D7Pg6FB78bi16h4plzNEhvvR9S6xdkqpzNnpw1xaeADYOdwW4xCa4ZsR3nOjk7f/
LB5YPCC2Q4T/9+3FTSJQ8N+w5z+/9u0fYXrEPAkBSQcuioJp/HXtwLoQ031G/W+44x9rRwwSMiFo
3FH4051L/7XBwDoDHO73mJb/VxoMDAT7lwYj2mcuoPXxkKSPXHzgXxsMP+5bADne9hDrenqMWkip
DRkwb6rzvfNmOH/bCCibWC/u1WxDlcJfZDlUc/sxSoy+wbLtDtaS5hJiKlcRORrbYTMyzDNy77uO
JdeFkuoOPCrS+KvG6xegoflsdVy4cliPDjTp1bOgLjXTRzJQ/rUBl3Fohan2chrV06DWzz1j9VmO
yAP6wH9zT7iYJhLHA/T67WPijRnr6PtW9dF5hsVSaumYi+AyKSZp1mzVSCOiqXngdEaEsuGYKhSi
FmYgpmnoYSbWzwk7eEp2yQZzdwY8+/4TjLh8tLaGfjm8sX1Mj62WrMHcnlZCqFj3UT6eTUym/ch7
rEn96mLeTzPTCYC4eAr2UUCNq52D3scD2X1QEGMYGdTR7gKyXp0a7WOcEGP+gXfCh82PYUMhQc4d
kiAGECH6CTh9ebITEHJQi12Kvs6mThAULY8l9J3kHhgfR2eGs+Psg44waonm/T78SCkPFss+EGnE
ZKTZaz+PA0Yl9RhJguIsbAtSD2dWj1Zn1YILBiVlyjuHu2UVkmPrO+nmTHW2Bsuh1xykjp2H90XW
7XXV/neHSzcfXVSnPcKBuYGnw9v6hjTgUx+h+OXrevCW7qPXGp3c+YmGIel1D8tIHqUXf3QBX0CR
R/jGcQ+YYoKdYsREgwF/Jwwx6gm7TX1VChozMMCLouR7EOz8emhuC8P0KwXBDH4zsLy+dx+iOjmK
Xh4WGty1a3IdjHtgZPYK22HlD6sQCaW2tHXz0FtU2aHuy8RH+tkG2zWAwou47gdUr10Oo+ISVqj3
QKp87r3pCzUEkhWLv66RPMhg+zAmHBGDCjO55KB6qEugn+7BOkqVeTScvyK1gdQcDSZWYorYXWLE
gKeib/gdCUeohvMGJW9IKppHZFrvarTxp/8sxj8XYxdr579fjP+rf/8mpz8XcgEWyl/Unp9xfbio
f0/u/GqxYrK8h5UYsdI/1XFICGFwKgao7lNwwbdCgvmH2OMRfGMcYFt8YUy4D4r6K2LPT6L6n4h1
4LqJC1I4wuwVBG3/tBbLIbA82Cr14Hb0hUt185AX6X31xNcBMs3is3Ptgnok/rHdtjbvOa/KasF0
H73OVeqOkDujzcw5OKhn17d2dwdJanwdwpglT9qF2+EneC+BIEnRtQM5JfXkpQPrblMEKcgKTB4i
cr06o4snW8BIMXZxMmcNqhw0W1t0C6JzkzbjvSv6F4SnoBgtVty13r6Khh4SihVC5F4XHXyFGixe
pMlCLN6pncQLEzEKNKfHJMJJncYhKCvsO4XigKUiv/8OpPYjcERnD+odJXVumHRB0mpUGPQE9gJ6
/BfEDVqotPMGydsUYjq15I7U9NvC3iea6aQ+YtJhnZtlBl5sZyg4G0fn1cGb8qwaimFr342Fzbjq
6duszZlorLKJiw80LYgVTfHj5qA13ETh2LtZk/Pqx5+DNjxJt/XTZAtgQETB3YTtsunXFdJIjGDB
Sh74Pm6qdueCxC4uCY1UqutanaIJNgwgw2evxp6SOOzrCl9ViRiMEXaCrCGMlN4ovVRFCylpiGEN
QyV10XEMd6m4Ienkxndwh0/b3KCfnhjsK/G8cmjkrp0JpniBio4VKvowAa6K2Z9jUY96udXapVlF
kk+1I9tUYurI6LZnxaMXP4Hf5NTi0G881Qj2twtLcokhJSnGfCHp6Q9H48JkDPV4RkGicP3GQ0L7
NuMVEe7j4Gtxi6sRfxgjEAcuH6w/fW0wShISoPOIG/w9kY1MpxbKIuPkdRoxcROYZe7ATckbQ7+v
Zv6+RNtWKr1CCVNxdQT5+AVKlptKHErGUfaXjZlvAQZOwYFyMUuxfRtscrEjJpoFkh2kcRAwggOn
XKibuobELzmsp0mpe91aPD7LC6urLyOL4qOgYE1bp79Vlu5BsfnTSKMTH3V9jAN5RlndYdBD2Jex
EqewDj5MzGXnRYsQGpG94T3NHebxLEDPpEQONpyyn5jhMoEXJcl+8Va6ZZgdE0J+8T8p2U7ZYucZ
STEhzsqbUYo4GH/DtgYRM9VpmEdKvtZuVR8FY9NjC+8qNXTMV7GRMp77j7GHTFmtGcguqCrKkw0u
0CCKqmtnUGa8wdOuvZNqML9ItiHLJ28+wcGH0ROzU0Sq7hDiWOChUCRx96c0hkCEyTbALkZx9DXi
xk6Yo6CBsd1CRBk6h+BJ83UGCnHFqDMW5Umtcu0DVQB7mDt+8NhC7sJQtQ9kbS/BNJ8l3e4TWB5L
tMypVf0B+UIOZxURcMHJ/bLOHxoZiLTb2GPvz08cUfcYVqPq7auqoMNypGDSXrYfQYqf/dU9bkq9
aIwIQ4pQuKkrJUXifb3jaiwid5Jlv8Uq9ab1Wk30iQuYqashReQNZ2/GlLNNzYhHV5+bmjwAx79H
euBxbCNMIVnUl6oK1nTm9rVjmJ/hj3FcAJX8rPoICNWGeaLaw+hYhhSkM8hi6XDXIC6y8Y90boNj
44eCHjChwCuYBOgcNPL/y7zZnsCFVqq3X+YU/4+U1MuMKRW9+P7fv+53NQajrHdMCns1vJnfiKc/
LBv3b4CT0GtFno9Q7e6m/K7GxH/zIeXDRkHnj1/51bLBl87gf4BoSggSFdCQ/8ouHu7jmn+JkGBK
husj+AZXGyPPIPLsHd+vHRVZgql3ZN8/2IBh5UTgdkFaCp5NbkUrywWj19K26q4+QMkyoP7RRTKy
GfQDm50TBubmifEADTnZTMnZqOGdz/5bpVBfC8CXltzViX+0LIQ66sgtY1H9prbuCe4mL6D0vMOw
CjOfQaCounnILObJXPqt89IOlCUefg03mbLLPMv4DoDsY8wgSiYSkxpsBB854V8QjStpRR4Z3GyM
ompTMIyvhkDAlSJ8iIMRCbQZoA8npnkAsvMtlNhdAjAamWVRmAHBJifYxHdaRyda9S90W79vvr0q
P/nSVerFbIvM264+YBTxJQwsTeUSPgQyOndA0dOEBR+og7iH1J8NC0u1OxBQuDGeOYkf/WTCSA6J
oDO/b01bDg5BUiUwDWxdVA5kcj5hYiy2ZIu8UNDesQkqjx22C024PomgAzXBLSkZ9srSaZPPyDI8
Bst854OTuh/GJww/KnveFFtEHjDDqZzp+oyZbOm6h2HoRN4pgcjbOa+LX30CzlWGM1b4ZDHoJbv+
S7PNH9DVoAuzM4iftb3fFpy6kc9P7lphdBEP+4+jfwo3FWs4Emih6Bgt94CTy8ogitsDGM+2ebmx
rS3w700Js6PL9Sg+zjiMCh0pdkYHlYeRh6BxcW5ikknQDeOC64DkBwIgbtxhY4hhv2/0uYkBoZjq
G9JCbdqE4Ysvw2cH8/0yR4d3SY/JR3MQMZSLsKARu3t2guoEFdq/CyQkr3VsX+JKwJBoQOf2Tz3Q
m1ZMH+sE2RS4oxhhiw91RG7OZImDPCA6nzoD41ZSH1FfRASzTja8HJo5txhvjTL34PrLkXu0KxC7
A/4A2isOgiH3w3EBYj28StkXCQHIwDCoOdvFyAyQmEnFShS4PoxXc2BipXaF0ogg3HC12/RhtPy5
GuY4890WE6IbbGTNimBJP2M+dTfJiysRhwYDVs6xem3C6C7wg2exSEQumqTPHGLtAVUvEjfVBPwI
SSZERr3Pgxhv8YILH8AA3QJ7/3/YO7MduZEzC7/KvAANrkHyNknmWln7fkNUSSXu+86nny9Klltq
t9toYG4GaBi+sNtylTLJiH855zvqEH4NR4XF3mjdurVzi3lkPxlIFbQwPNiS/mTx0G8YKm/n1ck9
DFgm7XpGpcR2Q/KdRk9Zl7fIWDvP6lgz5XyiGyahx35UfDUTAcJ/bNl5kVy5guXDqhfBkt0qqHxi
rvMxWt9QRb/1o7jHNnWf5Zo/zM51puuZhzjG9CbdYMmbKI94tpnt5nYQr/02XkZxTBI07bVG1z1Y
yFNKBYxeWCxHNlpBVdPbYqEwfF0xP/S5O+eqcoZSXgaJQ1HMSOYNv/x+qXu4qjhX+LrQcSO/sDdL
y+gWlfxdYU+V13S9tguZUcjOmN9nhPYyDTyB/Pff9Hxm/gyVCkF1Ym+cXLltBvWjK3gkTFEkx8q2
H+q2uexyxrW6Zn7UNY2+Mm27dBYoE3NToqX0rdDAzqprexFqTBJAPPsFn/ipKflLsycfPTwyL2aR
V9sK8jo7codl4NialCLRPkRnB+JkeWtEUu1cjkYzQ7xnDIrHUObMvPeqQ+iI8Z4ZB5CFO6xy0yYy
q+umU3dMzu7rlbOywqofNbpXrU5LqWK/wZo/Mt49YhsCb52oApHO8KCIVfNCUNS0XoxzW4uHOuvC
l1GsL23f3MadGe2jXNmzPxuCggMO39ZwVzta4bcZ36+hVL4jCZKTHSI4LNp3yDYcFbVXxRjQ2nWH
rqbY6GZ3v4TTY6b3T20jO65seKLgV/eaPmm+qurxae3S0U8wS3gLIOBNFTXLJteMQ9uld6Uwdms9
VPQeLG8zZF5unuJVcVPPcTMdowb0oVZ/HMXN1LHXfp6SkxkbN2WKJ8ASj1TYD4lR8NWU/U6U1aVe
Mx6pc62DgSk+NA56hPXuNVYsXm1TCfd4sYEcYqcJcjthvG6afuVOF12d346uTleQc/yCQF8X7a60
4PtXLPiSaHiye+QM4LmPTX85CuSe1pBsIju6NtEU+nnlJjsdBrFntckTeKcdK7v0olQ4/lelPbuA
ibfjMmQ432a6X80wNl3t8G2FeAHq6MhKX/G6TwyZ9okkWwZD36PA/XAkr2wqe3YiESe2/ZRKmlnb
J6jr+2ZdLrVP2lnH92wvaGAjpw8SVJQ0it0xJAjgSjNaBJursu7DrjcPox1f5p9YNUSHy26dZ53z
GC4nl0e6dZtoW1jaWa+tA6fRUYQ8Okw5aMUVVMStaTwmds0JMULLNDtlHzfmpWl2sq1QP6DYf4QL
vfNCx7jE835RFb9wbF9n2seGmlfS0Co/m/Mvc5KVGyuKd7qa6lS9BsdDJJ7juRjZzPRpMDEqbLSO
4aO+bsWosECyxSniw67fUZpqZniLwmuvAOK/TFr7yqhR3CVDoWE7VR/4+LnFtfyjntMjnlB7Wzfz
DZStXYrfwrcMu9yWs5ox1lVrP8lZcWvN9Fz2M0q//M4yF1/k1kPhNtcLK62NWDNo9GLbJjmiNpil
XTVv6ejv7cr8wuF63TOB8/KYRyARza2mtFsOOA3hjFTwafjAY/IL7FXbl4LRr5sWV7YLVTYL4yFI
QFYH7cz0hHNf0rzWmF16h0QdMHUtTAxKlf62djp9zTTt7ARgtOaIS4rcZyQlF7Od215VKIEG992a
nBeulu046be0wife3L2ty/5mih9qJhNIVvMzcpl7J9MuECIwHKierFp7nkKcZVZpP3X6fK5mG3xr
4ir0sVpN6EL0yCKsBNSSH1bYTmZ7nqNoW0965g+Jwy6bdZVQxMNQj+d1jjdqmbznpnVsMi3na18u
0OYPe6bofVDO4lxokLBFwUGoxDvVSoTfWCbEI/1iUtfT0BoGUEdGnGIVT+lUFNcG0BM/6h1F+vp0
f4zNdTMOLoMjmJobqygXlus2+Py13XemXvmtmr7bgEA8Zx6u7bqjlQIXsIO+3V0UTbt4jTGd8tR2
OJRC5uKhsnOLKaXmDHteLit3VvNe9MpRJHaxg1d+QKxhMDKujVRs1tEF8/b3RPX7RJUW7T9PVHGP
9n/Qi6myr/ttu6WyxQb6oMpEwF88K4A+5BzT5V9AAH/2rJAuZ9HCAbD/nJpKiP6PiaqMKbLkOtvi
VWfv9Ze2W5/btZ96MdCoDFMBgLBEY7ZrmvL3+7kXw37RYeONjatuNlVmLeNhWszGRydj8CY3W4q7
gSN0ebKh1PldZH5pDdoWWn3fkk69dGb52rfxqZ+QSkMvBjGIy8XhdvTnbryEedT5NCTgbqrhfXHL
lziJAuyjt5mZ7sqlP+qGftvUFD1ps3Di1HpHJ6NflAVG2EixH7rMrbzcLXo8dOHDWqVPHL4246+V
CJK5uLIi40qbROBCq7bzhlCO1TisY4hGP9Mdb4znHTCRQHfqb2znqUMj61jy3tRL++4gR3K79XFm
nw+BqODmxoy7EWZR+kYdeuoM3NWu48dJG16zeTSJpIj3+lCxbOqAORexQUnK+MtLauMyK5pjnqE3
nGD2N2OMJF6p6Phy50qqeSg6m6vUGuvjzLpoOyQMYe2iQvYEs99z1Si87AQ7IyaAK92QuX5z2OFc
jiZi2oQPtw6L+EbHVreJu/YjZgN+ToH5W67CTEavl11cds5VR8ROYNsT39oQQ4IG3+Rl8NSw2kKI
Z0ImdskIhla0uBLN2Y5u1MjQqGZSJPboI5lpc6NhoofpVxioxJc83RvGnAdKksC3jiUeYwX2IGbM
mEyd8HQSAaTNC3RUs0u2JjzBrTlRpbZFr+/6yiiC0kgv2OKf1j69ykrt0C8RivPC+RaunEgpqrdA
6RLDX9BeBlpok90zoPJW09jhg9AWZAONu+tTvDHp3A47V8cSWUQt/Stm4lvKXGc31FJKj2J+r6ph
6I8jgubOMJSbXHNZgq38TZtZCLo7VWydSOmh+E3OZkGYHChYlJFSZcnRYoK5i/T4ftG762FQyyBW
nGVT9fV7lXfcZ7HAFt+4JisqJmMRQRPs/eRHlOjl69RZ6UOJH3vTxW65XwYYNjpisQ28RY2cHYb8
cb3CquRzp1FWhr0zcWLHk8lOwh6Sr1lBqa+mdhiMUaHs1T7dDhZy97Bk6Ikzc1O4NEE4+AupuB/I
nZgcv62L3BNjKpBKzzcYScg0KLIA+aiWeLmeX0J0QHyZYWoo1/ceYdu2rzX6PTdvzwkGTs+YhZ+3
jaDlnsALKva4o501b3VleITF3tNv9QPMv1ifGdckQ/1l4reyVwxoYUziUufEDfr55V5jRwoiMsKE
NLrHEgpnME2LRu8/IFbpFviI3GuMMIKkLJWjYsIGNYyHkWmrh0zmvgAsbqfl9WR3nqLY5856DcGP
D5UYn9lSfEyAyWdJKC8lq9yZoJYPuPf3riSZJ5JpHmXqhc5Pi+v4NI7mNzKKdE9b87M6qdpmdO3H
1aHTTFKia/qu+NrZAEzgGxwqcOrQnS7AmwLXkKT1UjLXs0QONsbY8mmk580o2ewt//NS0trtzrC2
iyS4a01xNSjRXQ7aXQXxDoyeUxBQnG+Df0/AwM+ZEOxxIMOPHYJ6jZmWhlGrkfT4MYUjT41VMPIe
zyj8ngYC231bMa/dWd7zkkFP+8//UnLpB0mor0HVD6m6xxeLLtUMt6kKzT5xsXSlknCvzK5PUfjR
Sfa9NSY+aArxgjqmoIUFkY8P4UsFMr8crGfssNYhKTSko+s7EA9QFdW85y+db2OdEUahrX4u7MsY
JH8s2fzo9HFPkRE0VtpeacR+mXAMSZ6/kkw3MoAr1zsWKyD/e8fFSmJcskzfKWazi0BU8J1SrGr8
Z+sthkTndcnwrUtswPJTH4zVcugly3SQnFozuwEroHAXDOzDl1Pc5zcFikwtie9zOEmxKPe25KQO
AFPzpPfwdJMOEHb2pgCqSlDKRZJ7jgqnrgO6ikrtg6COZcM9piy7ztE7hzVVhtFOlLcqstjg79ro
e230p6Nq+Ghv40f71v37rFry4f9VH7FwlhG6CP1+eAh+mlW7rsVOmakzu2VJbf9tVo0BmOpIMIw2
fkXH2/9wZCkDZhljr5QV/pVZNfPvX2bV1EcO/gXGRwKpou669u9m1WXkcJGMDn0oiS972Ma7OGJ2
1VKBD/a4IG/Tu4t50Kudoa4U6lTsZWpyRZbFeyuL+U7p9ux0rMA1qNyjSRib1Iwbj8t5pUOZdD+W
rYHdCLrUaS6um8h9imUDMcpWApX4CRDGBXkHe6fCqWnRdTRL/RQyFvUwApyxYyGrq7JxP+T9MSpo
HzO6l5X+mzmMfSaN5CGSPU5Ps+NOduaXbcKmu33TLayXDv3RiFVxM8GlgsRC85SN61nQTc2yraLj
f3bps8Q8nlz6rsnO7xWrOPdQkT3YDA9lG3LYaDB2wulkr+ZtSQ+nRcqLTk9HNAXuSlagHd1ebVfP
6GoujbjAKWXNu3Fm4cWT8dbnrKpK2TQqNlMA2Uaiucx9o2WStYTNEjhOOdDoY7YK6UBbcM103ca+
ks0pW9LLKWetFq2TtrOyfpvSyc7ZyFQj00pP0VeaMPFFp+vNhmULYACPX1Rez/TFS1wcEngdG8id
12KwH+ImjILaXJ6FNNQmEzNXqvjMy8uk2hrJ0gHLtil515t2Lu2tFufHmXY9XgtmO73+IOJWg0+h
4wet3Kt0tPXLnHZ/dqK75tKMD4KNuzo5J7GkhBmxkk3sEQV7A4uhX9OgZ9qwawfnORZUO2jaWUtU
yY6cAqZ1RfUlswWbATnU0RttmzOiWFQK6n7ZJwtjiqJI39vW+LAt/YOKnGkZYw5JqZjl3GNRxyLA
Vmk+oolSEY85XDsMSioGJgzVDzkDFGuIt60Tsa6FChQscsqiR2LZOZ9c+9Ia+mAalZuknr66azZJ
GxwCVpXd99rQ8Ntsw02FUV/DftwVcueqh+gpHCLnTNPZ63KlXrXzG7ya+0St/LErAlWKZXl0eY5c
di+4UWO5nKf0a5gxRLjj7IFhKEwGrnLW+WC0mdxa+a07wt3TQ+T67P4xuV2EY6exvUAWkEcp74Wd
DwFmRvbOUj4geNO3ipQUqIAvTgsqgxC1gSFlBz36A3L68FJCITrUIMY3cT8B9ljZIpOahXBhxRTN
m5JKUQMK2+sQlUNcqKpfS+GDQAGRl+K1RxHRVTeM6HC9IpZwnCI8zKK6nMMcljmCClevvhIdyUYf
qUVhFnVgExDjK7OS+bVUZEyW1KE0VuTHq7JjYZ6ur1gVv47tRZoeOmQdSdUwBwh5DMYifFuk9kNf
mnMo1SAlspAZr3ipxUjUEIwoUfaRDbwyOg69ABQWmNPmUEiVCf4pA3pHfg/N7JsrpSjRzHNnSHVK
hUHHBOK2UWpW32PUlBeKPltnDV0LzABCXUboQPC70sB219CfpRBmCMPKi1rEMfE0nsc2I7NRCmdy
N7mLW55my4y0Q5uDJTBDvnGYQZD3lvWG9E3CYlZMSPh3CGNDoWM0LVYoftImXvElKVLIg6Y3ZCKJ
wrFqenMvva9S9pOB2CL5obkpTOOUowxSQ/UeY0sFP3Y8hnIVbazrjKm0atv0qp619jlzrW4KRFeK
1OuGlIXfmFKcjkaho6kISyThSffiuFFsXvxdE3zWBPqf1gTn6mv15d/rAfmHftQD7K5dGYNFEqBF
YWDxj/5VD2AysGwd9INpCLJlwXH+sx4wNf4QKEL7E7L6aT/457iEf6I5BjMWA4WaXIX/JWKqKW/7
X/RnOBUY1roa0GEmJg4lyc/TkqZqzN6J4XI2yBzAd2QTNFLLvtKQHrFQjZRQWYOsriYq0KFeVden
qDVDfwEX1W4d9dP2LrTI/QaIed8qpRG+kTuaqnRJZa6c+Et34VGjzNaCiGAqpvRZyRydJjiuRw/B
5jywqrVWEGg5ZCosenZpy5ZiEYLKt8e3Q2W7DDa1RYvIeM8gAA5RDvoIMghg0X0TtWwpygIeg2im
vL2KTOluGwz2U0HkqBVKHkf46toPyodFO/GdL/p/TcH5/2e0VZE5/OdRIVdo/5lr3vVv//4GyD/7
4w2AcoOmgbKKp4yMTYdn8F9vgP4PHkDrh5hSjgV/q4g1OWB0LZKOVNy1P2kw7X8w4kM+rovv+sy/
pN6AVfr7d4BxJSpMOTZkQvnp+v35HXALe3VLJF5X+ZiAd/TaplKP+ayZx5LhXOqlonhY0ojCYlYu
nJLrJbUKMj8AXcQEqG1YkdzPUX/KnPluVOeLJUSuWKM12EB+AuGVrJAR+8epWC7twjgwYOc2CqtN
I/N/5pkIhUF4M6FMycp1WjCTIfbEpXyDjkHF/M1wot6bPi0dScZoPTH0oM2QRqwOTIw0Zfed09IS
X/GyCJRMXW4uAV1z4attfW8iVdiYg6JTOkaewTuMb54dVsSetC3Dpxx0ea8T/onUzcfa/y6QMKRh
U/iWZn9BP5V4o0ieBRS2DY6HgzE73tAw1IE1+Cwic+fY9eqFk7GNyYVgT1/sdTFaPiHU+27GhrSY
dN9M6N6XKnwv+vlKreJmQ1H7kqhu4hVmtsuy+cAoqdxq89RCEqYNd6L6a6SaDCm08rkm6pr6hAlG
OPQfItTXy45FeFJb4YnpBrBTS8eWF4kAV792qzPJ9EHJI9mw0JlVGE5305SdNKsZuf1oQ5gGtP0W
ZKu3mnbCvW1X23wxVC+HnBk4KPY3kQtnYdDL7ryozuxnWHC3DnJKP8yVxeuRBm/aLkNDn4DzXNQk
DEq1S04UgPnOkTYJXRomkNLGfqXKnXeXq2eEhqRxSYtF1SJ6Y/QinikXi9uu1ZrrWCrDHQ2NeCPV
4qPUjYOoY22lmGZ6EX4KyxUk5kO7Iu5ZCzV8n51EQYtvKc2h1NUb7A9aEBOC/KAufPC70NHFK4qX
6JsJbSkopG1p6gmVhnfiLQXa3U6am0Zpc+pa2If4nvCP8qlPJHNHFx2+KFUapJRmuGylZSqU5ilb
HVHTSUOVLa1VJh4rU5qtmkJFkiPtV/iwQHtGm0xas0pp0hLSrrWaLLUraeGypZmr+vR16cmd/d3o
heWrkuYvhqXjowsg9CDQj21iaRJTHOxiHb6xWRrI4Ef6s7SU/V3HfK9jKC7+82F+rv7I1CRR2T8O
cQKS5RiCJY1u4rGWtcqPQ5wKh4MY55Slic+5xs+HuM2JDzWBRsj+HsPxY+0jszZQ5XOIfx+H/LWx
hksZ9Wsh46DwhxgMwlmQrGnLf/4TNaFbMW8P1iAuI6NceX8EOBEM9uzE6UJICeAcDgd9REVCCrLv
9LzxvNggpwLyiwkZ7i01PztDotI4s6MWdiTzcxUzCJXBTN0AQh87X2NlTDzzBqUDDOWhUGp/VSNT
KTYZecc1MU6t3NAi+JtvhhRpqR0rjEZtmQQ3zOUTo8fEY9i970uGoJ3MjWtGqeZKsBUTx9dtw0G9
T0sdN6eAFVQgBl/U23IB1wCMGAcK3LG6Kk5lE15ohNZB52JcIHPs6rpgY3AguQrfToRTO5GZd5lN
2EVORjqcLmbJg8zGG2cCPwnL01QmDDnGHWUgR6/GJL4BR1H7U+EcIat+1WXqXjKMz/1sGRts3qci
US2/IKKvk1l9kxiFJ2R+H2ai3jPslWOyFzldODl/i9USSaLqgYpw308H0gAnYgGhKJ1yBXDOAHXZ
K0Lt6zzXFWK+jnFvs09kumBBzGDqMI2WSIPBWgovbVCGDBm5hDKhcCWqkEH7trHJLiROE0QXwOKQ
PJCDGQMxnc3qMtWr26aZvNCuT4xfvBjn1gbW5Ab2SrAQlgjmCcl4PIJwUTcjvtQ8JspzRAFCFxe0
UhJSohnfwEpDt5NX2daR0hFgYJBKEZNkUlaCMmqnRdETyBpE8lJ6YkgRiiKia2pToItu72lIVUYa
sU2jtk+RVLFg+TgtyFp65gCEdYysgLR9Vqa3UTleJJbhw1llgy+1MaFUydRSL9OiT2B9516rUkvj
NMZHJdU1mtTZWAhuLKm8iZHglEb2YCPJkXMz4hCuwKoy15ciHvNTzoOuJ82LRzZMvkzbHlTjRZXK
Hzu1duOU382ZdSilNohagkv1Uy8klUOr1BDVdYsCTuqK4ml6KmluGJL3DNamRw0JktnBQIsQJcFJ
u0o7C16ZAymgf5+leqkrmT4MNkgjlAh+JTVOBmKnMAWTVkn9U7VEh0gqohqkUQMSKfjYr2STJB5K
oBSpBjqqdDQ1xH7Dwyg1VppUWxGpcFSU6kgIwFv5qceSyiwdiZZriW0iJVtItxSjup7UBCgnoi5T
qrucWGVsNiuX9MNntDRge5CCzUn+BCak3MHaeCuidYZCHe0HqR8jUMr1SqkpM6S6jNyyFzhsQMeQ
4vOWoUFzmUD5RCLvmK20MtQG8iuKtVBq1xzGv+gypm3eLVca8rZW6twqBG81wrcKLsWxlVo4oc0f
WeLeplIlJ9jaIglEOdety7dpZCjA/Lb0w0g3GbbZDlILNHe5VN8h/r0TYcajoxpSqksZVdUJUxWy
GwDUx/ssmt9EjKyvF2UZzMI9D1Zz1hD9ZYDkfZSS7FezhQcK/+eqqN/ayTxFFcq/tXoBQqwHAtCz
bWSTx7zhxIgMEuKsjGiDxa056+Yh6qXHLpVpYXp61rLiSJLLjuHGiYCGm7QNT0WeHuK+uQtjtnez
y/Bxai8oDa+EUt/X9KIbqPsNDLBInFzORc5GltPsPhkJD9MuzaqnsuoXz55c3lli8qwQHAPc2h4R
8vTodj2Ou4qyfCxr/s+T7GU2eoPXcSbGZ1A3hWNUngvQeJst8ZM+fUwtwHnoOElQLuYpFsXLvPCJ
au5wl0+9HoRjBZIXMoTRKY+6aX3EESrKJbNRTxsycqz6QrAAgUrqt1HjYahLcV+3fGETPZFv5X3H
EVE21Eb29ZgCYkdnvZGZFMAkRrjh2S1/VVSS8dUKiWNr4U3wopEV+JrbF7iCZRiCeiBXKWEU5cwH
c7Lu9Dp8jhlR7do8+SgmotVCcyJdeVrLPcHMD0Yp6Yo2FHjiLWRy099V0meVxHLlT6ok/yP/n0sa
gz9SyPAHf5RKuvEPWiNeZu2f+IjfSiVCcnRKbIzcP2KAf/S7MiRHBR6l4mT4UWD9NvLBxWDzgghh
0CsTxfkXPIc04r8USsAJWUG51Eq4JaAB/m7/04dkWeVrSQIVC1E1Sy7sKPOMcQl++mSuv4+Qfk6/
+T46+m20xN8EW4Vs7Fl3kX9CRsKvFRnJCBn6gGy6tiw4zT1adzOw1oGsKEjFFcJo1GM2W8++unKX
4aLJ6gdbb8HyYQ3zJvIFgqzVstPYWq5Pp0FIyIKjWLEQX/LGP2OTqL3CiYEmSGFL3OV3NT/Q0+v8
ulITkvhsiHtOoze+o4x0vmgyEE0gEy5mz0XSA5C2W31uCMQgWYkDetzydvf41OmIuwwyk20+oTg/
u+bgIhw0nmOTkCtWPHeMmG+VYr5UFOuyT6jf1IlFMbk6h9aFKRsWEZ2W9kC6YL5Ro5HzUbKnhrG/
AdgN42V4cp32gzLzNSqWl1YuWrLBJhhzSa4tzkiBe3hr29ZeuGELuKrlG2rbh0pE+8SB/JXH8Qkh
1Xs5xdl2LJBNipHQ4byaa18ZpDqDUTeayPVVKwrZ46ZXpkP7uuSg+DGLNyJ7HWztoe0i1IXFsEEP
fWs3w46Zy57dioIEiBSFCXIRPjQCE2LdulMW2K1Fz+lku69uz47DmP2hoZfvBhPyJOt9By8431+6
Y7vxzeFW3KjCOivjwDFZokBqKuFp9nKpT6DcFwJVp1hLtqgSryGnp1vwuTvOwHMUhdGm18ydK2vj
eMJ+rQhr9OvGfWVQs0erdVuV6+KjpH9MBLbACIr2xujzu24aDppFNH1rqF9U9N6baFoec3ibZFys
V/qMr6+LUyrutf2q5fpXfcpJR6H+qnL3gPEXzSq6TqRaNwWRKFTW4sI2VvSRefllTWtO3S72ClHd
ixE0pNnY2X4ajB36JCTv4RYlBjxvHjEsFOYUo3mOmzc8QFG7XR2Fa4vOgFJenbNk3Cx6C2zLhDXq
q/a01ZxJyi5ags9yC6PbonlqyGbBNL4CczsklrYdVxZN3D31+JhZhhSHTABAN1YiU0FnLfGzVD8Y
bEo0dFa9XKM5zRshuLdapnw4Ll9TQ7BlxdOIHGhkatX1GBsnH0CXdlAKC2HTNF44lLu+whzKQhmM
uGNMkLpE04tI7Q5SVH2OEjX0OkgOmEE3sdld1CkJ2X0Hxbl/Jh+GJQgj2TFVyRmozpnglTXK7BqH
L7W/clgptZnWxHGAlwPF3Zh8FROXMNYeYzMP2i2JFrsZumVGPK43D4hjRP3MLY/7+BCbLdEGyn4R
9tucqq8Y+jPPzhfgwPlrbt6NU4dMaTjWFY0P5C88Fp6+ZaUVu2bP2sUIJgxYcFy3rRYjCVvrcWfY
ab9VNYRy0Wi+lqa26edq8kOlhUI81btBK6+WanppqxTB1GI+9r3qnGuFBJV7OUSKHLMN95VO4/Lf
jtFfEdzyFOW6kM425ALsD2Tc/C99bdcZZriI5Xqi5NmYu/A431XnQ9pvlLfyqQ6yA6KUTXhCSzz4
6c74ThaAvB59VH9wjEu15K+HOD8eMrnBegJaiPW7RLA2xC2iiGG9Hu23Ojy4ar9x51e8bt8rir/0
c3RVQz4KpQ8znQzx+ql9d3vurIQgg2stuSBEjNLow40OjPr/y8/59fb7/nHyeXIHamTS4Uj+9ec0
7HCtAZ3+tbBOrbiqDbZ65tOfX33mH31nP/9lfvdDhlhVO51g9utx2z1iaQ7GvfqVdgOD2plAy2hz
2wZILbf6/uHS8fPN5XhOto9dEAY36XHa7BmBXgCl20R+teXfweOf/376r4lo3z8ESY2yDWyRCFJ+
9/vlhDGRhaxq1+hRL8MbNVDP2lN0JL+IKYW/bI4v2m72LpvttLcsrzgBdr5BqLedNrn3+av8vTuR
D/B/HrcF+f/4VQu84g8WJ/zBH4UkgzW5m1Ntw+Tm/HVxwhqQrxDOkI4vlkLzt5mbS3AAUXAuMhg5
p5MCoB8zNxhDqs7CzwJHgArlr0mJYGj8cjhIKRH/P5xMqgkNQC4Sf/cyReFsKdoIvMKsHifpXh+x
sSuUvjA0u/aaqDDMKFyWz5ZZ9xD08WH2NlZFp0Dq3CljCSAHiTTJiC1XnfmEZsCGwuew5NB0/Dom
quJChvpQFLUQd4YKeqM7eg2aVnQD6x1GL5YpsxOzRLEfXCz83CrlVkiMuY29n3ch2rcY/vtkfgon
MqHHtL5rq5jphpK4e02NvpTgAmZDPSGZvSSUlLm2JAoQ+6ptF4tpXg1uIJ+S3SL5AzCATshNXsJe
P/ai7ghbGu7UMcq3UYOzaZhwd6AjfhcsaPa9ZBy0BDtt3Wr+EJX4wJGc+ihpB78DjeDOxnOpV+Wx
HnIcoeAT9DG+iSVPgV/zi1sWVxA5N44x2p4S47h9nMnpDjh6dkDkMYLW4g1h5DaqEBCGSCNWq/gQ
uRbMbHq0Kq93ODq+2u10O4ks2rNtcTbFaAEpxYvhp4kigkGZr8Cug9eP9MckdEA3hQyKdK1CCQxu
qKwn5MxltsvHiUDc/pUoIbJUDJpa/JRX62pOJ0ddHp08nZzruWNlUPfziuyTK9G9iJX62zrEFhb7
MQ26dCB7a0Zcaq75vCsSBF1NkrqHulniGyPTH5BAwjogIGyvk7awEonwsqr2pgYy7g73g8ijS4Yu
9XFVi5ZgGCXb11YVTKl6qyFkochwEOagaNpkavIolU6oeQdnY0h+lBGRH1eLevZxuHJ9KtV1lIJ/
Fh3R50K9txXWdlMKIWSgMcrF0RxKPmLWaGE6P9VW8tU2iotQSYEcaA2WprZnbqAMb2bRoWcxjRcc
iq+U10QwR/Zucc2KLWC611V0UnYFX31Yt4pulDBKnO1SAs5PbSgl2QUZy4QPsngn9PCugDir5pUT
jAMjSGEtTBSyiOxNJf2iCeXZIsoCP9dtHvcXy6jcI5977bkuaRJcwAnKqZnbS9UIH+YyPS1TwbcV
6o9RQdh83Ib34Wyf+pRPqNYjc2vU1K2Z416WOoZze3pgvr8yE85ToBWU1IScvePgvp3a9DKSDNZQ
8l3s8WrSzFtGnRC0wwQvl3YApuiRY3KMmKoOYjrVivUeLf2jbFei0kL0b13Fybo3GHTXKiiMrFue
rQHqfhrJ8XmCkpVjDslBo7DLlMrkkOA2Br7tc9sVR8Mdz5lBqrO6Pg4lKvqRZCTpGzpgV5dxjNJP
oOS3iO7fyfdDocuAdrMKh7CL1AiQ0TpB2FddwIa32BKls4fNn2zSukiJ1yK7o4O9oeMqkCcup5RW
BZk5XlcDHYje9Op2GJebSIU6ojGmVvkIOJNujEWc08H9YgmNZ8sWD7owz4ZJ6IExIBIfl5rtnzzi
WsIVILHf6W65zW2GXLpESXU4PGDC5fsCgZiWM7mKip6ZOs/bsEZ3mmq+2wXDvkh3zjAYQ0IuFGVL
/36r2fg0mijTCMay33VS1wKtzJm1ijpYDPLRikSHOeAsWyjt39p+De/SZsUR12r3ZTKWm0Gzky91
rFwKEp4IUuCMSJKnKR6vWjfeF5bzbaUEDno0kCj8VRwXTU2ya2cp7oa+uXgqsLJE51WPcGCKsQpY
858sp713JUyjlVgNsjFfsQ1D/jVHA9Lk+hyOYDXssXvHy9V469Bem0l+GcPrMOB2zPA7NAnywFR9
zFc9yFByBENv3cDtOJMZzQJaYkBSeCAOXBBVYZHbSlQIadcqlfxwb0ARASV3JGPtMZV4kYx4G36b
9dmV5JFmeSwsML5Tes3zwIcAo6SAVQK2QQXcg1dkBEOHDHaggenvSggnGokvZDWeTHV+KHW28qZ1
LSCi1K5ZsqTmrZawFDsXtGUSoIIVjdWLhKqUKuAVzljMwPWe5IF9KwEsdtFx7AhyNyWchTgSZHaf
wJY6PawS4aJk5Kp9Ql0k3gU/kX7ABZD4+HEZkEsMTPa/7J3JctxItkS/CDIEhgCwTSBHJpPJmdQG
xhHzPOPr34HUqpZUXd1W9ra1LCtRSZGZiLjX3Y+rKAvAIQUdGawJFljMP7ey7+s9bih/fSvbEB34
TzKoylf9cSWzv+iSiw/7OCCwqsFt7YcMqqlfHLxU3Lqkyp9YurF/eFks4PEmVcBA4Fjffbut/biS
mV9YFDogxSyMKQwmfyv9Zlna71cyB1OMA9LMEiY3e/23cTHJyAaBXLRO/tgcgrbq88t20CYI41lf
lnQhRt28tYemodkyC8aHwllop4UD8ZpjIWRX3txS5jh5YZMDFWi7LS4AjzmczYSaa0j3KUgQJ37V
McnyQTVhZigNDW70rJH/o7IpVZ5pDrwh7YZAWojkuiVudksSaeewoc4hvrt05+A9jZRT4sOJRgGt
SFYpwTN8gfDs+2Ekz2FKpY2Z2yxbjGGR4SRe8MIjpK3md9JSaG/kOTWsm1H4LfW0wN0fOg5i2lqT
4THRnJBsX1LsojCOJ47g+pLqycPQmTeQyifiGvmDOqd3nUFgpQjLN20xl8uww6ACH7cm9Mzy/jVc
KvhqxTjJTsMvPj500CNdnQuhArFByXgEBIun2ihL4dkT1C6KIoy1MBAWfN1mT5TgcjVvE3u4imNK
sScletcc6y7rjA/VQHJoMn4opt1eI6pw9uFphimBNKAFZfJ10ukMTIZopwKc9Kpl1Zal9l2VCm1D
I0+Or6JVYJRouxCVNwdx4GVDtNdDKBBmRqSQ8sUZSlaSr7W4oilUnQ56qV37WgeEWw8xZhjarkhY
NGk2mo4zjdp+6gVLwk59VwvHs7sGRIZv+viVGzAZzksQFhfSseAzOkuZNcEl+jtuLZ/8jkPj4egr
76Yzb1J13Jd+eQpqIl5EF72yJhGf5YvNxC8/YXVSbhRBO+iU7G0InRG3S/7EWxr13emtnVyu/ry9
rjFML8SU4tSascK90T/TBXttIkqtglCA/lCYWTlRV+pYmy5hxGaJN3qhWTx1sQYRJGgPLb/Btuk2
kHmj7WgSU5BqVazn3Nhn/XQ1VuajaNqT00Z3cUt9WKQ2D1kQ3oRUQ+KE7tBvpLLnoU2hSFjfTJZ/
R/bqeq46PiICSxDkUBA2UTR5ovbPiOy7iQwzVinlra6U0FONMtlOJofULJzUxTiQeYHZYJ2Ciyqo
7z4UpXUVU2a6KWzYKmWX627Wp7gDjOGI5f8dwjGQUQAvdRNdSqrN6MOyLmACi63qUNc0BRVmSiPz
DBG/kKMfNpPTXjm18dQroeryUUdlnjLphp3+SWPRTDd4cdPNpdt21m5emMXWIhfRNIlhGAVJW6Qk
ZRGV/OVK16AzpZM2czhaT+aiQLHD3PeLKJXW2p4xUfd02z6Gi3AlFwlLXcSsoYqvItQticqVoXYF
Ie/tIYTiMqCERZlz1hZpTC4i2VAObKYX4axCQQPCCRUGTc1HW1P19E1Fa6sGtPpokd98RfuAefDQ
LMJclmUP2SLVaWh20yLeRah4BWqeCS7J7LlXh41xsIxRXutLCxQNyOoEBaN61QcQ0ppZ8SkHvbKo
oVIZ2/WcMF3182uta8+V7eg7R12qGhzrPHd9jn0kxPtfk72UBndg2NdvMMSavWpBx81bwlmlmkJc
oKINuTvmWat/BR5w22Y0tQ70M27oGh+8umOFHJdlDlJOPfXEEdZsdT/6eXI8kBeXcaz1Xk/12i5J
chAmigG1qaucVaYysRGxfGO1nrmiwVCi+oN5ikYzoqy4GpE8tNDTtepmyLnATDYhFEFLaBLlI7+n
CGqePnmRGU/eFIflJfCW/ZTBP83pXcoUI1trFoHOkRoNt6zjN4kpl7huPK/N3N8Ehj7tZF5X+6I0
NgmJFS+0ZLqxbQY/nofI/3H1tbZNam4V4nH+tuDKfh0q9DCbReRAahsAjLSZsxmVHJgPBMxrmWvl
xqrEnpLfI65DYjZZbG+ZkyE7EvfGZDLRdNd17wlAw01YtvpBI//vmgQM1skY5Lswz+f7GfuKZwyT
sjEXzpLC5X4V0KW7Mtt+TznsYqSxZ4x+9JOmzsF35gtahTLPFsw3fjJfU+rpkce+tRVLHueGSS/s
iO9w/z+XXXiXawgPwKTSTalzD+tCpXZjvX2TFZ5Qqv7s7WgjYE0C0yYgP0TZNDy3EXqbP6teUkT9
tiznC731j6AgvaRiTYiRcK3HlQrvgHGbMoGTY8ZvNokrBG4WEpazMHIVE46mCXfPntZY61g7z7Cb
VBXrRZe8FIlyTuvoNoH76KpsWddxLSRFG+VHOlufQaYamxY3tldHFJl1hHvp71OfS0qtV30XnXyn
Iw2EJ8gbqhpoiZ9c5DbthfEYBw8VnikCBM9wkxld+OjSmf1JGvrZ1JWVGban8psaQoOFb2rOmrrm
hJLl9AHgGFpfhNah0c01q6XqKWl0KTBukndPLlJMp67BmWoqPQ8wIegDaQg/+kebhr8tnq4DQWMH
vwjwCzN/zKb6NC5GLDnh+Klpk+YXeqgacWGm2btS2p/DyPgo2aBQAQ9lJf5A/Ns0XdFuG+qlqcrq
VkOhPKixSvf8RRYzq3QW4ZjkxeniVzpp3bLHPBDX1p48+/KusXGCyfowNxg3KLcmRM6kHrP6GWfe
z5GvMRZrxocOQ2yFDHobxQF/mAc4nVjHqE6hwdE3RezMjrbc3L5yA9tHI7R9bjpoVvIwm0XmdmV0
JSs4Ws7wKHT+8nIs8AHHFwlbq62etW/UjTwG2GjckqCKCsBsucQInQPPyYOtGeKmmWz9hLJ0Xw+U
8eF5iVylrM5l5ByB7qOiEiLrFFhUWH3oMDMwjBUjcynFmFJQ5MZ0gSkty4INSX52PzMCHxm/26yv
+KfZeb8OFwCXnUb4bPXl9lBjBgkPwxR/hsKMNsFgX020/xTztsGdodnbeso9MR5tJbkLUwrnMLJm
LjL4No57CFJYYwD4v+r2sJFD8GrL6GholBEqvkrpZ1m9wARd2qcHepJLta8v+PjcBRNrNea3B6Dl
ZJvwCjf1mvqtIN1p4AN6Wtx8Wy+vc1kvqKo8kqSLMC8qj2FfFKoLirWpD2h+w1JfOfR2vynSXpmu
J347OQAUxTN81KNgtobIA390KAa2AGNCEzwz53Z2Agb6Ai8YjHAvT3D0REbhGVnSeZhFngjozuvc
7ivm/0BQ5Bzf63V+OwCe2qDmfFZx/Yi1xyTNK/iXRu2GjtR9aBkvNCWcaeEzV6FVJm4YtRkGPj4h
SWLgmB56fCMsRjhOMMgkKgdbw5HG72/53XE375wJ23J4rGoB66o0vLG1Tn0LTayzjov7fWkTfRHO
5DWOcRTzxO2mKF85W4BGpAtt0L5vosg4tGC5wJ7n2znGsjT1VB723ZlAJ7UP4bwdGSVW3GsGT/r5
e02npU6vgQs7Yd5UjTzSanajJf06b8lemlkx7HjuwsVGJp1MDjuQBPip+ETHGi8I29ZNDHpaGoFs
S3ko5L54W2rcdh2RfE0qKovCq6TElW5iqhlx0NeAChy7P9HBScMpHMXMjN/BXyCZCBKsU3QqAvVk
OtMmzfuToV1JVnXKXHl1rQSHXi0ekyHYt2H03FrtfekUyISzuqbweZTWLaqoy733NFXa16ikwqFR
eDJmwX6erHkfd+lXvsH7cBntLe6C67At8X1nylcjK/rHbO6DVVHFFyNl6B4wqAKf9Xw59FSJVlI8
lb2Kbplck495SUqbVGzT8k5wnlOzoPY5fMwGdqD/DPTfBnqB9PbXA/2uy2BYvLd/VlmWr/sx0mPX
WUZ2gDVoLQhijNR/jPTGF9ZWwmSYJcBCTOSPkZ4Y1gIOh3OvI1ZiO0Yb+WHXIQCuLj7kfy8C/l92
HU0HU2oL+mk0JKDfBvq2g0NgFeZw7tRDQBZluima7U8/lP+g8X73/Pyq8qrg7AxHEqLFQ71k1H5W
X0Fk6XGcNOVZH3DGNDg2G7TwUNdy/RyquPwW58aYXM9FJO1TGIbWUx1YWnJtqyY4UjUbNYIKpduM
xb4KaS/3cTHq0XqOBDfgWXenKT37pgKdTdlPjQNgobhtVWwBUyjWc2XdjFGzo2AFv2k2bvKoFZ5p
VAdazq8UO3lNp+RFAYHSleUeFMQTYgLnVxReBW2ztrV0b4VkwsRYf3KY00YfDV5aGdY2qozOVVDl
Vy0dj1XPQ7Wz4nuw0JXeuPzzngKp7mmlx3QoykM15h+E0EI2zwYqRPbhl6Q+7awEc66OgFuaekPf
zREo1eDRdcX2EeYWe1/1dWzyg44PnGkuv+tFcPA17b4eaRrTovYxyfBUhtPw1kjjMBl1vqni8jIP
x8FzKguTYOSbrl/Ut3UEDMUyAIEHk36ZBehibaNfp4MTuHPfPSmxTnzEGtemZgFM0dpP+MaMG5FW
ELgv8HQZF9ZQG6xcqwj6axXvpAobh8sytQ5xB9Cx1Fhh91TFGuX8KKgL1Pl1ropOuTEH+ImZlt4N
mYOJ3U6elaoGYUmdhEPG6ZS2g3DRXA6NAv1RFfR8CTs4Bu0bhaMbhxBTlA2aa4wVV5I0f/Rn8EJ+
ZTNhBeJQ213ttb21nS3zrYzYtA9TDXLAeLObLPTsOPq0M86LgDoFr2qdOwS1T4OqUZXq44iOTuac
eBdqkNAFEaQiyM691ryKOFbd2mAPgolrn0YJI3DfbiJ7UeN0vBlG0w5rQ1EdXNLdmS3yfR90sFjS
dh/qYb0sa26Dsa28wgo6N/fRCgyQGX1AL2zB78+x41uNwkD279wBnP4xoXEXE4j8jAHJmiJZcsG4
SfSRIgvFD5PLPEtrN4ij0uW5ch9M1W1umPRuJPpVkFqWFxbhwJt1/NrHKe+eoSLQPfDzsCwMz9LH
WQQRpY/zDwMK1Kav1fskSDmYiRqPylJ+FGBBt5TPVrGfQfmwQE5oVtUFa7jRR9kAYyMLbd3qU7Iv
v3lSQN9VPohJdjSY26o7MxjmFRQV3uVOmtwnqu7szXmMz1If7qpK2ylz+UGgck/vSUpav3wXbcUe
hqmMfTzjYzK0gOGi+NEwWjgqPoXA8oFuvXE7QbA9ZgUXNEW5qbvYyRj10wpYS1YTjQcToFi0mdcO
pv8mNc0VM4wb0BQ5Fvql0ZiZazEzKtBySj6bSyj91BTWU2ibHzSAVyseaxVrILHJ0hIUFohf23hR
xu5iaCMS/91zQFxjeebc1LlYk5O/KYS+H4RyA9XGk0rwoCXyubFNVpnqhTMQSLXs8wTZcW7aDfhe
F+r3O7eTlEtY7CVNm6yBtbgJ+XWrqQGmM9bWZX+yrGJdV3CUSWF7rAUH1qLcS2NbYTmhXE1t/ZBB
E1z7WvNBz81Gq8ZHpfkwO96JvbQ2ugElyvVzStRXjj9QxRh3k6Ks1X6yHqygH7dVVWtuHIArMO2y
LU+Jrj9lhUEUfgaI3ucBcbWY59YqKYxygkg569t2KmrXhqiJapw9JFWzqdvhaRjSBwrAnlFN9Wu1
M+czB161qdPqpdLEPqz199G3rxaGpZM6wcIJQnNnyPWiqrcx8afRJpsz587I7OkyyMLbKAheWa8p
7pB06UXNzWhdZi1WJEp6XKMNn3ON3+IQ3kVRAd5aVw5d3zx11EUyVxNS8Bd7GYXBNIxGnD2uQ3mx
1ymp9BpixlcKBJE7GbOjmCZnWAc1IHk+5c2j7zSdZ7RWtuPTbHtV2nqG7PtdL9oB8CxUNp18ynbI
1dDt09LBvsiKipnT3A0kHRdz9Jno4U1jgCGVYkuaAAu+4tNiwNJ0luIOQfmpFuNtYNZyj/XzCSop
NItg9k///djl8vCbtUrFcUdOX9r49MG//HroSkjdmGqr7lzQfyjFVWzfSb5rqLGr+H9Zkn51aiyO
H0QHKUCPL9FxzBq/vlYDIrPVhmY42/7aTx6qaRMq/8NV9L9eYvn/Pzm4hrRK06FLh3PJB5M6jVXY
fzXK2//+M/uPL+I4+MS4sRFZ/+1FmpCkKC1Rw1mv76riSHRD6ff//SX+/GvhR/XTSyyOuJ/+HS0r
i0AY43A27Nus2sxZu+YWklsv8fQ/Xmmxx/x66/r1lZbv5KdXIvxhZhIgx7kiEyRydrPaoaO5t1/3
2WHO5u9DwN+w2AkSJiBwADfqDhLWry/XBvE4160YQFI9CRjdlrwLwospe/r28/vH0oXt/r/MGpcf
9dvH+58njeWr/pg0mAxMTFvMEzYfR+vnSUN80TB5GUz6lpA/Txr6n7sKfkwauvzCkKHDgtBpvcQj
+rfEQ9idv7whFz8X4cnFH2YBrFhwFb++Q3RFGzjnk+QK40FbH9BDEP6jPjOUR7tIrGGdfduodFVc
XQuwS51GzXqd7cb9XvVhX7LK5Sq0ilnNhMuOpmRZwwOpvlDHtAiffN6BFHFRJoxSrrlZ419NCRtw
MwaFWWomtTgIh8hRV6NCKM6xtBewauwG6+SiVOdzLnFVW379wNJ4y2N63nT2+DCrwzvmrxusnPwF
+lzugtHcYJ4pdrQRXfO2/+yLWoOtneHrEOxFy6FN8OZnZ8XQETvUqV0M4Fd24V8TO1h2i/iPAgnV
cKztXS9LDf4OwWepPRvk9dkfkp8GrJJCAK36tWMa8a4kELZ2auJYZuHLdVaFTx0lM6zxUX6ChGKU
uVRh9oT5UuimKziNZBvuwsYPwAGX2DlWGvW7tHAr6Y74OcZegzxeI0R6oVZ5cGO11vgo+5rdgsWj
oRkj8yqyNc0NRCROZL2ZXgztHOYFIm/DHUlWVrvlitZswiLDndJnvLQW2xyhVbuDYjB7NC1jQu8F
VSdcXptDLGrwQV2rX9hljUqWORPeqAbOZXQwLEVSHZU0SrLR0O24pSTiVVQ6xX4YtK0qji9DfBNE
lGKvJQUYUk28HJsb1cyuSdDC1/vGG9Tr5CMtuseqSY6FqgYe2sM2bannA4ZyWTvKZaMwzYRZ5Jmw
wMcQe5xWP2tKcowHYnaVRrkEOtIaDebNYL2pBdYpz8aupWHbSs5oGhFoHJBL1E2bYTxfEl2mDTMZ
4JjE0tUNKp+Ifu27jPUuF+acHaJmr7M5eJtHHPg+CFDuxYtLKAOBYjo5GnRtviF417B+AFVTXtd4
ejiuO9EuOfZ75ocRJEpuelEPo4tuIn1FafqplQPCgmoWO2rcCUPYwXqM+JMxf28onLWFP4hKu6Uk
x3QSF8oxxO0w6j11VE+WOahEYFB0pjLBhKK2FxKLtNuaqbaO0kZZqZn2VY4CZOVU3DIVRvimBoc7
WGNBYQxRJJficuZ+gEXWR+YH7/jKUpxdqYsFjKusEp87M6fTnFCtUDuLtdeUrQtR46IrBmdj89ZX
hcGFUKXl1PNNPDJE14qZOHEMoe2QN21x98/58X1XRQDqr3dV+6z8qKOX9M8niODrfpwggoXUkgPA
FMaET3zr37sqIb/w8BIWl8lvnEC+6of9hAWXrhNopWmOux+Mkz92Vbr2RWIHtomcsWVCnPpbJwh2
lt9OEBzlBsAWtFhi/dyifrtnWmFV56NSTZejXoIoE4lKfqq0CGh9qvOcm4zqFI8xHerI1/OukEky
5KxbYm7A0qDJQ2OpbOM529WityaYvNpbAH/CLRz/hTTYLU/S7MypAUBolpSNmCJgX6I2l4WUn7Dz
mdgyUCAih9uLVkhotIH5xufQ4gEozOPMYnev5GnLughRdXJHicUkjoP6xPMZfR+tBKE/ucDHlXtN
OUyb2mQbwrGIp5WklUuwC+sCNpuT0U+HxIyOdtESa42o9kkUhxU0DkKb3YyEPEy332Z0LKTYljGu
YkfgioSIfTUyUVV2R/DHUJ5Tbv+lHPODFXZ3QoYqwzKCAsJF6QbOpJzqWL6BU8ItW1hiCwzlc47j
r6gTeAiNXmT7wbf8Y2nE0z2inI+KHl4GjV7suzD+aINZe2ZtgmEBC82ml2nlWU2K+XFaQCy0MDsX
mCnFWg6qcuCEU49mRJY8IvRFlruTx9qyrm3oc7ds0vZDON0pJY+swsiNrWoX15ZEXSWoBnqRdl3W
G2wB5wShyFAHiNFTohxF2OGVnerQfO7LAGeIqicXrU+7wBYqMHUUq7muZX0V8rvrAVZHl5Ng58Oz
Rvg4G2L+Jse1HaW9Km2nwh7DYUkrQjtpd4rWpdEervR8qPvcuYowXVY0AdkoOHSY6f6Vg5iDmJI4
n71wkqOGr0UE2XwLl0aM3j9Pr29PL5PL4l8/vZ6715c/P7mWr/nx5NIEW/FvqVNrGUQXNvwfW3bx
he4sdkwWtNLv1+IfTy7IIroDIw2iB3/EWrbfP4xz9uK2I77C/1psc8Qc/saWnaX9b08uXgP6vDQM
cramFOK3sS9teTCNxahetTEKnpObW5no8MuUblmFipJm36HYdcT7UFj9ZlMUkWA3axyW1cRqyFlN
Rdzuj3U9g1uyE7S5QW570gGpPZaX9awgLKsGVqY3snko/RmqmOx8b5bD3vFtoJmI42UUbLvGT1dI
cmzCBuN+yOudEYX5XRWwngzK8k2yQyu68h6Rr3SNjIimDKq3dEJwLRocadUw7FCPQZWyv8yvVd3e
itgwzoouL3w5OOt2IL2XDYrvKYK8bZpSrOG3L1YXvPkZSqw25Sr757La2znru6pQbsCZpmenrSFR
ytBZpTpsD39il+lH1PwEVHYCy5hoDwP9XDv6exNJaiiqk92Sey3D5CnS9Lu2cIinxtoHOd1xDYnk
ng/sOqITuZNKSDZX7PzKeVfxq63iEFqBM17nanzZcPHO8uAinp07EaP5mjPO3lpT70qLwpKZX0KL
HcRNgYq7Wmu+TF1DvMRqnsBpJysIKWJVmfhwDfVsp4bwQjzrkbOoqdlgD4dpIgw85eUnuKyDKvOT
PUcXPRj1vR43N53EBz+aCMCMOpjLeKzHmBxXVpl61kxMuFKUDhXS0eBjO23aJGBt6wwcOOx6Z6HY
pzlQUhpd9lykHZ7LJH+rHv/LAnBXugRTWGSCECCxWU3aZ1qYE7aNb9z8WHNOFJlAsc3RNv0EfGZr
UmWVp2QgAvo3Q26orgqOf1i4/LQ2wK2ais9sYfY3ojh0tXZC4s1Zhc9w/SMD98vC+hemso3BTLo9
NQCSOgBQ8Z1bd45baSGUpqUTtAn44aZkV9HX5weLYgEyJ6/gZYhD6sbByJVrsVQQhNO6o5Kgq9jK
5xSiumpb63tOGdrus8PYmmuDQoNJJFeGThkmC0a5Uik9UCk/MDNgwu3ShxBSjMAd0+Tb1o5+SWeC
Ynfdqqo4WzpVvckoViBlva2S+CZiDY0f9HlQ61dKxgvOVNF4E+UMdo0GX8sB3x/FDabND9c0lAP0
CGMrl3YHJHJwwYF1VCvxhj0HlyhVEKWuwcAS5aZssJoWLUrxNPb7BMeO2+cqLN7hNeRnjahF1DyX
xBcKrXyCWXXpECmQNqb0UKdpT/PfWnXYAPdHb06HyiVAXNCS3V1wDFbuxLbdzSfzvR3My6GiajOz
42Pls+eNyox2a23pI2i+2nF1kWX5vUjmB6E013x/nJAGl/nBuQTSC0dY67xg7tGPRHJpV0yl3aze
NI7+dWqdEgRiyDA8KuOBwjBlT09R7eV9dOyT6tYAgxiWyY0tcxMvCSvdlaFjXvMt/paZI3qX4WGt
fSr/Yp2KmSwD3KHiuQFLKd0K8z/oNytxEbupmrMxfjKBXcUFVeVsSlOo7KgaYwC3X1PVlW+qb/Ys
4n+Cg+L7lID2+tfn7MVHnf/5nBV8zY9zFk6XFJJUJxUo1rc2lX+fs+oXuA+CC/r305T1049z1vzC
ygeJWajfFlM/n7PGF0Jp5PyYvqX4Bin9G+esxXf2086TFZPDths8Otdfsr6Izr+umCxRBqqglO5k
8XxeJaR7yBOFGo/SynC2Vm+/sBEZNtVSfSGmOebDmzV2hyHSirT4OdIwTl6FftFVeyNqSshQXcyY
TNqos84lwt1wzofyVALyucPpRGAj1GeLyMjccIUN4696as7XUz4F21L1NaCkvGf9iXE3jTzNmCmS
IFwYeJVJK8fe8JWM8JBorbR5zkJyOXRIk0zBNKV3somajZaPkThkGfXSt8HMVRfN2Y8R30j8bx09
UL3Iwp019q30KK+Ot3weKwq1fLHtEynWw1jNW6r/6gdAgR0UKGeS81pvuonWQc2Zx3XaYdtihlpA
rLlRKrhMy1ledlMTFl6pFfI2knIZ2K0SG1c+QZvhwG1vEz0lIiepHL0aYZ5p28riv6eA7uF5MBwI
lcSHYo62sLD2WMp1df3PVfj7VZg37V9/RO8+wpfsP12G+aofH1IuwzoYF+reF9Y/KsBPl2Gd+K4k
pYul9V8T/r8+pIYKLVjj80mM7rtT5d+XYYfPL2l2btga99i/eRk2xa8aCJ9SapNMsbyWA77+26L6
Z2WCIJmupnwbV70TJg3HgA5wHyvo0nDSUXUiWgoBsGzCrqeYZFz6UIqlGUVQkdKaiXRLXRebIJ7u
bKWotl1MCjEXxKsoj1zHlK0E32pXIPJSwSIl5gNPp5ilYQF2A/Z62Mpa+sfQmOQ+HlFtK013S6uv
L4ETdlTVaeFmtMRr6zefKvvKXTnkp/pbOYwssNJGFMZMFMdYS4NMtXTJBAmtMmpKJWhtSwb5pXMm
oLFsNTlohBnflT0mmzjolJ1YumriDPQWNMB3kWsjYd3ep+Ivj/ud5PG0CpbGm1aHNEeARVz5Gnek
cWnGaZeOHEtg+Sx5+TlK81VtUdIyOawOZ1DGq1q3K+TQ4TK1fM7M8ICbddfWAGDgC9IaoFcXMvAB
BbQ9kU8/vilM7H+yYEJneKglfmfo4XQFAk7BuYrvEQKLW4fSX6u2cl/Oza1T17syVO29ibW4HhIw
KdJ51CvrraiLU8VDeQX54sBa6Gy2/l3Q434ZuB/0DMh1aezVzrkEI954WqOAa8nx0ZRp8RQP6UHm
0fMYtw0XGeVzDGwsFq2zidL+q5k7H2VuVXvsFLTy5q0Ns4MfCzcvlj2wPo5RxA4GwTf6CrP9bE/x
Q6LiYRkytq1pzkCg2Ci9GVwXbvQNq25A5XJ0CyonCALCw5uCKKRRsnooaPXdZCosm9GWgdeo412x
9AKlGinKqKfYPp9FvySR4LYb3bls2Jyo1hCvmc1YGbdPPW22mGuMja+L99JPsJPTZHzIiT77iq1v
gtzqN3LUffooGuLSvF23XELZ4PpGRvRCVNhRDX2vdI6zDeyMuKdd8EEo7M8JKrCRNK96iQUXXd9a
ixgSPqfFJ/hW5G11GexsFkllnqSbaAbxFvoE5muHy3fEZ8QfQfP3BYFRH2ainpI6oTx5G/TSgQQ2
Xum9v9PMnGErv5KJvVeUaNNpXNM8f7h0+Dsbo70tqZ1xJRmqJJOPlkOQPMcrPugY/kkzbxMBWwZf
TZO3T1bKwgl9mDtzXDrrhjJE1m2ts2rjfFMk5aWmdduGfs8m6PZJFRzbrMx2QmvcSJvOWtrvjA5B
AB4b7/ZxvMpSbT7YavocNtHJlCWCijpY+7iyjpqTnaK23KZQFJkqcEQWSUIaR7YRlnuB0wA1Y9/F
0VHrIkp7y+dUMFiTV8PTLfx7wzIfu7q50hhwttgrHSLUgkxBCCe4zukJCgMLj3HHVonCs5UjwQwo
U3YzSP9xZqhHaekaxi19Nbd8XZDB8gza1ANfs/fn+qPKdWOtzUuPASAklUU3ri3Khhx+rG7ffkt1
XbfDUicWddNScmR4SV/LXVKpn0C3LowoOkaLn2pM8RaneeWpWfQ8S/3Ox8/u1mQ53KplekxicQMc
9VlQ/rECWXqtKTiAxGx/SqfbtjNSUJUj1lMLdl2H3dbPtbs+bC7VXmHhWdoHKptp+7ay6xR6EJF6
5RAO6X1ktqwU2/EgJwLkQUo2d0RBI/xFn1Y+JHibMN/MKm6XnCSOSWszTaLpJ+6Gu6oM9NUkMLRR
PYEfJ4zf69K8CgqBemIPs2dYyE05WImLgYl/19rkNQZSInPFjQp201rp25ISpeB2xPvXacrOgVbq
OFm/Mcr6gJuSPKugk4Whbtrqg2T3IAtzQw3xU1arZFLUlwphaztqYefaQ0/sLrsHo3ycrSUKqwFq
7o1NHQcUKtkXUVnv4sanRY83kTvMdECizmwnS7zNorw0A57Zo6OvJcUMlag/2ji6bMfqZR6DtRXx
6WymzoVs8VzgUPMTHHHjsLgj1J3V8jQN2o3R8yYAr8STu8T7lNqemeToJ5N1V3bRJQMZ3EQelJEu
i3WfWjs+3GhpMwEHnRF0bBzC1DN0AWN4SHnf4pzHm4Q/D2+KxgbBqa9rs+/Bas/FVp2CF87Oel1E
IcDncCrW6Ph0r9uKjR/K1LZ1Uz9FibjF+YL0ODv3wmqf4yT0SZfb46ppeWukVil4gsDO0OxXHVzg
tnbqDd/fax1XWPrt4r3xZya1GLN1zt34lCd46310NM68ywEww2pYsqAOlWJtXwMMV4q1k3Xv2MUw
/VnVOxomYUancX3FT9y294lzSHZewRTCuXB6DzXMoNSmY2RteYJRVXEKLZVPWQmVDVw21OdgNxE5
Yzn/qmOZW2E8vJ0KQJGREn9lP/5mDpZLqU62peF+yz2C34Hf3wqTCHrVV9ZhVshstJTP8RCnyIar
kRuJeXKlIporZza8YMo+EzUpXDsbroCP0uimBEdVj7L/Y+88tlu30ij9Kv0C8EI+B8MmwShSOVxp
giXpSsj5ID59f5DL9nXs5bknVeXyoiiRAM4f9v722lPVp9RIAmEx9owXxNhodc6ku3Bf0whBWhVq
3/S6C24aWZx5mpNKcLb7aBfhIdDWWRfJg87Ior4sM7bajGpiPSTFD6XUvNENr47+i9b4X6vLdujv
6+iLuAjbv+h1edEvZTR8HFTWDj2t4eI3XLZNv86U9Z8s9roucid3IWf91uq6P1G4UkEzhpb/C934
ZaRMF7zMn4XJdk2wSvtXnEXBbPoPrS5LN4ziLFjhNsLI+X2rawSWAtQmuPhnzWoesCRnOeaHKWcA
GWkd9WXSmjHZeKkF4N4d650+ZDe6ZpGcaWXEf8ejitdK6AEWDOm25NuUDUt70UMY6ZyWxrQlW4Nc
Sp5lZVbO6U2J6bpCQwGN4mUcTIUq1LqcXI4he3Fqz8uKOKyjt1Jw3ZqLn5udYUSIkrYesXqjg2as
Y1IxDtjAIyP4Vn0Zw0s9wfOWfRnGU6Jo1vniIu/RZeAoj/ip7rrsWH+fbW0iOA/mSWzHAbCQbNgQ
Is9KveirN5PIn5CKHHZ+HqyNqtjyrB8IS072daLtCahXCC6KN91qEioEAPg4lB7iUHs3z1UxnUsb
YgqmfCaIMyrNLLg3anmTl/rGozxK5htDuQ9DT+nImt3Gneid/2tovxpam/7z72/EO/VaxG322v3F
3bi88pe7Ef7B0s2iG/p1V/Pr3YhbYlnsoHZkI8v9+NvtKH+CbOoQRKdTPSy36m9NrfiJOTKdLqxU
HOWm++8I8V/og9/kdjS1UqelXm5+9kW6vVAdfmxqNXSnaYMQ6aqjpJvPiVk5yaVhk3m+USrPrgVP
cLXOM+fS4TTkMY/jDplJg96kN+Az5UZ+qs3mOZvKY9YWt2BMfbVIVawkOEu0Kzj2mO6iZgktPKt4
Ok+RPjwBQ/7wYrIaS+TqwHbcEvf6vDVySoGI07ZDMs7kqSMTRCVnhZZmdKUNv7IvjDcTodDYk0S+
HcJeGhiM8ZweUTCrkBpeQ6NDKimFT/4VhB18hWK7fXUQS052Lbyj+xWdbX3FaAdfkdreV/pTswRB
JUskVPeVDtX/nBRFZpRol/SozKMF3BCvo/leK5sEPLngfKubUK83BKuBAcqG8a1zifIZ0PoLsHpr
FQ072XvNropdaIFl4IuhZg4ss2FrdeUZMku9NluqgyqKN/WMHz6iQCuD/sHUg0etmQ9KaLc9uugC
3JSNd7DX1GkcnCuvd6eVrNwlh+4WsOgrZclF1gmNTrk7w04tQDFVexnh9m0847bvtINrmJsiYAkV
Vp8muJxcG/ZGrI6Dm+/DoD6x+b7MzfGSLJA3fWpveUDvzcR9SKlhIkfsAyO8cqO+XdVZdZdVsFuK
JfJe3w1Oe9so6VvjABXABqbPRsOTr55sj3CwqF1zIloS77OAImRn5AMO3WYo5Q7LBVyu9hzE7bVH
AApuN18gY64oQgoRXc5lfgUDioh36rLWJj/FfJqH8oxDc0VDw2LKXlfJsPWi6DIJyksgDBcwqLek
eh8TB9Ocq7+YTrKVsTpXlnoLS0n+HmLwUHj3dgO/Jzd2dNUnoG1q1Xn6ZYdNfKqTy8Y1b+ppWNN5
PDiRdciS5RuGCl+l+aE10DPADvOC+sOzW1Yi2ZNIogdoabcq0rZB5ZxA2G3BSlzqSZ+hoCNW0R7f
en4J3KmGT0QyQXa0hYIkQcBVoTC2WjxeDGN0KFumH3JqPhph3gIIum2mFM5O2Ds3wmmw8g/RpRvY
54mMl6sm05MD2abwCvC8LOJ3XOErZ6yvIM2eBoNLqvPsQ9a3GvruofKr1vs+heOlPmIMya0TFoab
sWYaO1Y4KbJM+FZdvyCH4vKzXGrUYDfW/bTVrACkd3YevDHayry7T2kOLG3hqtuYjkzARihI4Jxb
OcWnFjXjYhwGtBEZ58C2b23Q5WuM9KisRr7xPvGuk0rbtSAaKjyBTGhSba21ItnWo3FWSbdLg3Dt
eCUsYUIpuDr4tkwIQl7XXoOGn9aF3RKnRYxmNLUXWR5f2UF6smptR7OBMhOKvImmY6jz94qdztac
NX+RfPtJMPFhKffGyeShBIbFIBrOarGIEoN5VMj7u3Wpm97ajIjZwbdyQswClU9pFAPlNyVYJk4m
HGEtny/Z/Z2xGH93rZpwQ2nug6pgEANnZcV87BYX/6Py3KPmhHupddk2Y7FKNuFwdjy8YL3NEyDX
UIh7VdH5Zh1gx46reov34VTWxrDCNnaVpvVD7+IniqLxPnQdrnemXQUB1/iWroKMjyaqAWlSKDx4
6BrXXsxSmup8OBENkV1EAKfX/539X2e/xYH7D2f/63vzmn8U6i9Ilcsrfz37UXfgYxAc4gLoEGDJ
3ypx4yeJqBi+0c//5ndnv7AYF0iTPha65I8RX5QFhsRyiVKasei/HGiTNvPHWpxyHxEJamHdXgbv
fzj78YEV7VyOtIIZJAm7i6ut1UfJZrFE5WJUW2SteIphw/TPQ5JfVC2RUS7itRU+ungdsDbxYRUZ
t+GSMSWdfJVPhVi7eqxd6Gp+dZZIKo9sqsGt241IGA1XWXBndZp7LnpSNqYev00F3ucSccwmCaNH
DsvNgDl9G3vySK78kefzZzpOj0OUgypJr+qsIafV3HNxL9EXHLTE11d+kiF5mycr80edZ3HodRGX
vvuRCMQirvaS9trH0EdovJaJE7N5oEtl/p2RC+NqXYMK3XdgasiLHhbtHeXD2xRRWi+qGDrpnlzM
jnFcN5WPUV7emC679hL1gZjwUtad6nHj7LoQBvTBrazbunXPpJl9zMxYp+LaNaoBZkB6SXTpFkfZ
U14jhWUtHhXOfe/Q6+vJ5xTalR9n5o1seHhLNtfMqtqHUlPmauqYIXVZlG1HxXSu9iCKNi4MAqgv
Pr5LDkWpM29FFrHRC7qouWQXkdP9r9uAnB5NuS0GoXCfwqXmyLd2yJOTWwfWtz+alHHJROFlxODE
nVKzzli44pUoBwx+qHwYLDQYbMdsZWulvuvG9uDoYLUbS8Vbm4jEfYc9LH0swgV+Zy4cPFJOQOJl
X3i8jJjP0XLJRKWz2RRA9HCT7kegepFaGO55q8RZBar1Xhpnjr8TIgIB3zMyj47JCLZOixJQ6MQM
tzOxOiFKnG1lUwDksxk/yEE+NoBM0Q15L2k85munhxox2Inpa1UHhmKS914BpzN3dhXo5l0GpgQl
pfGgdYHhd1BjNmMwF8iSUJSz+a+xtJnFVbsQNpD/Et7Wn0cmT/dcAYDcbVEuo8PxuphQOchuqDBl
9m8tcJELkZqM2JPoozKiEZbEpJNra1xqqOjVSifTMdccA1K86vZNFzR7s3Gzu9qts6u+FMV9ak7K
r8B9EvRe3ZdS+Uq5AEy7WYHUcvaji02gA7YJW6UrV6qcrgblBWs6afgHTH43TmwOFwp163aKA/eo
Jmz1QbWuo+ERTyTeS5xo0J+ICQttb1qZo60xKveGlzQZBtgWdeDHUhU70ofS99RyCLXuBjL1anlM
h2jcE4kmN41ahknNTAYL2LXmZrAM9lKhJc+yny5bjByAE4iDE0swHIi1ZjsuYXFqiY3TJAFyLRLY
FXKn+b/l6s9DIZMxyt+fR9fZ6/tH8+ep0PKqX8+ixX/PgeOyw0RU+IezCKmgTdoqXerPmZK/KCA8
5kVMizBI4deADc4J9stYSBI3aTA6XkjsfKPIp/+FAoLT689nkWMY0lxMNqyACXD9XR/aT0NvK1sM
V2rsU7yS6VPZT7diwXDivbzKjTp5B3NS4DG27i3Fxq9nSHonxfAJymtLE20zkQbxGcqaRyDQz1yE
2SZugrcmBAg6ZgjR+q64tb0shA5WBruBIa1cQKJRJd46K75z+/kpWlCj5gIdNSt7PZZRvmf0CiAO
UXG+IEotWKXkDN7xXv6gDHanhNT45gI2TWSXrANkCAxCH+wFflqk4feklWdA+De6PV5FYbtHrEx9
DjfVjHR9a8MxxtnYX48m1lnC5tyVWICrOZoo0ozAhbLtqrvkQG49dSzgDWNBtXqKZ0+64Fs7bBUb
K2VjvKBdywXyGlT2feNxZCEQ6Sxr0wG9WdULEDbOpwOyI3utFlgsaUyPjvc9pyVtTECgAGU56b51
OrC/KqE5J+miX3UTc2K350B1xumj18EwG2IrLMyMnh49hgbZRp5kBiwBWduAbEOAtokproZYXIoF
dFs2jyXg266bLrBHIPaY/SUSA0DRoQvSG3Mh5oaOeyv5hIKY3YlWNtshyy4bILturL+l40z+MzL+
FefOjAdqeMhB8yYges0KVq/q2VpWndGC4RcXBp5Rwr9Jp5j1xxg7OULUhI4weKiAAFfAgMOFCtyC
B4YE/TKCC66s7jSCD6ZI3+rghDkc34kFc1bOQhpuqpATdaEPm239KcAR6wuXGG3Oma/pNAAsrkki
D+xPo3KwNvPnDFCNKwHe2LTju5LZn5vAjdZDjP4JjJumKF+swn3m7KOFmcZXloVcXwZYLTaw+IhU
STeafac7fPIaiybNLHdAJo+dO+EPUN+hnoGciqx7By9SGMccEkF9behkmBppP/rCY4LZaFPiaxGo
58mSS4xd+pgoPqS5YIDiRK1D+2zeAuzeeOwuyf1DCtMuIGnERuGl2UHWbp9RLFrcc885MTPl4gGL
QmqDWdlkc8GnnobGOwQpdU4p2nGHjYh9cDfYpKEaCZFyUK5jcNdOwkFFJ1orvFRRkEwblQP5eugh
n6UrpwdwhSs5SO07WAMAKbTQeoztZAHodnfA1jHmY+kfQQb43tD7mUwSXxTejri6FsGulL4amuwY
czpv8h7ZfjVYz2XvJBuo/tUqi7iki0G5q2gE0IgXcU2yuR9Kb7yT1Qi8M4quxmj+bmIBjetQ+gxe
t/rQ+V2aw+KAp7kpXBn5RK/BuxKXo80iqIrXsy6fYqcg5RV2l5LR1lXqEEsYGABEs7G8zuJuSwus
1rPWXpRVWxFvro52VISXWTo+pDZKpckydrVnX7ZJcz3W3YOXeuDZ7WIdBsNb69qPZYnHXRc41QJk
/5mF/LieZ+BQ8aODuhhdfx6tkYUTstODM4KVuU6j7KQPUE0tw1yPccLyVjnPlQZ40qy1TWOln9Nc
P1SJeKzq+Jw19htzFxhpubhyFSOyrtQp8yNrZdX4FSYVakvuyhvU31tpFie+PEhECZ4nlYqHvO8H
7hDmGs4gWSzK0HdnzaZ89kioTsFIKG6miVtPzPydkXloQ1Z8caRuyUA8dKZx1A1xgWrllDpwItD1
KEZpkOmDPvdYvSKV6QQ+FjuHIhWk6kNDLgewuk62qvOgo1f6ZRF4GgvHDrJpYcDQD17Zcp+idH7Q
JrhcxjhBBqyTu2mRgTfowatFGA5kKPUFWvGBfKSV1qBBKBGZgsq4ICLwHSmCouTU8/sRzblWmMQx
QRcMKr4N1CrbCamyL1Gq6yjWRV4FfuB2QCU4HSqFfnmwV22eca21eTc4q0wPtebY6MZEPFIWFhvb
9dot+1qKX/OrEP6vQ//q0JdS5O8rotNr2378lSaUV/1SEbEn87AHu8RSmfbP+OEfJvPW8n9j+f3S
ov3WnX8FzVMp6bTMbNKAF/9WESE30wUqNXhBOgN1zBz/oiJi/v/HisjBEEJBRvaLTX/+VTH9YITv
O2/U2IANVxN7J7GJ0D0h+hZwysIpjgCoBRdqTkNrMyV9nz4anaHpPlLWWB2qOea87N05PbWQIuZN
MpqKxPqhKkoQ/YXlOu8j7i80X3RE80aFTTzB2W3oMJbUeu8rwX5qW9A+9Dwk2wfTPHuMecuByPtI
W2SXtRuaM3PldOAsnEvoACvMEqOxyU2yLje2MHKW7iDnfNWlBkohwpV3TR/azkNmENxACdEckK7i
pkQ+gVwN5dx+tKYu+RwsOSKUk7TAYYgPekN4BgcPOMujFsjsLQ4K1/dIedJwgU79RssaFycb6jSU
eTTTOecbizjnrXdaAhPmHAQIsbVUMDXR3M4UfbqDRu5ZIT+TgnRH4hnzjaj4d6QX8RDoO5hntL8X
UQjRUBp9RFGTo/tXNfPfRmMdJ5DUmIZKgQvjUeBxDx6xW3x3xhTre9nYDCaIpn41ZIaUZy7DY9Vo
2bW9hIuSou7tZFV8pGJ2dlZmhZsq6u1dW6p4o7NpWKWhgLXsdNl1qoPl4XDAKdnjuCa8dYN6kMW8
tD4iEGx79o1cFijKqBxskNEltQolzFvF5HTvzlm3NjyG7FHTfIohCEDIYT4RedK3/tCAqc+UKXZl
mbdHz9ET39Si5MzvTBlXuiVNX7+OuwRnDilgK0cM043nBc5u8Mp80y6neznkYDobW1LzBNDt5oZf
U1rfsiI1Wasm4appbBTviyamJJGKYxMGYAdYZClo6htIQNjhwkHdiBjj9TwZNRSrCUpPW5rZdta9
cdP2JbBde6w2oyE6Hqiw7oOxSPdGhmoEaXG+/++x+fXYdHiU/f1j877LXpuPPzeSy6t+fWyKnxDF
I7KxTLRbztKo/fLY5InqCEuXnOoLd2HJ2PmlkVyYDJjIdJ6b/3s2/tpILvoCnLsoDxiZ4zUz/s1j
05R/tKzxxh77SX4Hw17QHogcflxossKCDJCX3SUFO1KnuHtpJqQAaaq4L/rMn5rsiYCBeE266jlu
5OA7xtCum6K/ztvyAFRWW7WOSU/T1z5Mr4uoS84gDiEZkciODet7r9OhamUvsIoPlAKDeS5nrC2B
7obrvK2uilF/Qnn1Yrb2N6/mHpOkrG2DTCfCg6TDzAZoVA9RtAIVtBIUBKu4Sh4dWbxUU/nQR2Ql
lKqt1oHrPja1OhRj8aQ87SkoJpJYxZVlxec+jU6qjF/aUkIXBsHcWA4tS4hlnz+M1LfY3ZkmXiej
fCZTftrYiTXzY4mFq7Nhj6r0YTKrhgTvYWvbs/LNhKrRHpBappr8XoNh8WXmnloF+axAWiBDZ+Ok
8hZS8fe69a5jukFKSeanekgqZTAMl7Lqv2FTeydR5DmozSvysN9tCpx1lzYgsooBLRiE1rBisBfB
00vCl8xkdFplknxt+lf62/J9MLxzqjEIA2s7rKovJIMNFJlFdLPGyX1SbXqs7eBUhJk/o3fbEkK3
1ZvhGHrePjSd22nuP2kePkTe3Ft4BwNr/kZkce7rgl+SL8nTceoNA5BsUycP2hxr9wZp7Rni+ic7
vpKMO31X6oFOHjfZdrluPtmhc2urKfAJDL+3Q/OzM93+MMXLy52u2+Li+pZr3b6Fm89UzGX72IH3
6lSyc93subQTCBFVd8k2CVh3KjI8QxC7MTpzOqRbHZ/CinDSXa2I3wvTir674ltjBE6EIja9LyZ/
TUSOG7ftLmjJ7w7yGiBOylKdZdbKGeZbkfFkLth81na9hgpPi5+isUb6CJ92bhMfvR36RjFoazlz
EU8t32FuVuFmaOY7zBm8ayG3YdBvA727m6V1hEZvMZFAs93WQeiTgcPwokvfVTl+kyAJV8Kt3nQD
VmhRBlTVCwlEj/duDQWr1KK9Tq/pa4LERF0vd+6k7ww97kiR17w9w37M7L38IJT7JMeyh86bVFgl
1cENp4mhCk7IMB/pNB3QgXCluRoJJGCH2yJTB4QOytmeq/k6B1ZxYQP/9wllJyIvQ1cERZrQAxD+
Tb9pvqIQ+BiIRTCVCDHWx461db+CE8RXiIKtKlxuXpPhfDckqcRI8GL3eqrj6Nqqx/A57iAlZ1xC
Kzuyg8sKVFeiUGtKaPA6i71IoPGMalRDoeeMN3qm0UfXMcPln7VJHKo+0mwUS92Xeqn+UjLJL1VT
O5F0g86p/FnxlFjmt3RAWn3G0sgEOskiwx9d8a6HHSOm1J0Ib4GDvGDt6JmdehPHpgjv9S9Ljhn0
YeCjYmSLXeu5G7zgxyfLWzebXEPlP3bVf3vA/4nx8ID8/XF5Ktv/83+L8CP7+AsR0GIf+eHMZLTK
CUhTwQFp869+PTNxbNsogGyWfjQcC2f1lzPT/okdIPtDDjGSjr+iU34ZvppfzjS6EDRCguC6fyUC
Wk7EHyVAWG04lwXIJMKU2Vb+4cRMpGjlUHjJZZdvZkcQDraz66cfPpjrn3/aPwUfM1bmXQBgUDCA
MZKWw2fw47lcBzH5rTPiIlUmcUbOvV5gBWgmuQ4sM90kVovAfjINkpclzlwywtbZHFz0gKJv9Sq6
yWJCq5woPnFfdL5uaA63KWrazIj1tR5GhwHuUtdH57j39swCT/o83CCmP9dzeTE21hWmuqOepDzw
+kWZqtfeVizVOGGeE7IJ7zuptGzaU8aZicLBnGXdJ4dcQ3qJi9qdzREJfgGvHwWrrYlniXsctBk1
7oAbR2nttEo8k4TbbqbJSlUB1sO0HwMc/jsezBb9PQkvGhyyXaynkbuJurrKNszUmHWXBlA/jLnT
PvRIFDgYFpjoVW/JS3dqp3EnCEVYJFAUDcqqLPk4m7ULztXMdo02u87OKAcAiCQE0qPW687JOatI
/3C0K8KetTM/v/JbQEHpQoUsQUXJ0o59rPbYsxenYSNkvLcyOz12nIbymvdrrRdnCgX6iqnsS7pO
67ZE+zReR/jNidmaPKLoXXGEHBo+A2Gxn3qB+FhmExQJVXT2AT6WQ86sydmECKkP3DUyDu+hLBmQ
udj2NiSq2L5ZjREKYqJWcPNPh950erbGndgoPvMTAQHtaxuFeIVBSE8jrnGvjg+ayVwOqycqHkL4
bsHAHhN9gjZVGt5tSEQhRg1ySuTkRduyyuGbp7bflwaWyvhJ5sjn+ep6TFTxzD4LzWeLNxODwhgf
XbL5NkJN806pzFgXHsyiNupNqFB1u3Otfj/YBcDS0Wxv2KQZNGT5OS6yc9+0xTZv4hu7dA6SupFZ
ULYvY0LtQku/br3hThmifwBjKT9h565aAoLdYXQ/y7jznbz106A27nWt24auIhWvTDeelm9TyVEz
ynDVutX3tlUfRdx8TIhzUIgukrijN+ZbHiAwX+adPernSfa+5ak9ztUT3mWfg/1Nd7pznWvbbDBo
14j26Kb3gsSTsHznrDeovzKLppeVfur0z44bv2Wza2/cFsqSQmxHLvl8MnOClEPz7FadD0XgueLr
axVb90KKTdC7WzLZ9uwPnseg5eTGOUQ1vrIISyEerdAPiWMkvjFFviPENX/jLaUTZ3Y8hz6bGkIP
es68yEaoEgXmjcpYGA61usBpxMVMgklWjywOA1pJmU8XHjeRXgqycRpOVnmSlXXCyfGkzbDLHHHX
meFNUVcnwT/3pnfKu/4m8uJjZlYbMyBnKAxHAqVTNjfRwH69wZUeNvplqqUvZWq8oPI6xm16UWby
yJjyZh4MPyMhAon7GbwZhXQ9XcxCMLqgp5bR9F6nYt95zKibKmbUTPrZPBxlOU+Hei6KI4k93/Mp
EBgZcKtPIbsnZ7RShr8VJR001nnS6u0/P3n/Aj/EWg3CoQTLDayH//79kzeaDLYMbgb+vU5NBqTe
BCcVwz8h6Bm2JWvwRU98Casuhgzzh1HV7U1dp/q9nCXmxHG8pQo+6WPgp5540ke1qyP3E4dEiDAM
KDB5kcR7Tvq2nLmmM1qrMsCfNzC/YYLcm76Qak/GwBu5S90a9tqjCRJp0xuQUQ3cCDiC1kO9bseD
UaVipYICNEeDP6QnG7vctbn4PmX5HYzqI+uii7nNjnVnnkRVnmRrejs1TCDlp3hvjpGzJpd77Qaw
6SM72eHPFH6rt7f21BnrKnKPeuRxX2NBhldtIENrxock7m1cUeAqzMm8smNyzWvXBYIUp+e+mi+j
Njmkg7NzgOki0KgPQcH6qJPUoznrAFI0N05YnbKQqBNRmFdxNiDCzPeca2CrK+xS5QQaJWmu0iS7
hUQarnrkL75baDFOEmYjTXMdozLw83lxi6HfsicbBtEYvyIQvojRM+DCqdaymbeowJaol51R4c6w
jeckn/zcIh3Rs/cDzyGrLb+X3kJy0HsoRtr3wHBnuijQdx0bPRY1xkGrlmeZOsXC/Wbq2VbXmUYT
RvE85aaxTtop3dhReGXNjoEbhrWjXSVyT1pM91jiaLpgN9KcMwY/h3++VP+oR6JEcHH4khZHeJC0
F7D8jyVCMtM+NIzxLgNaJys5NvAn/vkdfu8+4EdagqkqDC4HqheSZ+v372C50LakF7J7cdHpuVdx
F+/j6rYZUPg1sCHceuslm39+T+a1/NTfCqw/v+vyd/8wye2qVOGL1LSzPhV3gMIQDvI/OBW/MQzF
nofDYK2k8+QG1oEVdbruR5VwVwxLZE1crotm/lZq4hQrW1+DBd9m3mC8ycgWfq4nDy5uHj9MWa5m
9rMbpOPRyIDocDUV5aabRbGRlVb7RgW0WBTTdOhGYb2VBenuNqNReof4PeNa3dS6G/k8gSdfSRfG
R+fddXY273gePnRhbx7yEPL9pL4TL7XnULpvm2brYoqlBU72lh5pm0SnQsmGothNc6eva6J//GbA
4ibi8XaBqBTE3oD8Ct2V44GpbvvPuoWO2VbxobHJrx/s+3GGoK2nR0fRVTYpxVocWNk6URil3M45
pHNyYQ6k602B6VsZOA0rSHnK6k89djEYfPlZgl4pmmHTBzNXMMBAFebriFF0mQD2qOZE+k0WnCsS
uUI0zUbpzgw4xjtgBhRwlYbUB1+XZSl9zf5np1Xk4IGIeYUpdG70fLFPrxs1KpQsx94htKN3rL0o
WHtV6IqKCXlTQGZU33SXqI9t4qycA2PQD4mgaB0gGq4dexdW9kkM/wsP/1ug7UKl+MerjY7ix6tt
QD/YI3PVzsmpuA4vtW19UT8Ou/ng7N2T5OhZv5vDyjka5+JluPjna30BVv3Fm2OgwXtkQqZafrkf
LnUgC7JIpa2dK99ZFSdzXW1RPRkX2pPYkqj+cKWtT0/9hqFK/8p/ZJfTSV8d421wiSM6///8Nr9v
bH6+7ywEKqglXdqoP5JbJ33IMUkl0WWkX1dWtor1p6b/eVL8tx/3759Zf36PP+hWoB91WhRlEYfr
R9jsvenmnz/Rv/wbBKn0Ar3nggj7/QfKYGPWCAbm8Naua5hLjUPN+fMT6j848ZK9/vft+/n1+0fz
+udp9/KqXzt3cuN5ICN+MmEQM7f7rXPH2ePYDr07HRsiKIw4v3bu4idBLw2TgqMGt9uPS0IG4S4j
ckROrgWpjTzUf7EkRDP0u/ttse/YSHgB0KDhFTpUit9fHhqL5NZUWDICL6edJf5LtQs4lUQwS2VP
FQlh1ag85qTTcZG+7oo85Oju9jqpYvYSLzZ4Dk9GJuAsZy5GiJKr2UtI4ehZJpJOtjyvERpCvkcq
9UhYOvL42PM2dly9Gx06QiW7S9WFMLP6Z5f8M4McNGcJRIvD6MX1Ml+jeXjkKNf3BdVbmA/BWgQI
Tfm1y21HxloZE7YWGuYziZWFXy9BbK1FJNuguTZ61+CzH9oPCDVEIC0BbhJD/pou665MoxsC7l5n
st60CSO/54b9unTo6FLNOTpLNFxHBNOqIooQ2Gv5JsmPi8iRyx0dh+rAn4j/ON20lXGNYAgRcXgu
SaFLlji6pHF0OmYTdG5yrRcWupA4U+thibHLqC52rs2Qtm+Hd/LU2nVmdPEqjSQbq8hB+qEn92i8
rrEEEmemq5o/KRMnMkTuWpL08ty4aYuh2SYZ1geNtL2I1L1IjRdVGekg7pbxOMl8ocFYOCyx72Df
K8kjccjXilvpE1A7PxDlWuy90umInxAJGDzC/0AMJVtinb+zTZ2OYR+BNCjgCbdLbKA1SG2Dof3k
1iQK2ljVpy4IbqYlbjCqgVZMIaeplyG5CJdYwmIJKCxdbVcu6ROxoIitXyZIO7s2RISSVRHNaSgI
zCLxUCzRhzZ5hHuXNEQV1kRuCAISqYvflReRyLiEJ2ZLjGK2BCqOJCtmJCy6YVOd47Qifysk2oDM
2W0SE8iok8wYB4ba9IXbHk2zvqXxi3xhIm9KlkhH2WEj1VtiHhsTUXfYze9do1sMkTvK8yUWMlkC
IjvwAvs4ITRynuRZ5Lbny9H9aCriuTFFXSILKtaW4lKmpxv9sI8JMQyZSxmae4cZ/KVfwipjeqhV
K0W2Vwih12043GlLuCUelHf2Wii+chypaVhAVGFs7desZAKdeMzazuy9ljvPXmK+0e3sxBKlaY5I
YXONEEZNopojb3OO6rfJs1HNDqIW0Ko990af0FkdjZmZGgW6Q8c6NlO+sgZSR6OnMeSeN1NZMjzp
gI6JcTuhjLwWQ/4MVQNtvozZwLdoGWtnehzpt+mMhgbasgY9YiEjsg8iRq0EZN4NuyHDOxvDwQtw
6axAErgXhBzVq1oieySi7H4ug6vGrU7d6LU+wLzPWNV3phUdClNe9BKUqkJnh2HdpHGOtOisJ1iB
yokdsJ0xDsob+1Yv3R6hfd0vDp8LaTH1oRk8EDNjbpi9PQ9euG8H+4J9+qerxLZNCQkqQa+VABGO
pTa9mkuR97U8qUcFcnnq3WOMGEhCVyNGORFKPRUossvtGFWo4ImiLO/wmrWPtLIDkwmT0DRXb/tm
b4GCfoEY6BxZt2XhdRZmoTyoWrNfgtA1g3PixOkux3bkd17wZDCZ2DijyaURoC0NFsS5XRLpNizY
84HrbuMsKHSuwufO7vYz1F3wgO4+WrDpYhHPDXEIgQOmupznq7EAz02kwYzcLb/O3JAye0Gx5zgF
KXwBWndw2sNG3DSuDi17cFB1t9We4KdsLaC7M+NhntA/1gv2nbt4J+HAo5GPGLvM154dX3TpBM6u
0l+N8f+x9ybdcRvpuu5/OXN4AQEgAAzOJJEtM8lMkqJIcYJFUhL6vsevP0/IpbJEu+Tle6ee7Nqr
XDKUmUAg4nubh3W8LMZzQhLaGA3KrikK2teZFnOvqc55XfgzheO0y1JIX2CuSA+F4gy2ZvGCDzfa
0K6HMwsYYZwmr4JKzDKZXidghUU9V6sFfCERL55DRTR0QBvq06lgbphT/WgzIVp2nLZ22uCeQ0VF
HMAjSjCJS95xoMaf5QBQJP9prAzFVMwUXdHJx/tc8RYjRV5sFIOxMKExQrPNVwnNF6hQZL9BNpqD
btDeiU1AyPouTmzMKo1DZWJ9KRXxsVbsR1yqH+pI3FgRVEg7hIXaNECZnOIj+dNLCUBSA91H6ks+
Ju7wlowwJscpO46KOsmZ7BgAh7JrVzn/zrPiUwpAlZUiVvZJRWRFP1StC5fXjXeAL0OKF0pj1QO8
LMzY9LGSroo5W6OF3zsespoBIFOSDN2Oiplput0xURTNXPE0MYVu6f69sjpIm31M82QMfBNWGeuz
adARB6tYi++zIH+pe+cgMFGk3XwaoHimyrWrY4NuFODTgfSZG+GXBHHUhgBaavzTACZoN0AHhBGa
i2j3bRv1737SZvv1v/eTH+CQxd385w2l+mPfN5RC/IbkrRsWni5B7R97ze9SkDB/k2w1f8+Ccw74
jw6E5YySXw4AhiVwXZD7+tFyxn+vs53EiYGIQ1bsH+wm6dh6v5u0sHQoHIrHf6hd77vdJMAAWddt
fimMyrKuW9Hj5p37WGfWZM6qN3CahsFVfSpv9ZA/L6qdBO7EvaX6SkzndR7GaFNRZNLgUa9Vswlz
jQzx2rlhfFurUCUTxQrLKtolWSPVjiIqelKiipOqak4ZhqjzSfGeW+YMmmpXsb3xMw1/5SaiY6FX
DSzsRo+T6mQx2akqlmujl5CrVG9L1PF66VSXC73an6l/Zdnom9cBnChS+bzTKYDRKIKJsO6vnCnc
O053g70BwUZVxtj1+Ik90kPWzQwcaJUx7e4phFa0Y+2gMVhVz4QxJTSWgb++V8U0Bg01MMqYU6rS
Gpc4DFrsuYT2SZBd3GNrVajk+HYS+lWu21+sjtWqGV9aVmeL4bPfwGpH1Tgie/O/9va53jyRRjiU
Uy/hqIZPZSufvAQod7nWLfOt9by3RrTnZokf7XJ6Sy03XwtTX9auLS/E8ASHxHGfg+JEyAJet2h9
uJ3T+L6NzZu+0m4Wsw78RMdmMgt8Y6xo+SExYAXaBiT6UacV2R6zY61a3WwtcnxcfcckkuEu0Xq5
rcPsOqp7yKDt9CBb7YphDCqS0zGDGRJs5vm5mi3Pp9vVPTRVIXYzGCqXfC/tHT1tZXPm7lInataJ
ng8bOQSQ+3qhw4Tmnzqz2Dfh+DFwnS3m6YvU+7POi8snplTvGlzRE0RIjA3pQdgh9UQd2oQ1LjPv
9OZAvqpBdtOCHQ9a4I/lcOTcBJxxARPXNa8JSTY52Jcx1A9h4ky+FMkOn/lD3ll7z5iKVbrIhw5X
h56HHzHkfaGVEM7ZQqOB3UtrNdQISoTznoB5V+tQYJZ3qket79t11o4PGj06eKjZHSyZVm/MIb2f
NTHz7sR4bRiUENMZ5sdldW3N3jm12Mp08yRWbjmyrRrGzYQP4swOLuRZadw1RxHhB/jBx47e35Sc
10sXsFXVW5zGZgPuwkyTxx4HcxY/mB1MR9eLUc4Myk2sAXMCKNcdPIoCf0hT7SdDBL5Z6kd889d0
FS/rPImpFOGgBz0y2sxFTfZe0EemcNKzRodJbJqNP4XLgQa2l3RSOG5Tv7fMK22mS0g1+oaEA512
Y85TQoeLs3Gt8iMm2a+6AbGvcqyvzaJ/8loPP3p2U5GeELTMrOxWizZyjtBI8vou6tuXjGkk2zlU
w+XK6mGsU0RPc/MEMcVtLb9x56+ibZ5DrT+OZXebVdo177B0Sy3/msrpa9MbJgQFdh/QOwDu4Mwm
9h6R3+i6r5XG2Tij/gVXvvPCAPsZuV5ftaWGj7OkTm0aXfJy/Zzg/tJcGHLWE6suY/OZiqohk28d
0dwVY694zYJ8bLVm2oUtzp9oGa66wKTwtwnvZDS9JLFN0NVKIYvXbcZ5i2R2a9V7mct1HcXAdaLp
vrPrHvZksclQnSF5Q2cpCrvhoSt5JFyJIz9ONuUUUKhElMXqg8l3tPAegMq5rLx7RMm9OXFKkYXH
jnPO7oKquglDo96GnZs9NWNLQndE5tQdQXRUPdh28shwoiPMM6ZbllU6ykX0OhWlXGEv2pJ/vGJB
v5utcthjHJnQRPvbir6vFYmJ9QC+aRfpMUd9jucrW5YfAre4igK6ztM6OyGR3sY2jnpBeVuAnkGA
tKHBIcz4s8NwbxOB2S9F/9qWCUY4jMcrUYiIuGSNZWbRvtJoxPsiauIdTINb0pWv0uTZrjP4QWT3
SRhNzILRg4sbxHt6H0uQXS6tOZ07Q5WYiXGYAipdhAy2Llmz7arQOUvq3RbEwysxgUcCGJZPv8eW
PANHHH7yFa+7xh9NM6UUTg+38Gb5TodYHlA69l5oEeAlCMxDYxNBsIaHaIZSzDsRWAyJnpjGIQxV
dugTeOR2cxUAKuG/owE6PlXaMq5BFl3PmlkqC+zoh/o4rrRUPtjdvCNv/Nku7UsSVl8mg39dayVP
kt6/1dhoSrEpTgY9t0BvFmq7Edc4UKvJzaHDt+1bs+g3qauXT3WWZIeWOIcpePCzwnzUZuvcxd3n
sc62XpA88LLXj7FsOXy43qGNwzPFLh+8Jd2bWgtkMxpQ7vqSPkkLppPN1pvOXMpZLICkjRrWOM4b
eHZtDa+SqjqmJLju3DsDD9rGpmmQ6OhUbKoKng8JjOCgN/OL1LgZOoRzRCuX+ASOaTfQroAkvjRE
psIUQ/aUVLuyLvnzTnXhKGWsSk8PN5oBDTWZLFx08SdLx9id1PKi9/JjacldUGXTfgnNr4lOk6RJ
W/tKgPKgrbQggOPQ0tAhW6/0cub2S1D5jHj2QKMYnyRt6J6VUvpEGwT5KFbtaDbDdeLQ8iG15IX2
p+uUGjy/A3NPqxo2u4E8CuAvBA2i3r1pJz5W9n0SMgci6MP7rqMcsBbq4ICGtJGe+zkKNQ7+bths
BxqEyZMMw7oEAVmmi1pV5SO6obEKQ/i2ea19iJrxgaJLiuhizy/H7NS3Bg7v3iV50pY1GbLovpMO
nmfwrH2IITzXvQcLcGuYQQAxFcs1rzSC6JLnyQT0OoVathagXzV2TjyQ0GBH0b5WHDPJGfLYYwrQ
AcfWUh9p84y/jBVFFpX8KnXtg2bCmnUUdTb10q+O4tCKTLwNgGk93uQMGuy3FmQtpBb604HYcnwr
1p7i2k4yfQxzgAD1RHu720s/wb8QBq9Ank5sDKwV2kC5MvrkqrIbFNk+SW6QuA5BDVPXBa4bajZC
wJh8MCiaW1W9dufkVOMLkLyWNz5O7LmoBl1gz1RlsakVwXe2+xCoDFRfbI+MhUZIvyXIXxf0r+vO
eF4UDZjn7qsURB64Z6ZNmJpbHXRwNfDoRo1xSxZHdYiY16aMqUq16YDu0+peKgax7Rgm28uJdbop
rqE5FBzNmMu43Rvya+tTn/NYK6px3usPSxZfTXP2QSju8QgAuXT012GABYHJCoMhaX0MBP2pIltR
KH4yJTv0mSimcieTLx5742gg+FSBXV7y5gpJmBEgJUBCFE8xsTdGfQ/VQEauZZfnpCx9kQI6R96I
j19BnjkP7nSoz1Lhn51yImXInk/BoWMo0bQCHQKo0VFavARu+pp0/dmy6qtc4aUxW24h3POmNOv9
rAjUkKgnG0tUAJua6sZ9ZXkHj/6jWk8unWJYK5j1bEabCLo1Bv5TA+emh/Kb2fogrtoE9Hz9jYqd
FYt8mr+xsmvNHtLbzCYKgOtJYleqtKt/z6C/B5+Q1P73GfT6hUPon0+gSiT84QRKgRh2RBQxh+AT
/+iHE6guTEbEGPgN1R3430Oo6f5mCiz9mPex1uMV5Oj43Yzo/KZK8gmJm6jqlkoE/INDqPimwf+h
liNpkAQgP2AJOgzx8FtKEftBQnTxO0qp6cvZzKOPNf1ffoZcviqqGg17ybduLXcGgwx71hDKvY+Q
bfGg9zS4slB8SFzr2iy7Q54kGyi9Qbt2nBwGc4zD5yErPWNTCv021Irm0DGM89ZFlmivVGAwqisM
6k+ODpHDCSy2TrtB5iT7lorUTd4n/a1eVKwDvbwfU6UXD/PZs2m1ngpzXUU84PVUfphn7SPsmwf2
C/1KpzUXlzIzbm0+R7F7RbULfMH2rcFqTGvquAoT/a5KxIXj5UcxtGTRO6Y7QaecJ3Rj9EHxdW4W
OtGEsQ0sJ1zj4TXRV6Yz2JkX3vvT2h7Mfg206nM95su607FReZO7CfVu9FETjG3qSIfybM2aDyOv
cD8aw6PRO2equv3eiI4LiDvwA44/5HjXDTEcm6F6jHTvk0bXBTsZ8zYlbd7Z+cc0XpZVkywPXTNu
h96oboxAvXvKr4I919DEd16vVBEzP/GuORj5/DFt+yNhia96gyyia7PjM+XoqRvmtKxpaUfDW7qv
W41uikj62lyKdSBQyW2k5LMg3kUYqGYu0I0sdCVZb4+odcnpFVv+rG1cqpL9YqICFbTCWzSHV4Vp
zLsuSNjcT7j3XMHUzNz3fUNHEjQuE38Dx9emroidyT7fQQ5UEeQsP5hd47etTR8uWDOzpNc3Kmjp
1YPXlPd8mk3ayuoRH4rpJZQlTRzMQ0ta09d06KxGVm2wCtqL3oSJ3wwUVBspBqfW+wKZjWoMvtiN
q7c9hWCRPGWjSUq0aO6BXVo3osvLoyFCHI6Ol6yXpt+zI6O8RWYWo1Bn7aIY7fALsZXl/r/pMcM6
mnXQ6vYjJuG93ouP48A5I4xafd21wkBPF8mpKqDKhR5IhcjGMR4MibYqJvL/JhOb3WwY+k01meKW
1jA0knTYeVaFByO8ytMW0GctXpDWbYrK5vjssLn2Pdvazi7EmI4OLaJuGYHf4nVuy60Y4qcy1Mii
wAYPI37PJJszXi1g4af89wnj/1Td36niKkTEakP3DpMxhFb8zz+tEZVJSUSmecY5y4lQf+Z08rdm
pL+4hIfia6o5naEL/Z3wPlfh1CZwnM5p+9qnl7n6UHj/dtj+p67klywI9Y6qyvblz68p5Zz6/poi
TGZyNHVoz+RtRarrh9cUnZokz35/fQEJ/+MtRTaNXK7hIIszBFK++B/eUsjtvNLwnlvWP+7NVL78
H4wu34R3XnkmM1JQbOoO+fkOTBotFQ4Ji3OuL1ZwHYnOfp4MnRpkuymK8FKi1lwtfS2fZWSNGEO0
ok5X46SNn5rFaT96kVXee15sL6rLZyy3ZuF0j63ZG2hYCOEbGQEKsGLt4yRYfBjAWH4mROqLSbKr
LXZ9aJz7AVp1Nr+M4fIiosDiSbuTrZtvAqnvREYbnpjRjo1UbqYhWPdEz3E4AWqk9hmn60BRlj6/
pHWDJWskbIVhtsXSxIh1xvrpM77eZgUnQ61wXMZf3sEKG1pUxmBf5fLOGuy7PJb0GJo4NIPpZnGb
cO0NvJeK+h4603PkJoCjAt4VRcGZn7wwhQSxl/v4yXFpWvZdIp3T4LZPdNdvU1lkJ86Xxz5KkSwD
4a6t1gGY2HBWz8fK9aslvRvq6qEm9HNtNkNJlQWCESeFCXWIA+to0UNAhIfTuYmpfGL4cKLni45f
uFSyHvzW0Csqn5ovS9vMG1hqGVPMfp+1CZ0w9Pej9FUO9YOz5vmWRRkERo4tMgqHhITvAEINR/jB
tfdxwf9nDVMP46z8WIBOQNK5da1o7VbZm5FGH2TJzKXrEusU2MEhrrRbKv1gGNhO5Ad0rnDAk6eQ
vAjvEOsukpIuSrBe+NE+y7I4UmZ2V80udmfdRT0rHGeFYp1Q3jQdC0XZ08dhZZXFLos5bAqrZ65k
kN+qi4+JbHGX0g6xRfXbyKq7L2zJAHVkFxDp7taqneGmV4YCZ27dbtVYhy6V+Uds8dO6SfvbZeBd
ZpsRk3FQcTUFqutk7h+aOXkNhhEfWdQAHLH0rdO4j2CCnxxaGgUbkiwHhTupv4Y+3Gmzu62D5Zxx
3sZIwRyC8+pcQgjtT5mXXpZZPscSDbtIF2PbTPDDLKRWSD4zFVbcdoadnEpR8vJr+Itr7qPm4Obo
7DH2jWSi9qqJt+mY0kybn02vOUIDvwwteno3NJhfHYu+yvqZtCXFpYIJbxauZOlcVYM8z/FI2aNk
a+JhfR5qNo9B+8FNnFepTdeN7L+IIP9AMdnBcOQpGVJaZiOHluaMine75HcgdPw5M0YesYXEtTtl
/boq5JkPD1B7jJ7qhtpIQ8/PIjAu2P22tZe+InH4LhMOBi6kHXMzv3R96SIPsu3Mu+IxUlg9Xpti
pdFhdNQyolp2NNcqWyp9J89fiHCnG9SJW6MNnmB5zD5BXSL52H89dzllRXfdG5S/99YnGl1f2E1e
LTYXHcGV0e2ZBd4BKuCZINvOMhkhVgBa4yC77tnbrwrLZTRGis4SqXIX0/thR1c0+JnHmHK82/Yb
EHsaYGPPSzEQHYSX7SlyNp07j71iaYffsNq1ImzXmd7tsE3gZFb8bVQfcZlAcuNnM24iHiyf39w+
F4rcbSuGN3r/9LgorjftbNkxUazvjq9gMyr+t+GAf6gIuJirEGVCXw2KFd59w4bjLM2oAoAlriUU
eP57lPx2lBQc4n5xlPxSfC7f4uIvSi7VH/z+nkbQhF0GopR+SR515XX773HSUuY5pU3CWEbtxM/9
XdP81kamc8Bj+yhMS0XFvx8nKRbDsKnETDx3/+QoaUv+LT+8pDF86rYpHBxydNp7jvfe7u1kHRga
EWpnA7g3o0S8UNbyJRhJKVEzw9Tb1LckUrbNHObZTidLfOeRkbwVzqCBM3HKwqHb0sMyTE2ruWYs
1zxiqnHmNyQC5ug0cTF5nK1dUiM0tsJdkASYQLccl3fgbKBdNKO7o7F+2gyV5m0bQzwVVaq/hXWW
Q5Wcqm0ZORlZmo66rlAtHSX/WxPuG+Mn0TxX5ItWIgSysZDIvhoL5ypJGtg3dGfYEWfWttd2vehf
c/RFxKkG97VX0FShDhvafD2HpYehwN6wQACCLOB25AoV4umuuaNnMqKesqKtKMXLXJIwMmnD2bi8
qKkaaqrNQjiESqT2krTMroq5yz7x8pvvDeMxtlryuFp6Q11StOZEf5ssyExMoK9nna2Ly9JIie1b
G49b6XJEt7oMvM1gU6DtTmQwADVfFY5Gx5YZT7DnW33T2jVz+IYNAwuqDj2kIu3Fz6KdGewRcQ49
FM3SZDhrkQCnvyodSohSLNtoXFZ6Ow064giQVC9lg0OImz+ULku85RVQBCXth0AYkwRkbQOPETuh
w2Rgmix3jbOLGD581YUOkaIK7uHaV7shSSp9w41dHIpmGFjMyvgqkJp7HVsjaQq6F69TWBggMQzF
xjD66FOmaBkR2IywQTUfQUpvmJ58So0u3ARANthm5D5QklMWRDm0g/mcKSJHBJojWuw11vjuPOf4
wHLF77AaN6UrmuZUbZCHZoDyIRTvY0jm+0gRQAQ4ECvi/3gNtqTJpuzL+qbUE1ce+Qt03zT8ZhiF
dT2oMdtM85pBH7B5se0Wu0+DnUpvKXk1KSEnTF4lWXcCE4A3khuNXspRbpvahsBlsYhrZYkZUKlr
7tLvzCh7VqfTTuekjVrYXo2TIvwMobG1rcC9SbEBaLn3WWjtSSb5bdn3DwH9om1Fi9JKaNXNrKH4
CQmqD67QXunOq5wT+Qc9CYKN637ptOkYZ4RgLOc0RzRcUrG9q6d5I7E88ZlpBi9Odo4XYdCOthGf
8gjDTNzbwXXh4oHLqWPd9hHJ7HkKD3WUHRqAZWnNj0Qt+lU1xgRBgJutMNK9hP3IEyjj8zQQRp8K
XsZaN+QwtmvfkNnBA9vqNnQDN7SdkBDzQVtJJ2Zpybfs6rcVNFN94DAcCsY6nJCjKjk4g3X0xskf
DYVi6shC4Cl6cDP9zKbtQQ66y03qlRILLxXRgbt8rWrjzl76gypBN/N8I7vJ9PVoOtpa6ifD8BJJ
ExjcsGlDgnWJ7V7atLhzS/HZo5+M6kDzS+fNdxby7ZoG1uu5XrZaSkk6vzEhnti30ERIK/nDotON
FuRv9K18GNX9aKTJoemjC7XA5xz4j5OESvjdO3kJ0JTLM9a9zYvpZq5nX5BrK4J+rblsQBZtx2Zx
7xAcySv67tppq9kqDybiN+kCNaKIHjIYxWTOZq7Kc1Hp7qagE8Do6HFP+vAiYE7FQ7ifdHedl9oJ
/+yWHosXwl6rOZ38mkeEJic/aIw100g/6LIvTfalDPq7ibBs4up02DFtGIsnGwcl0Nq1YXENpjpW
IM54du/bTsIvsjGeTHfW5H3IkkWsvSxD6hr1XW5RMBF43IF0gDAE3bpe/pUCgBtWuC0GY7+N3LV0
J9yxbXRgzLSfluZJNzq2WO69lNWTG7V3IdWOff65mKsvta6TbKV8wTFpNJYVRV/zOg2tTYQYFJrR
rdlE1+Vg3rHZ/Gpo3Uo0utInVpWu7zVv2LutttWj7D6xy1NnGw8cbVZO4LUraVebQBuOrd5veRRv
Ws/dGmZ7ZQYzF6w3YcUXNhXtuqyDYsUB9m3syyf+VTiqYYjMLV2wPEn0IUcjlGfsKEXLrEw7opQe
Fs0hluxEq6FJtxEgeuw5FM/hombmJZ2d6IbHvC+eu5qikco5YIanwMgK/LJr9oVrH6iV52hme+T4
hqex0R/LBmafZmAQnNht9nx33iYsOphSNnenAzVluAU2eqzI3g0adPDY2btTcKa541BY+RWNftdR
SW6m6ONtns2XKlBeO+pBRvc2abyTaUyfKqnaXRgdCs99CBp52wJFK1r7rp/YLbpGe98rGRvdaNUs
nNvs7JTZ4RUDNR1aQ3jdqIVqKZ/mtDuKhrLgSpH8Rs7no9+OatNT4AAsHppqvjJEedTQ5c5awHiQ
Qq7svqWgyF9Ed9XgoV7GkZFlyosnQQ2UD0mXY9IjQKh8Mp+wYXFiS3F3gNGLjc+SXoaiq5/SJjro
wjiz3lIE1aTMudsjlcg8lxls4UU3PkV2W209M/2QN13GxDndpaZxSVKQBik8rqIczS0h/30Ab3IU
GsRtSv0GsvWUXoS+MYt1mpFXjIoLfuBdEkxXEyJ0pZHFbpOXjl6UivcfTwDg4mRwNn0fbppIK3xc
yzgMe1AgvCQmiI4DNTHDYG/bWAfD52xjfdowbmT9aTGQhtOynfLiiNB+bDr7A7Z83jWYYwpEqS6m
QCcatatCQL0AgmXA7GiM8pBp3fXCiKRtqjcClkRLWw+ozXQ9WMxac53X3w9b2sufewn+POWzySoJ
VT2k0krvI0Ld2DRNHxfaWc/xiKerMr3T8Fr++iIqt/iHovH7NpRAFNNU02JrK95NK4k36NK2DO08
ua8NPuv+01R+Dc11Tq/Yr6/0VxveH6+k/iY/aCdlgOS9BFxJuDeAQnHfUF65HEr5Memf41L+3vvx
D8awfHs8TTQ6cBhEN/r5cgLbuBtkZXgZtOeuP9bhW5G9/fNPxG6ZzTKXMa33AZdAOpPuzVV0QV1O
xl0/z5ssYvYf7mJkEdHd/Ppyf3E/YN3j0MJgmamefBcQVVEDMetdfIHDtYpNispAIqd/85neZcbU
seSni7yzWbaB1tky4CIJ07SuOSVetP7/9zHUx/zhPhi6hRFIwRWIVsD78FO8OsQ0fn0RJrDvb+uf
Psa7X79KZ2qK8ja+TJq5InntxRfo0yxwn2galvAocVf8+op/9esQ8QEBbEsivO/DcGns5jGGjvji
1Le1HsI9PTjB139+DfodJRRi7gN4rz9/dXhfNOkOTXIp2giACC2zpQ9D8tcX+auvziTVx/TYMB3K
tX++SDlGjhPHU8Lv86mQEJE4e7AYeMF90h8tMhdjcPvrK6p76t0axBL3xxXf/VhkjOkkMGaiTKhY
Q/tIRfjfLAbGz7+O6ry0DceiU4KBuOR5fbf4tKVF+eJk5JfkhLh64OV5XfqUht1Gd7ZfbOItJNPt
rz/Vz5f8trL+9KneXZKQWj5hIkgugySEzOxRgPAW5f7XV/nr745BP+5g7jz73a8lFwrQO5LWl6Cm
MYzUCsacX19Bffvvfx0ihtxtHqITStrP90MF8o4gn5ZcHI6+syvYbT7HFiDHJPmbz/JX39iPV3q3
wHEixpTnyORi2F8i99YO7uvlb5a3v74E0DLDo9SIStSfP0xMAbVrLWF6KYqzTfp3wmgsevk3r7q/
eoS42f57lXc/Pa1eUTeHXCVO3zKNsgVKja2tnfZ+2l20dJfZf/Mb/elj0cOK2d7CtoriiDn0548l
PIy+uVNml27YYR8dJayuu1/fBn+60d5dglnaj8t2MYR8oVGdXUZ8YoYG7J7W5P8vl1CxVBqZPOZs
P18imSZAQ5y0Lm32pi0HRIK/ucCfbmU+A+ob4qzN4I3s9c8XYOl0RqNY8gv7vLwnW5ocVPs0JOxv
H+TfkImy1vzvqexdPHxp2vgz3xYAIuImh8//9//8rrqqP/h9KmtYv1lok4D9dNZiJZF+H8oazm/S
YVBLzwhDYE+BIP4oHNPJmSC4GrSFIG3yyH0fypq/8ZPSmEGN03/mtf/A4/Pt9fbHckdSmY2cKjaz
PUniheKzn++RSBQc+HpTXGPhrSvnpGGeZR7nWXqb62uPrsSz1wszXUNwx9wZqzZ9Y55xjc8digGz
k+zcl7VG6HLSDrZdmNc9lZFrPI7FMScKfQ9SYDz3k1WdiOyUb13YjVciH9N7yxgRisrEK/xucr4E
Irb2peUGWypnVE0Fg9xnuAy6x8CNhGQzVohS2S4VxrheILK/Io0ZXzUzXu5EK2ky9CLCs8WM855i
1NVSyRqiTiIgFSQY/SMnveR5H3wQbPLu+krLons9sdOw3WWOUS+HpYoCypiYrxNzM5yCRMHKQj1j
5jEYloFPcx7dcn5hHDHcNo3hjvqqbIS1hjMx6DcMHZJNbsd18qAlCwSmekgdh4iErBucuyZpUXvg
ZZL2vXmwBqqUF7LsaxqRVuoY63YVpqrCxg06NJ59HCqzeaEZSdLhGxHqA+PaMnqs4Qzi9CtME88I
bThzRGBpXS7W3WLgBN2LgaaY0kneOpoKryp6TPArMxM/uLUbD3fUbRjbubEL/IIRN+Z4nXsQ0LTd
vyvC7zoNj+//XhGuy6L7Qt/XnxcE5JP/Lgi0FaDS8HSzwcDjZ/Hq+b4iCOM3SgR5IfyHDcMy8n1F
kL+RBMNiwwNLc84fy4Hq7HU9tpPKScE7+B/pNBDPeN5/XA9sIovgmTBoYLcxcCf+vB7kVWZxcHXl
TW4uw7bSAwu7tPPJAVlbOv2j6ORDutwGAG3JOW4EgNu+Cx8CRbxlnG36hC3WNTBclFrAuOaYPuSK
lGsoZu4MPBcoQ7fC1nSowOrqIWGiqi9RfprAjxR7F/Pas6ZovIbi8pqK0JsoVu8SJSR2IdkHYXNV
jJw7EzN6zBnGFbP3aWFgl1Uu6YG4fpmT9JbO0ZdGGk/TMAufoa2Kp5T+HKWIn3Vy7HtUEDsvh8dZ
d59jQqTHogIsYYz0u+pV8pD22bNO1fDBypm6Uu6NcLLsl1o8D21+42FQnqVzD0k0pRi99mjHAavx
0EfxJzfW9qNePraNFl45ogJPavl5MdwYCbVc2XwzzfGNsgjUM9CyII4+l4jAYVeQ7pbjjafUcJJG
B6vc8tiugF3R2nevym4Yanfpp1pE9Yq/4q5tFybkUNIzi1FkZ1O/nSaCcZsVrEq7bfeDZGUNRpPR
knaSeTnuyw4neRAr1mfCUFyeyDIvW4tiBh/S5L4us88Nw6B1J1pU/kbfNXKJgHj1l9n19nrCSFfH
k7yLCsbaMcpPVnC9jGksxFhOm2BKlzmm5YtzFMb1kjHWJANP1QOcGLids8q7yStrLRMazAmjn8Yw
opjMWZOqoC7DYkie6TbRXKWzhwy+fTmSQ8hSKrgyp239OO5YyR0c13PsoajkRKs75wUx5UBLQrft
W2bSOBuVFHg7OrL1HYMDcG2+zSKhh7dO7gojJxvFL6dV5oNNSrnOM0htjnRPtWYcMre8Ju7wjPH0
Y9Ti069d3HUjbcOLlNQ+JJS+zg2h5TTpDsPcleuB0sg+xhaxwDDgNZPfBq1l+qBf9rnRldsmpJIA
g8W4SsuDKWKIYQ5aBS7DsqrOVhPhttF3tpExrWfsTzUUM/bMvE+W4plGzWNnjJRak/5G07uiQuCk
Y8AXOX2BmV4d3MF9Tdrw4EUhNRgCPJDbfiBwdI9f/4Ex00EvaJ6m76iU8pDq4Rk3w3PRZg8yrflS
l/Fkmc1RwW/7AQcos+rbLB92UxCfLBV6XGBzeOXBUBv62dozfr8KLaSKZjaPFe1qY6tf9MjKtv3S
rIOwexoJsKC6Ltu46c5Vr6h7i3PVeOLOjqtjGg97K50Jt2R5f0gGSt705jqsHESIAYFyxr8Rivu2
bB/Doj4GU3LdR9Y6Cue7Qs9w4PDQpxnRkjF+DFNnZ4flPpexe6AUYUeYKuLu6K7Nwot91zFv6bU+
sP+5zbUBk49e+1HfHAZPf9In2p5cPcvWnujvxsg+9fAQVjQIQopa8id8FnunHwhIUsc9LZrfIyya
mXxeXG83auOm80YykcOnAn9oa+tflzZkd0R0bMEMEuts3VbOohX5nWDjCJBpzMTWLW3WvskksGfl
dF3K7OiF/QmnzWHq+m6lGd4xgn5jDdkxCOdxxVD6egxo6Yi9QgVnqYxqshtN93Z16d009P6pyuNt
XuvGJraNj7HRnybKP81Uww2c3BOTkWvMe6+VMfE0hht8o0cj1B4nfTibhnGjpwT6JbQritlfhIaV
Oq5CRKn/x955LceNpFn4VfYF0JHwwG1VoQyLxaJ3NwhSomASJuHN0+8H9WhG0qi10Xvdd9MxzS6f
+ZtzvoOfsmr5LGrd3hZdlGAwyV+VaZ4mP2+ZGdd7WaY70mWHTePoj2yaLqqmX8Ux5I5Gu8Gzpa8N
696NOpBm83uauXez3UaXhV2pg4jCW5UXJ23RdYdVFliz/aorZ+ca4coyETWlLbjLoR6NvcSDYRjR
h5zA2DD/wS7pTpfIDo2tTsLTViTmzq3sGklwrBDksf5yIrFv8u65GZK7qpgvpy66D+tmj8UyWqyF
j8WQ7HjN99GUPbXQ1Q+jdS0lKwCBcTAlxrnNx51tlQT6RfeJmJuN5/R7DfpaO+OibZybOdMxxvq8
NfpZw4iCTWS6oU68I3zeC4ROnr1XD2RH6cONMp1Tk3HfB1mjGVnQDVXyaGPx4PB33KNR4OvOsaht
48ohVIKld+L1/Drnywp1w8qpeUnTpPb1OO3cqPCvkYaRqEbOVjBr6LSMHqNN1KPR6rv8vcfuajlF
uuWGYfeNDHOjjGw9soO3y3YfxjAmxgxBdNn7/UWajZSpuEeLukHDAKZFTjDvzLTWV06Cct3Osqe+
jIyNmJyaBRWaJD1uXG2Vpw7YtTwiR6qFsg8D5DnVXVR29lxr284b7JsGVj0bnRlNw5BZUIt6iBKE
Qc2g4nXtEtnEBTTFa6jgW2tMA9eYH/MqvI2q+thVQP9dvJZG5nVBoVfPIY7JZW8S1Dqw716Ou450
4cBs2/eedGBdei9WaJ76gR0+2irwots2JO/KbO5Z4E0bz43fOFkfhVnvEZ2chT1+hKl5hPhhQ91l
xZOY5brRzGc120c3yYnAzsy14+agiNgdKRZfHVd0PbEIdurwnAp7k8nyFgI+8Zz5fFCRc2mPyV6v
5wUaf8h9yG6lkJvERdzvpOaNP+R3Ld6IvgSonhfFfQGdb51r8kj88EEI7YTtck0ptDPG6tCGPvFs
8SFyqyM4oSfHMo8ZYUo12QEgGyHRqk9hSp6MjG7GkEphYg85h3FAy7q2q/Yjj/1LrSjWDV+6EdIw
Nt5P8LBA1/rFgYCl29pIAzy0a5o82O85bJRR3DUSt2NbYIQHq4y/LApAQWJEQk266Pg7IpLaVN/n
nfHMaAlvrj5ubQ09B5IwSotqBX234nSXz5lJQKiO/3aoDeKimT51UQbwMn0ktmSHse0aVxJpEK1+
Pw361kzVU6k7gjU7mEutTz6HddnjyyWavI3Nq8EWV2Fkvo6idQLGGIEVurvUTw5+IvwtBr5jL+cP
NdlXrdJ5xQPaCcfgyxKVgw0ryh2opZQehJPjnUu9vCisLgAn6+DzEDcEQVxmLTJ/0s62DY7iVWjH
yFkbllHx5LzYAyoPn5OGnd14OY4eq/ahfBrt+UZpzothpOFWJdWzoJsm86XbyqbPWLDxqr1Q3/vL
0YMLcdWX5K1GdZaubSVPCk2GjLT5rBn1UekR/kKW9Vjb8i8I+7DuTRUCQP5pktNG76u7KBkVoan5
YXDZ1E9tB1N4ubVt63nU+aGlmPs29cjevJqsK10mV4gy11ZqxQc3nptLxS4WZbL5hI4puhiIQvSb
7AV9jbVffu4AlZl8F9zmzPTMFy9GrqqsG30Yk0sfY6Gnq0OkxL0BOWcubdIThm4XCWAIubysIvJo
XatGNpt/6bySiFpC5iPTu5dteZHAI5K9Q505ECJjtM+TXt36Y7W4idyrVI+ucrS+mWtNR1wRj1Xm
v1ijecu+qzzaJubsDp/H1mitlznH9tbo2oJNKHZFz39Yq/RtifUP2afV79MM0WaDtgsOl5UL8w7b
ukEbUdeaFYDEtgy4/aajBYaehHP692aTFk2d4+Ne1LnjkdSJnxooIxFixB+YnFPFqK04NfPINOXu
u7by+s9+7HuG+0+TvX89iKNb2C5Y0Ls/TW1kCEVda5rkLKaDVpwE9l3Num+H+98/zE9D0D8fxkX8
bbEmW5h2PzaDIbMXugBB4W58GcoHzfw/Vr6/+O+7rCuFgbODt+vn96rxJ4eYhTw7FwNftL0Xvv3t
5w+r0eAd4o1alIw/Pv/IxaFu2lV+9ug77Gv7X66Rv1y6/rTj/a/356fPGji2HhPDnJzBHsGSkEin
3Y2F7PojSze/fym/eKiFybsMdG2GiP5PH0XmkRA6zKU8i3TP/r0VKwWpz1pzDYMu+/1jLU/7PzMA
QJosPr7/WJg2fD/7Jk86710ny87KXIMXAyDNT4szdeq3v3+gX72o7x/opxdVuAS8dN6fD2QCv8KE
Hm+5R5arWP0f37XlSf/8ovxl778AjaFELkuM7/awpl0YJRcvYdIm+T9vPaCT8NPvX86vvs7fPcTP
X7cZ7EwJ5ro4F95bGr5Y2v/j67zYMF1rsYSSjPnjSyDp2m4tjTzslBPQBOc3/T8OL6S+wjGZ/hgm
3NgfH6HQCup7Ry/Ps/s2uFcd8hPR/h9n168+dL7Ers3GdVm+M+P6/oMAP6iKyZvzM4omtJV4BHT7
picvV22wYv7+E/nFYzEnZ4yqux7O8J/PyTgkCMNP7eIcLz11AMA5hrheMbbdGbdfH+qfJcgiJfnr
kefVm+Jb/PP+Y/mbb/sPVOmsKrhDXLbrFov878adxh8s9w2ONV38y//8bdzp/YHZDAM0U1LGkI7L
X31bgHh/6DYZjJCNbUNwafwt0pa5bFm+OxgWk/Oy5bVYtAAUcfAy/vh9rKGOWDaY5rNSDeouSoxV
7RNdqOzpQU+rXRh7n6wBmEeounfRhRhlRlzOo3Vs7DCDF6M9LPlkwp5O9ozmykaBaoCHIIwrOTsQ
LKfQuyZgFM+/3hlBhbpRjv5pMO3LMi93XuTvu9SgocDr5RFAta4jMAOtM9w5dtltsY18aE5B9CEx
S7K3opPrgOLSCBVceZUdTAbZVfiCdjmgKmEP7loZ3qOrzGsK/7Pto3PrSFRDl9dnwPWmXThKqOe2
f5Ol0V1EeVjYqDwnG6F4lJViM7XWx1BG6WmeO/VWtDzOZPe7WaujtQldVnMo/zUptuCAGPlkYMZa
avAWUaq66EQkA0MNBQY29hIyriAd2Fu/yt4jSPJknikmXM2uq2qEZ0Rx7cYZWKYriAYZ5B6/XjBG
rb+umnhTW5l+IPDkaApADjocWVLXfND75MKGkomiJCTCH5y7Sk8crLB1u2ZyzKvwa4vFlHMoho4N
zQyzwm7s7MB47srBB2wWRbtu2vC1ibz7FErXIdHMvTWFH1QppNCiHfR8h5hYRrooGDC0aRabqThs
VpXMxT2zUKSfo32ghxs3VqRuscjska6769hGiRzNTbUukyZkpduD0hLkxaiU1DTagWCOkymoQpIu
IWZ9qnUatL7Se2Tos3HrV7qHWFNiEYZbCFE43mitLrb9IHzJcW/kaNzD4uB0mr2PPIAhg+bJg/Ls
zegS791bFmkuhpvuWhg51b5uopJgdjBqF7oTf460UgUeCKsLVl0Yt7L6UFfRPePaJZjM2Fuaatec
/0ETd3bQexT8fVEeC69eAsm/lMTukvE1HMXYP6uG8ZAzJ4+dUQEYNn1z3YfquW88EbjNfNkV42We
i4UVlQIj9aABl9GuHexTQXLaFGqP7aCLNbQwAsrpXJzIOrsEaHfsp+wkJePMIo7Cl80udY3LzMHU
Ifz2dVbhuRfywR+ZgueY+SKjsnfMYfN1qldJUKdls03igrQGeYoJSh6zKA7IKTwVGSlnXNDrwdU+
J2HyAMC0WkdaFIOvFJ/NRD320tto+OJWNTabt762gd9oL721AJta72SOuBb1yZE3jrRe0bocG939
7M7Nkdb7atatI3HrZAyX9nksS+NU1PkuE8y3lOscTcKuiZMQK82Ib/tIQBBLplfDvZdaYE3eUSXJ
1u/hsBN1Vq8LuPdJj+GyldkNLhdtbZT1i9JaXJpduGaUdR3buCgcs92YAxBjAFWa5uznxfKC4R7t
e41csyYiKYv9ExHkaN/lOSGburP41A3ErD3MvZ3M51ffAVPTgl5yvD2jNOIOtDQiyL267Ib54Kvk
HZ8D0Ri6jv1v8FcqSe/azH73a0TL3Uisa1G5j5EGu1fPQ37E8FlWZtwGecVZuPLnbNw1hTHlfwoE
/7lxDQry39y4H/3b51/dufzVv+/cxdSFmBarF2UcYWbf3bn6HyR1An3jLGDBu6g4v925ZIYaDhIF
CiZIfPz5f+5c2OvC1jkhMZf9XTOYaf7YYHy9cmknbZ82hk0nz+LHK5dMEWXaYTKdk+LanEj1NkKm
3WPrP4wzgQhiIiPFJ9ncm7Nbb7LeJ5VpINdmHbQDlETIu9g2SUZvpH82Bd3CqDnv5A2fss5/nBf4
1lB8QS69rZaQ9QQZZKZyBbrOMcj2m0FP5peos9GFh4S0y5npkqiwB9B+sYSTj07kzFuTzhRkcMX6
LYSUadjPMuNrPs3vBB+zWFtIgFX3IJP2uiYxPmHOs0OudJeTJV+WY3QVki5fDr0CM9UcdY8x5QjD
Ih9LXvO8SQneAtt06EiqZ6IQYh4ptkWsPXVk2eNuWSHuu6Lt284W4Vl4jsMgLBo0xEO3SZNqW3k4
0Uxs0UgTPpd+cm4kEYxRUk13M7ijpA8hXqgGpBQwNjs1Ey5uCwIFIZAkWdkv+UwCkTOELgxqkV24
hIluqkFvNtoYEj5VphtvWHaLS4TSRGUyEB9v6t2dg2OEmaD9WFdsvtZRUlsMxjoubSCcJcry0WEz
+aAPA6MVHGoVCVNVK0jJTtu+ZvsZpUtudZShmyjZ+lXA2ZivB7IBCbrAxIbeCTrsNKs0inajsPq1
O6PLCPFcWC5sLMxYHyq1T5lo/BXy2tfZolpDLMyAL+we2qJ4TXCjhDa+tAxUpNUcpq4jdw4uu5MW
e6AzWhBLZa9I5zj5AnawZJkVx+JpspyLXLFdzO3prdLt6sHKcZHkFjd8vxrUcOiMcTemabhP7NBc
aUm4R5tKVFVlHomf1wmVxYQxadO4mnPvUetxJzmVth18A08juNYl980Lh8PsA88SpSI0MwLY1WvE
YlVql6BSWQl3vi6McGt2KPo1FHt13T3OTOIz2/hSmrxnHPDPwmP1HcoHzCEvUV5fj7FM1mPr7WUx
Pzc14ChRxnsWaO4asH1QjO1F3pFHZ6Tzc4/9ian6WzslAYkGRz9NNnqiXpxkaDehyWpMCobdWZ3d
c108xDS28L+shqcmj/gTAzXrYL/clwrD8arunFOt3Ns5tnbChM2N/WwnJmxzXfdqe9EtSJ+tqxdn
JPnnUaHnqZzZuITrDFrAKS5n2V8ZZrSVxWcJ7aVjohc0Q7grk2Eh4FsLQXC6ToCfeOTArvwBI3zr
Ns9z14wE8xpveQjxzRayXYsGFlgWIdjpp3tnpmgYy8xdmbV7DwkCDJl4mb34RPDmjWloO0ozKHyV
/znMxT73Pb5GbkXuT84XMFwcSWMQpsaHnVqKH5R+z9f42W0JGNPD8qpNsLX45md/nuog1YbrMmTl
kze6tQ4jg1C6sLBXmROz/m7Zp9hyzK4n6d9K/P3LKJrwqp48nHzSYTI4/vsYtm8yq65DvSaYxrXD
TTOIcJ1PlU9ZYx8V5M3r2fR2gHni4ibsq/ROFfqncDJJ95bzw1yWl+YcvetsCbqsm/bIr7SglQYo
3giWpoobTFyscHD2f5TKnYMO7zuUAbUY/SoudrIBVg6uGM4iSHuhVV/OuntsDf0i6fRDHLe3NZsm
bFHmwZmtq7HTjmXOq0xktVFtLNj+aBZhalD84hziqWv9OQX758pfus6/vvLv3or/2SQf0S/838sf
frv1decPQR44WOGvbfFyf38TFiE15LpdRl+27/1ZEHy79c0/uJDR8SOoZXSNjug/t77xBz4PE50S
clsU5USu/A2pIeKhnzrtRbpES089YDHBQr/747UPMS9uYpaPJwadVKK2rBADrjvHliDvoIpwOfez
W8PSEMpgMV2QXtmV4SaKi+jS7FL3TcZLPgRlu6heUzfT9WtuLHrutOf3tGr6wj/nZTtfRGaXJQdW
2MY9rnTNPuiNIG7Z97X2nIdmeCEnRxD9IGWq3yUuh8xxjuas+eQXkTOcalMR7qMwoveAUD74qSWb
skg6nOuW18EnWVR0/ldBXVtN7cHKDPC/xC1IQoDF1HEluRxSbhWLo0FcwbGuqtRfF+iWgnjEwVpX
dRt0YkqOsEehkoSz6lYphse3rik4MawqpEyBxTOvZRF317FhvzG7fGWV+Cl1OM4ZEeZr5dgfqs0/
HL/U8aznlfUZlQ2yBhanVTQcilnY21ZqHQrpyFn1hkiS9SCJ3yNznBEDgoInXUuQKMkh/DQmbLlJ
GDAOMQjxS6A6+V7qtXvlVt2IOFJVO+YkJTwtFIu5LMa17SkmtjVKFL8noCFu1MZpPQx6DdncbX70
Oh/XQVi7p8m254O0iHgl3ZXFkB/vgJ6C/YwAdpqTl67LpitY8MuN8vwP2C0alOp5n+kUeGggd1M4
oI9ocrmKQvCU+Puel+jnjRxmkv4IXSVrlAUjIFCotcOVNEcugzge1362gFSYRnJEK+PMeELewQMy
byGOFR+psOqLvEqKp7THcUqaHmbRPv0z/OqfU2uZcP/1qXVNsuJb89/DweWvvh1ZaCE5dZg2uxg3
gBj92KiQO0jLIbCAGbQj/25ULAG432cdYqFftHSE0v85suhhWF5w1hkYir8qJf/GkYXw8qcji6kl
02N6Ik5N4qV+dhpYcVQUGHn1s50NrdxDyiNH1avkKQ0zYt2bGy+en0IAbUbVZrsh8p/IHyWmfgHY
M+/ww4z+g4YAuyWpHWV94/QlZDdx7MD0OPl4MMdmM3d7O9VeyigipnyLaf6sp350YoQE/9ie/I2r
s0SUDRIyZ5o/U5Oz+13oq/j6X1wL2qdnaiQIDu3LXOb7gWJqY9r9NdWcGVSg6vj/xXHuSZhHAn6y
WPStOjd7LLRugkEhPhLVfBlm47NHuh5URRnDbR/vcm8c1ghwXoZJe6pn6HHjXNG3OB5udf+qcKbp
qFny1tFJ0xgL0DFjmCLlc/gXw+aLHXYW/yKExV7fYNI1NsSEJCuo2cYmj4m9nUvzk5DP1HZxQzBm
I9YJZPS9s3jwQretN3Rok8U1gYcZSSARgBtF9AEKHLP13/SEgKMgGWsW9EUfA1os5B5PTUWjoYEd
tkYViAVfwRJz2TgTB0VNKlHg9TWEQvioqyka2hukhnAj56y+6Usz3XUKy5dyGQIZC3O/qSGTxxWx
OXkhUWJXznM518aKGnQIrNryVmVJbFXbxfZq9MFbhX5ooy4aphtUvBZm+lRs0qFfx6VTXvis7smt
tpJTiCZ9M/hdcxFj2N2NdURFTjJPs6kM6kstNsOdLrsvhl96ZLwCKK9kGO11R3vvSYRcQX8htrWn
GdYrpsUJCtW9JZwPXyttwFPDEKCno3PwrUMmoBSXdppdeybDWZ0MbfJKqPx96GI7KzMxPveNvfPi
6iMfdX9nL1HcVa1l12QpRBe8c/MqDYfizStRxxlTIvahwBHVEAy0Kgwg76beyhrJPFjpvNaKdzVh
2SwBTa0am/FQ62n1cXDL4RgNXb3zY9S7IAfMnWqdLODDI4Oisb8kLL4gZsTY7y1z14CUjFeCVExU
HtwzNRlv7yKnwQT1wkAuT1zACcgZKmX1QRgNOhkLYeHAhOyyd35z0UXNYG8/zLJogxhnvghG0xuZ
sjHj+pLBKt17um7clDo0U9xmzZGwCoEWkv67FuN9pukRctSM8ETTl0h3q0dQZNFazCGAFn8oGZNy
B/bNixZVT1lZAHXkXg3inLahz8sSNQaMY3dKH/WivE6rJnmdfPRdRhzFqNI88CAK7cbc3YDNB+pG
LvAazE118DvnI876106E2yHygKf52pchbcFdFcmLqaUXSH6fRwfKsNlozjrL6+UQ8U+8FYdO+l9K
fqdat2wRcu+eevG60vECEHazKuryisLsk+H4T32m4XOoR+DBtXcAprEv5+aumf0HQoXDQLTUaFVX
BwBOEnI/k2lnGvT0MDcZB+AnH6KG6W58G4mavOsIolmXmdXRFvMbLTLGycLYJ2V8Id3w7JnDSRvN
ajORqsIvhVQrEk4QGCUZTATkmu+pR+PuyDbdR2aPpMrqTCQzvnXh4D9dWU5JDJudv/sNMa256ArE
KtV1OWh3jBuGXSplchGhx6PhI5RR4tTgKdFVTxqcCTVyJoXlEN3kSAVowtEodsuPZxbgl1HQpPtW
2XGQkqe3EwSg3mZRrTaegaaRE6bbNamD98Ie/Z2y9CmY09hbOBkZJ4w77UaiCoKQSA+0XrkV+HPq
oNuzvzRTNG+kNR8QL55pqI+5mV5iw8sDcxDGzhzMLDCFCrcSgM82dm2xy8IQooYoy73hjPYSVrpK
4mxGWZUYO8NcGHkpzzbO+dUaA8NeCPPQuuJsYW5xSgmweLuh4JXadW8v5NKIQCTd2WkpQ5I0h45a
RSD0ipwNBMfUv1J9/yl1TJbtf13qLA3aiqz39lcdGn/5XbnDzJOihVUoA9pl9/2tQ8P6AbJ56cP+
3YZ969CwfjB2hXv6raT59yrU+QNPCKt+8KssLv9mg2a6/zWX9Q2b/pEGEjM0RdRPc9mmo05nCaKR
cpCn66w89Ek4rIrMQaW1SNmlO+21RdxOe38jKJrW/SJ8H1DAD4sUnhHfYV7E8WqRyTP6LVfGIp2v
FhF9gpoek9gjUWWvSlSnCRvUvMju6bPqwEKJHyrzgeXdLl8k+lGb3eLeqtAymp8cVPxIUpp1aIob
fxH4Dx7yzjqtCUF3v4yWM27TQd3lRvrg6jlTUjkDDNCYceR+9Wx1qtskuiIATRu2RDwgby41wtJk
t9K1ejdIjaaE4JBV0xGXN8PD2rBeQQ+O7FTbhKP1qrJem264yb1+C0ZmgK1UNm1531WpUAxhdQuF
pDIoBwZ/q3S2KH0z5YEhIDpXkxn0BKFw7abXXTrBmC+ydV7C9exE+rl1Mb8Jy8cM4hHu1F5l/YPR
lO6KobhPKChplox87txRlys9N15ThMQcoagqkWjC0SRYxwmb5qISxTvukJQkgCwuRUDImc7ZkFvG
TSUjSQnlAuedSIOLGbe61H5ABMWGEetzQU4MF2p5VvNYXooimdaa6weFS/sVqUORlVeN3uxyzAqZ
716MdvhM3c4MUJoTSIt02xWWOOgd47uY140ud8SI4aABFBlOM57Pkxe1yUWfIChVvH0wYEJtMafk
ZzQa99kigM6VC5MFTbT1VR3dLkJp+VUzXX/VT5MRcprxdYgGwLdwGmrRRW5dK3EXob8mtwBVIpys
CmW2hna8Qqltp+4Bc9JO9mCcFyl3j6a79fLz6ONgGg14T6i+LeLimwHLS2p3OH7SJxt5uFsSOYdc
PF904z4C8hEhuUJQXiMsrxGYQ+nf64viHKedWjuLCn1Gjk50ELp0HYX6iFTdWTTrfOQpiOr0gxyN
Vb/o2rUpsgNz0bqTbUj5yU2OCB6iOEN+VPFtl51mZPL5opefFuW8qVl3STe8F1oT5M193en6msnl
TYTkXnFNFWq+wPD0KPx0AGaDPQiRfjKllCqU/EkjX/NFx6+53IaLst9E4k/SF1vgRfVfIf/3Q70M
BPnlszOzD+nP8EmfDAwDZaNtSgwEUH7fTSUwSC3Wgig+D1gNqnq4jLEeZIsHQRjTtlpcCQkGhBCb
QpoXALIpboAevPeLk4Ft5aW/eBuQIxyzjH8N08OwuB+GOj942CH6he2z+CPGEaeEu3gm5Ff7BALP
ae18NVXEqAkBczrRS7qk9dhptyIj9susNXscJi8N5ozB7wM29bvU9F5bzBt5Z2nrEjsHSwwCF00E
/Op5WvweRo4ZbLBI5Da6W0+vYOCgHmZbaz4n2EUGiD3Z4h8pPevGxFCCnOTGWBwm09yf7MVzMmI+
CQuKKMAO+xhbSuLJp9SQl+DcHlzwWqsMuHyLkcVQBHZRCUjRPcncuqsXx0uO9cXKl1VWfUqwxIyL
NyaasNum2GUyg9Rw7DN8SS7KxU8TY6xpQlQBi9Om6/rn3KhgEqLa7THjlJhywHEfNSqLVTVoBwvb
jsC+05IJm2PnGYBukTZzOfotSM/5pu1li4K9OpkYgUbFV9bL2a032QOhqa8SdqBV2YcWC1FjqQv6
mINuxo89FiMbqxHG54zSNdz2NhpjzEgSU5K+uJNmbEqhUV9O2JaKxb/UYGSKS3lMMDaNGJz8LDJp
J1iylZVYp5igrD7ZFpiicOYdE0xSX6/kf2qTZSrx29qkffuf1Vv9/variO3lj7+VJ4C+KUAs5rSM
V5YV8HflicCrbgiUzRQHFjvFf09jTPsPXcehvmRFIMpiVPyfaQxeddzltHKMfP+0uv6NaczP4+Nl
qLNATCmeEHGiUfxxfGzGuja08BivYhCDzdU4vnz3tvC9B7BZfC+qRnj887Rn0b2S300cOCAY2+VF
fi9N7DDu4RoZuyvMM4FhqC+Tsq6yML216/YLS5wNBQfmEos+RteKAwqnfV2lrFGQejuaA48Rt2Xh
1hRJ4j7t4q3VqM8aJr6V4V92dj0iO5LDao6zs97rtkST1VbmOQJmyfqbMNCINxHKcJVPrJ+nGYq2
sA8juQRfBlvwA81jB31WgsjYSrLPlZGFbK9R5lrMN8BHRtpzmrH89aX1qYvHfNvqbrRmPVoddRpW
kr29s6tcLci8+tnHmBigM0XpZlnDdToOOsjQst3qNZRzvLpHQiRepWFc2tjUfT+fsGv21T4ryj0K
qnlTh9V9aGfcXMnJi/ktz/ywNTGwWLXGL5Ra55aRyKrBY7Nlbr6JVHvnpqTUcUKYlf8qhbYvVHfR
EriztrvpZpTeBTu3Ausn04RWXlSu+xbq/cC6j7bQ1zadTN7aBtRrs4wKbG+fRelZA6tGdcXCzXgB
mwkk2d0jPbm0CuwatdGfMtDIDlkdtSL5DcbdqrT8xzSZW2KBs+s6JD+imeNjm4gXVRlLz5heWIue
PqPiMmY4qObM7WuCH4qbMQ46LzlMGbYrO4VdGabOTlTQlkpHvnaWHwwCqY9AV0Rbj60rKi5gE+Ky
6Z8sgKl4Da+cxnlp2vksE2jjOVTALsyZ9veneKgPJSOuaEyf8JQxdfKHfdZzxRrZHbpcTLJp9mQU
zaMeuk9O2G3L2rnwZpuCp351rBZjZotvyGxeSl48h+vIunD+jHIhYFG8Ziu+MeV4qYbUY0wUATiY
2BS3XmNgw8Ui6biv/ApIaktfojAEdk/kylbrOr421ZepTPcey1nLVK9LsLKm4RciS3klmfuR/7IW
dvY+y/BG5vrMijO6lOlCzotIebY09z6eEfYpgiWjhH2kyOnmdVLKNEU96s2uffJGQpqSxJk3msLY
bDt3qW89d6qJtjhk4GOq5deTDoRzYvroiB82qqFCXzBCB9Xt29HD59ZNXXZEYbUoEcwm8DPVrwws
5MHQOFdRa+Aesp1HQYr7xq9CMHB+2wcxwxGChZWDSDGve4Jb8kkLp+UCTq7GOnEuK4U3yeetIOZR
RWtCB3AMZmW8sWIXUHiniaCdWZEXbShvS88xWJJ04siOBrrpZKxafG1tO56VpZpDAQ9jpZtMaHSj
avbgPtIgSrpLR4+4J6UqdvpMhvM4+8E8GgQXW5kKyrYqGUEm2dllLAX/U2vAwy903VB9sufpsQ7N
N1dWe843tjF6vvZ1aLtTpl2G0kCImBFlJh2bHQkZO3eljYoQDUSYPXUwS4e+HpC6OGcLtiMny7pO
rY3p6t2mVMXRrVwORJ0n7Q43RUfUl3LVijPqIqrCPWOfIO1TQgHaS6avu9gmcDwTT7iIkIyKi4E5
+K4Y5auV0rU1SYsfK3SOeguUNLQS910NmrFGuAPH2KqG/F7qOaE2FNMmupS1OVcetIpZBnOS1KfZ
k1emofbSb270iqYww+U1QsFc2rUNR97BILkB55FTH7IJL6Wm7nMjX3doC7JNA1M1mIY29zlzuotB
OOVrYbV0VIn2BdkpAtiuJt/Gm61NrQgdAdBbg9yQbr8nl7PfAcGcdhz98VNY8QhGl90XaG8ZcQv/
optqpnNpdFUATVtnEF4YyOFys0r33q7KlP+VAljMDbqXyQpDKEnVvRNO915hz89zWCTw4pEw2mRK
rFy8ve3kaTslMN2XU0W8PH+4YrLTPddJ5m1HbyLEkqSxmFspbvdWzzZeDmprenm9mfLyxelp34gf
oBdB1FBiGHIvZDU9iDgN+gSYMZDmhy4z7r2u8o/jNPbEUtNClmE2gWZAAauEeDEZQmzM0aqeO0dh
KS0Z9hPSK29d2MYrAA/PBuXkXWjYI4msBDakLDeD31/Piw77BwOHSYWhU2r42F8gK/5k4ICu7Jhe
lBZXrcRlPM4H2xluhrrZ/v5hAGb86nEWgwIKc372PxcBrUs8MSvnqzzLTijGHjiVMN3mrxyXgFwm
f3GBZvseYHjmyX1jxJcEK5JOURw5qS5tZMIp+RNokW6dSgRmTIgICcVFFH4QWMXWgZ+ANXtXjoje
fv/Uf/nMYQIRT032F2y+H8sXO+/KpPVlcUVm7SqaADfn7B3+TMr5S8+T/9+eChckEVJ5j3fI5ov+
46M0ZPFNuez6KxWx6UJUdjBLDgYRVv/L3nk0141lW/qvdLw5MuBNRL8ewFzHa+gpaoKgKAree/z6
/kClUtRNFdkZrwY9qElFKZgkrgHO2Wfvtb7FvgGFdIHhfhLKtLiCc+dOJLEP5rDgHlBtL+2bOc4g
2dL17kLFusnZlbqix9QOtocmEFs5CqVleHaMBOL7fE7Vg8xzo2fwqCdLm69BJTwlbYp+mQPtPCAN
ayTdC4mO8pJWeRZqeaXRtHVYlXRCNC3Y0BVDhBDcBlsRpU2ob6tZfmHe8DQajEs0EqxGIz0AKmCY
bEzCRpSG+CCGWKzmsQupm9oIZkRsoJIK7v1Oym6rQWP/kAKA19jQG71sN7o0ePg7nWpxYk6xkXil
KJ8wMOTuONOHlZR074tPHVGamrFlXXw0BY5zxiBtplh9TCEQM7VhjFAikFME0Z1VSo+Rx8zFSF+4
o5Bt6haQeCaNCO37J5Jqw+cp1daiXmXEDocHuViiuJtqhfEZPZ48Xme6nh4t+uKSPo8XldEc3r/n
AJWdPy/g/HkgTW4HUwTYufz8jbEK2luR87P2aEjyk2I1mTuXfXrUCcSyWU8/Bw2TSlRyjqSPrhml
OH2U9MCnwryEs/KGoJsD6nebAeRBK8xPikp0aEPnY9V1orrNNJm4mojOEq03zPWFmm3QEJTuIEWL
zR45I07wa6AYOfNDLLJZNDqY1KEeDx1cFHQh5NWt9Gx+rgv9iQ6o5vRSYeBel+908qBV2vQIKSWX
EQPKDMDedj3on5hzbgdf/gr1NLHLgWXASjd6Pt76Vrw3+prkVQWHxsQdwuBjkm+0vj8kcXhTRWTx
GNZan9pPRKKpNnWj6OkVlvSw6r2mYxpoLmMxhdaiCPXKZar3JHBPOKWlPEqK8EkKMZRU7ax4Iejr
fiZVRhgL4PX1WhTjrZX3HilhMPJ7V01a0THN4cIgi22Q+oZtvlxChm+VoTxa5rhtQFYxb3iu4Enl
hr60BQ9Jl7sJgnCU2nsj11dDAWPDAE0S5YTCWdFVUgrJFpeWV9DN01MU5iUFTaEHnEt4GHvBuhqq
9hvKdJ8JFzr+Ll61bZc4OsYNGVWPJEGXaZQ14Fa+JSnIPDWYnWGpUJMOdQmwnUQaHooC/LkQXQIf
sIMQg28iXGTs4gTjMZ0j4qAkvISkYfKOVFeS2DVTf8DaDxWgzogPEqoYG76wjgfzYgYabFgR/Wgp
ABONXYBYAWkV46nQBvPSN6VNkLfMIKs9ZGyq3jYVoAUM5WZKjZ0aDBfktNFvXqacDAElZ8BrGZYM
rhpOCSkBqkrmFYR20re81DXPSPBfmEdyOvVpVagb3+gfSlFgNiYedK2uvdFX93E4wCsg5fOik3sD
UA59O4M55XroZ7ekbtjQk2pcaEKbuqcKMQokveQeej1s9Q+2tg+e1EWH8fZJlUNrYpSadLhgcKI3
B+DxztgzkR5OSX2QOLG8vzb8Ok5YfKS/rAyLguPX66HgyjNWhqJ4wSnRj9fYkPLg06Bu3r/QgsP7
tTbgSotNGdu1aRjqORZ0aHArgO8g90qaaDBHeOcjX77V8L9swwKDbDL2F2UZYQfCt30wKxrtelyg
2YoZCw/8XeKohG8oI66IkDRJTezuhag4gb66SSnfOPU4bSPfjAH2/LwNVlkbfc5j9UEI0/I66JIe
jndIxI7WXWiYPCgsvEnCn0OJt85bxXiwZOumBH1BJ2XXKe02UmQkZ9NWK63TkADmZts2QEEk8pIw
LqAAMJ2xlB6ysvai1N8OpUSfeTTtVsueZnHSnHQIHivGAHj5faRsjRJ88Kn+2m/5/vW9/VBxCrz9
+hJdzaPaN8ejOX4O5y+T+YEj96O/f7ZxiEJKjRwkE9L5G/xRdqXcfXBbvH9X6Gf3X6ZniZjIwXTU
5MuIcDI+JjGcnPcvsnwKv5Slr7eeiagSrLhGus2vn9JoNEOIV2k6WrIjt8/tkFGT3EWj8cG38WpQ
/nkhNJrk7BkG+T00vyhNpbMLTXHEWHcu5SNlzDObmnubrnxX8BhROw92bj9soSvsv1xHTng/ek/Y
tb/wRDcbZfv+G5aXPtvPF/K3x/rcSW31kVVaActIu+pd0UFWcdOtsytsDJ7lpPVKWvM5ryQHU5kd
epZb9p56zJ/ffxXa717F27vzbFaZQsU3ZQxOx0/jVvYMu11Zl4Z9ashsdtcPmrMncGNtHcPVuMlv
tM0tMtL1uGHds+d1YdmNS+vMtVxh323ydXMiWAFSvntf2N1RdKa1trW2xcWwqe+y1c37L/1MB/v3
B+usghbkJkpLwlaOml3YJFG8lKvyVnIrJ3YJg3YjL19lu2J9+bz3ui2Z16MT72Lb2sVHBveO7+mJ
/dV37t9/VUvA49++1jcfqH62O0RRAS9W51WFW8sOnXmTrf3bHOQWzj0b+YQN885O1+ax2sifaaR5
719/uX3P7yokdn89R2erDUuNMDXlNB7FufCMYbiYCTTqO7K437/Osqq8d52zVcckKJ4IcDh81NR2
PzyL42bQvzChrUQUpuXq/av9fo37612dHyaFjMVfq+LuCH2Uk991GVz9zy5wduZTRpPZKCDDY6Jd
yDF9QMtw37/CB1/MuYdeyEozNwDQHIvyiAB3Vco4L8wPvpWPPqezxa2RiH3sjbg9jsu3QlSzNf5z
tsFSI/z8Ks5usA5xU5c32XQc+tGJAFwSywIb+f0P64O7yzhblXQ/ECaac+wGo+6oVu4laXtSICEZ
hNPHg3zsIaO/f8nffj8aenqUG8qCAeWGf3P+MqEe+GXUdkc1+1bHKwh5NPnW71/jt1/Pm2ucPTRp
YDVCFarjESsM/furLPugq/DRBc6WxDnJRiUuqv4osmjTjE6U9IOP6XV/fO/BXzaUN59TGDH08VPu
Y84GNhaCHdlTB44Izq52Qi84dXb2Xff9L1slS3Teu2vN8q7fXJKkGJSRcsge9YnGMJg45xBwbXt4
kvbztrcvZ6fkB7bmZY5km1eCfd16y65++VhdKjtO7Wi2PPQim9wJ1x+9vN9u5G+eCP38zonqQQQT
2B6l07KRCzYkZHWbS46drFX3Ibd3oj1dfBO/cDir76YLkrU/WL3kZXl670s5+957oQGybk3UEm7v
zu6Soqbb1kXqXuPV3yvrzn2UV76d07Fd1ety/XFuwUcv4VUC/uZLEnAxqflQtkfMTPbo0tmMv2or
yTUuupdxU3rZ3lgLa+Fb8Kg44zo5YW56ef/pej14vfMpGGf3SUJIu9rk3Jr1alzBQ7GjparbJs4t
cMLtFnSePR+xUj9AkHWzVbk2LhE8uJ0XbjE9fk6dD17PUhj/7fX8fNy1s1LAFCxmQzlLSuWpa31N
mNO4mlfzPrqQ7Gd4uKvEMbflhqbefnSMO8+kOsi9dp2sbiJ3KRL+LA7+M7pfasN3R/fICuv8qf76
2/DP5bf/mt2rf0jKIhBcwnlepYB/SQsxf5mYKHQVyMqfY/0f0kKNn6Af5EBBvrpODMHb2b0J8ovj
tEbyOhaaf2b+kn+9pzQQMDixNZ0DjIzbTBGXn795zKxRE0oL5chRSEzZ1Rb+uUmw8lbvYaL3r3j0
tmpJ4dEnAWw6hkZaNP5QNfEdQGc8y6+Q9byGt55XJMKLyFfhsAP0pL/VIViAzx6M1QytfUx7mBKc
J19J7oq+2IeTV8Q7XoAa3nv7Cn8325aEag1cgp0LhqjbWMDi26xAfqdimJSdNBGJdpRIurFlvGur
sky9uWjTZjOFtJlSrTPuc6kXoNnibb4vcZACPtDKeXLUnLG8IzRVDmquNC+VpC8flayKHwWt1DY0
pVsawn3qnwxRCkw7NePoADeEdL7Mn7PAMSPdd6xC3uaBmDkIhzsob0Z2NPS8v85kHc4jgyUV3G3e
bzrB1+j5VeZnGVX1jH3cKmaEZp1OL8mM6CzG7EXXgmQWszO3WbRJa2N+zmRBAa2rTk3uTCL6NfK1
LS0uFwprB6zY7JV2rdV8IY0bjUL/CPhVknAL0J5SYxI2cw+vBvR7SPb9vBjdB2WerY0VIKwnWbAO
1obYzldN3cefFStvriyjMVZxqkuWnTZqeJstPUqlKTHPCnyal7kQ9KIXNIspO/CLrtqGstQhH4/k
+DFJG/l2tLC2omrsgKoMuRilG1HJW8MWzNKPtxXCy3GXGZE6vOiDGbxYTJPWwHx9YL1hAZ3SopvT
CA0acgFWW2JGzadQkcr6VAmMrfS5/V52/GflUqif31+5VvSTn6Pm+XeaaH75x8IFHwqkBJw+SEw6
VSxL0F+aaOUPwFDoiJnssTgt7rAfC5fxBx0zREXWz99qiq4N//u/FFI1LEVchhEIrEFL/aOFa9l6
f26FC6oCl7LK6kfMFdom8ezUoKWiaMZ+PZ/m9qEyfbv7cYf8yypx+Qs/r2BqIn9VNAGME8vMuqie
bf4QbfRyLBXp1IwCGp6VlhLmq5Hnt3nzBVx+/4u/yJs+uM7ZEYvMxxLokoaVDYiCVO8H4+v7Fzif
nP7tnZzVkwFWJJmhnnSSR8Pu1TsDJwo0P0sgQqT38Pg5Tf9YdpsuumwL35aiFxbVgLTR4qrNQVGB
FCDbVgtgFKEBUq+6+GbIQhIOsw8+isUJ/e5nvhTubzYjJRJ88gaXz0LxWG7xED10Pe4bST0N8JgJ
drej6ZshYPbj/5p69EGFBaPs7y+AmD5NF/n62RLPKqzcZKTYi8Z0wm3KpEGy6nSfwENDfFRC33Ys
cGDw0U1zV4+NrXXDtZQOOiteAeVJFGbmVBXK1ZIx4KoNFoVFi7MqzT7JmbIbfLFBWSnE0t2oZPFa
SSzkPr7JEDqOvRrRQon4G3D0SmonFNHTOpxPvR55WUBJR5ZLp8/rerQuM/kSQOrKB6YNAiVobiFm
HRTCLmuilntwjfIA0p6BmsHYcYpLNyFdsmTgo2NKmauaD1FyOqDkhph5y5yl+tQgAJsE0CdDjv5D
vYrjQzxm6x46412mpXapMPUqrNtW1V1C53F2MznVokCFq1mZrmhisCmS9LGlqZ9lc21bDNyXINcP
DqRnNfnfHnz17HEZIquJ27GZT+Ja2fjbed8+KGvw3ycmbPt2w6TQM13LQajHAXKXUZiPj8I2WbVr
ca0folX8waB1eXjeWybOjq9qmnZGttyyRbJFsIbereYouSIw9f2n+Hd35tvl6GzBM6NsTkMU3Sch
t9Pb8Wu1RDg7eDapR96/0pnc8vvK9/YhOC8Jef+1YkXyKcRRcgmKvhuB3xHUTVnhBCfoH+9f8Ne1
/M/rQSBYGKBUyedRf8wDRsNIFfk0wNnK5y+98EH356wV87oASm8ucPbZ4ZugGgtk+dT07uLPHQQH
i8UH7+Kji5ytstZo6TO5dPLJ6i/matfqt7L++f0P6ndb0tv3cbY8TuzVNZHp8mkZlo8pHlr92oqP
Fi3y1wv9u6ujQ8Rsvim+tf97+cvPRTnVURC2/+fXfzbf/x28FO5T+/TLP0iWxhxw1b3U0/VLw/T7
hwx5+S//X3/4J+XylrTo//6vp6/kW+JZauvouZWpZs4TwPha3i+PdsVTRZ7t73/1r+JIJPaHzh7h
XKYqvTrd/yqOpD+WcRMHOmpYFXDHz+LI/EPBXSYjxoatrL3azH4WR6op/fnHFgXPPyF6fOen/lyU
WCQXxQdJsJqoKgtS7GwbIyo2G0d1qk+TQBZXSbagxLaU52YMozDMT5HKUhga4ZF5+JqDgnZVgcDh
oCVeK756ndTdSyGi0BjHkDCQ/iI0pBWz1z2qY0foiQ/Ipb2ZS+4sAwnr1RESmLKnvYrIpcuORK6t
/MDYN6GwKibhSo/DO2PKHzTgD6ZfgZFAFM30n4CrbYKAJhSExSupbDUzvCfxwhFU8WpK0mNHaA2p
IMfR6PFm6SMWiJmDDwqAKLjTEPoKvCMvrYcvVtQefNzAba18VgL4IG27y3191SrWRa9WRz8Mj1aB
yXhWnSAsjx2YdqUgvGeUH5hbb0JCN6xpsoWkOMVSfKQq8/oO8lYzu6HYP1pRcxmG3SEYJqfH+q1C
vyd25FjLmFqtbw05Kl4GEp8gk243W+aTT0R5pKsPcdxvhcZye625DoMZv2eMZmO29bK+mZoJruAY
nQLN2CQGeTaxfqc12WaemuvMbL/k8ngUzPxI/tm+17MNife7rJ42XQXoMii/GXF5pIghXsDaKoF6
bYSIP4EFbFqDrqaaDghKDMGWJpwqfvKkFOq1VepOGKGgZds6dUK7D2SEQUG/rckVJ0HiOrbGrST6
96gpMf0pnp5Hkl2RxOAvmR+hL1bOYkqJzHQg7aUilmbqfLeI9CejxyNYVuPaLDUiBsYSlxIG8WwY
v+RU8QG8LPgwXjNZAziWxqzjDRlz4bYtADCe1HkeCY8iJENZE8wLdVHC7dePzZYYA3FdVF26HCav
k6Itd7mOgrWpiHhAPKscwP33bj9JIBJHQF7AYmRwWXN8LUsyuXQilVobbOIcihq4VvLuI2l2cnme
HSnv0OuURuW1phg7nYEGgiQljfiU6SZSp8qFvYQYVtGT1dyRzU0ZBWUgaO7MuhW9RKdgi1P5KjIn
MMkxdgAfUr8g3wqy/1yYigsm7zTL2kqtk2PVJIObIDNSU/8FJOUBz/CDgLErPtQdYmf+W3gCZYeu
XQ+8KCuu5CK7HzpEbmXftKDWiG/BUITAuVS/BGRT2WKdE2HdVJ3bqNYReAL5HGP8FT00uSNqlzl9
Dwwykc2XoLQ+55N8p2n6C68f938hNs40KamrlCjasS6XrpYjIoJgS2ezlDZlWruKGZ36MNtBmLxX
x+lbZ4i72DJ3ahEiXhXIkQnC+2gmSSJLqyM4mGqV9XAK5E7QD0Xqw48PET0CDPXksFfcTsXEQPrl
p4EsPrepsq9CYcIQHYclxyTIV3Eybn0hXcciTi5r7kFngBQlA+IUicYXjNNfRrWv7XrMuG8NfaPo
+KaMMIW7CklIrojzKTFmV4q89gv5U0taC3IjzJ4NPNkA5VmnR5+mAO6eJajPkY9CT4fbYXXtF6Gr
3UYmx2/0RcLS/AclgCw6QZWd5Q4tFXkhSocgWm3rzp7r8jbEJ+mKMYHbxGmB3PH9TwpYBwyzvsH9
payAEENMtAYe0SiZGNjyWNaDSYKEonzLRKB1vR8sgD5K8iSij59VW4J5dF5bvyvN5jRmOPKnuUO8
pGyHUAQZ1t/norhrB5OgKcGy7EiYMDGK4z4JxZshaC+0PLyVJkO0yW1z8zrubVMdFFcfhX0ExpUk
xuSuDlUc7Dg73dQo0+4mDJN8VQ9NEDpC4WOGBA3oCAQub9UWC3zaq3YuongmRwylbF5GKAezYjV2
MrDHCSRTAyVIGtMrptV/Hsr+3cXI+qU4PmUvza/Fx//XtQj12/u1yL6Lmv91+hI15e+aNfz6j3oE
hxj2K0igliyalrk0K97UIwoZp1QelkgU/WIe+9GsIaPQ4ndMfmCCm7D4rR/1iPoH4YX8GpXKn2Cy
H6XZny0Nqrp/2Ur5tcBfyhGCC/kfVebv4QA9O1DUsqI1dLmDE+kmdiNfROpHkjZyI349hyFqMxWT
P0SsNk2r157U29ZBJhWiVaboFIgf28LmslYj6S/1ysjGw6gA5SCmfGrW3L+k6wglRnCpNbUbmYzB
AiqWpR+M2rCwgAR+dehqwaycrFP06qDrgjiiRiWa0BVLCet6M4heUQ4iVocwyzziS8T1SIt7XRPJ
5A3okdY8X+x0xcAhXy+hsfT6ZUxy6boEVO12RVCvI4jGxLDUBb6MPCNC4iav5/BbRsd6pXwPQDEh
ueCTeQ1GsVL+5Umliok+VDNRuWlfk1TYb6urFnRFHVWMgnDbIEkNPymldBGOIVKflBUoseDr9NUa
q/5+6HQcDK1w7ML+XkuU28pqbmpirYK8v9e1LKetUhVQkNV9VateoFZ74sO2EjnSpM1hwwlG/WJA
FE6NiSAvKABo0vQX2TNmbCfYfR/LOCZaLTVIJSyqEyadeMM+v+9GJpZ6Ml2EpWKgwMNvYaYSRJUi
RY5ueROGdRtkOdREVcEjN47aGsjTfFFN5UXvC+sxSzatEAXrLNVqN1JmkN4l4PbogDSVhpFCHCHF
3Xqe661fR9ehVrGP5FruBqhm65neVtBI27wZa68OcdrU7UWogN4QJlF/nvqE/bBGoirK+mosuVVH
KfJUZg4UHrmb9f52LKvDgPzOlmI2pQSoGhahPraDWLvR1Kmw8WKQO5fj9sh9C56Sr8I7m9pDpfeC
A0NhS0TWtC5S8UXVu68SkWFrFKzZhWKROW2HiRZdlbmZ4XRWI434LEy4hiTsLHh4axDez4kQbmdd
OOKmuWuBsaWhr9smoEs/MZ1OYXydmVd9DksyhutU+x7ySSfTQbgTdLc2h1Z2K4UPXsuNTSP2D9LC
4iyRzIOi/swk51CIrWJH9bijw3o580d7CY82BM5ZlYAwCU9yA/deGLeFOu8VX9hYxv3ofy7MeUfa
lrnS4sCrDe2uAgq8bNY91UzXmi3wgATD4nQZ+LHkKHKCcimxHmGCPiqgNEgRlvaWmgdIkU9VuMFO
GjrhDGtGm6uVEQq3uD3uVPScY0BDQguDS7UH6wBYipFBTxoj7RfOZKk999J9KYS3ppndCSVq83xY
LbWybIy7yhJ24yjCtIr1XRVb61RP2VqNxsUqAWGgU9trdYh3vL9FLvqZ3R5bgkLjlyTRcCUrZXwE
Q59skPzLj8VgGp8as4ALPk6Tf5ctDrPRNzA9jakEhcrH/Ra1oVt996SBdyGPHbaqjIdgWLxrfalF
x06d4Wakr+a27tXoFrya3qrF/2YuTrh58cSFmn4vUJ14PXY5PyzBDi8Oula1Gm5mDAn94q/DlRQ4
gaxdt6KIWaHChRf0+PEkjHnkm91ki1MvHoqSAg/3XoKNT8fNxzfvVp0wu8bi9DM52Rz8xf03zuz0
iV58UYM4hpg74RHELDio2q24uAebeErWAYbCeHEWTovFsC2+dFgOY6yHZixjAsGMCAz2UcGciEeF
QV2MX6v9ZtTDKdXoYga4DWzYto9y3K1CjI4cGe3u1fkogSL0B6LR2yYH7AO2ocEoOU2RQ3KhF1fy
14wMWc4cEHny/rEHzqUtSvY56j43rboqMWFWyUDsg/EgYc7UOg6hi1sTFdPNmE77HBtnW0HjEIb4
IQinbYTRsx/HQ4/xM1gcoGKqX7dYQjWsoSMW0SJWHRPL6IB1VBrIzzKI4+1VTjcj9lK+DS/Hbjov
vlMLAyqtUgBkiye1xZyKShnQ5OJXjfFQSouDtVm8rEFu3MJb3rWKTgJCJD6yE3Bio50oQOKmIGw3
RRw8aItHFhjBRsM0y3IDS2okU5N3n4XGnjDXTY3NVmq1R6vsSb8unNJMTgp2XJAGdrP4czM5eRJM
wdWGaNORMmpXnf8kYulVCdKIFo8v452dium3Wdy/sdrsYuzAtaZ/9rEH95zw1ba/8cmGBVczr5rF
SZxF4aWItdhfPMYTZmNRjelzYz+2sCFX2JGR20FcwqDcL05lc/EsYygDPCeT7xl91v3iQlzczfLi
c84zUcIKrA6XkHfQeC9+6ARjdC6G+E1F8yQunukhr6oF9A8Rf3FUQ7d7jhaPdbW4rYdS535ZHNgT
HCdbWVzZ4+LPll+t2sMkH1AH+9/e1Gd/lj1vJzlnHcAln0ldDFhUIdCyJP2sFSwlmpRluS8c4/gO
WnlifVG19f/sEkul9WZAMnEX60nHJcSKDEpO8OVpjD/olp51Gf98G/oibCbhRTv388tyNxEnEAUn
EWeXaTBhI1jvFsfq+29lkRD97FEtalsLZwDG/iXQaNE//PpWgiKeFCPpEXjBFKk4dzaESwrVXade
Dj05lw0HH+27tP0/RwmFT/f9o8ThCXj0b5qa/OKPQ8SSCGRKtA3pGJqiujg5/zpEgByWoe5phgUN
/JVA8eMQYfyBHEXGA7oMzTROET8PEcYyJmaIxn30b5n4YmIz4VwYwDDkc6EK/qyuyvRpOInFZR2o
Hk6+f3ZHMibgEELPVOMdwplQz9rrcPsSpTMw1TdqzMJ+L4gni7xUdSP53JKQlrw3X8Jv1gv5XHH+
tyvy2b19nGUoRRGrVEcoId4Sc1po/VNTyJldBEWDi7Ywd32rlTiDNN9u9JUeA9KsfOyXXpu17IFB
rn8eGWBvdQXqzFSR4i01hWIrZrjXCliippw4ZS1+7YXkmzUKn0hRviwkWcXRpMaw/PFQ53gVQUyE
MJtYQe0MDABh0Pq6mdJopeF5WAUcktb+NGLlGyMCf2sKMyjGpHHKEdhe0ym76NqkUYxXorCNqN8L
lc+3FEd25psL76Z11Qn3JdZgn2giqgJlUxTSZR+yUeDoy0VoWkkcXBQWrnpFuKuhPNp9/rmflcvR
CDc9eS6e1DbrqAWOWZq7MNJGO9SLYcVhriENajrgAZtvjBYtEfIhxDM3BcDEjc7YNib6d1ORp95e
za9z3C6rx+KUMp5sOU4egaQi/gH94HLmq2DlmHsd3jRx0HvgV9sxgT1t+Zhhk+M06w9SSnbRIkwh
8VVZ1XL0rGri1xTGpzdo6mEs1Z0vK26flPvWHzxS7beTEl2Kc+XkPvvsOO2Hadx3Zl247ZyJTqAN
F00vPlQEUakqgLMsn++0lBGrn03JMeryyzxpCeEBoTwnO7FIDHsEfMARBJJqNZrk8vSJCDUi9ZrY
uIOwDf5KEIOVnJVkWXRDC8JQBotLDsU+nQqssaZ8kWZ0CoeTGprXTVfjRYUCTlg0VhFydf00uuxy
4Wboc3zBfC3FQjmMLJhE7VcjhCQk6fGVTPav1WUdNg2JzO5lODxdtV3Bco6cQR/U9VD3KxEkdMuW
nEmiWxTFzZyrl5lfVc4wwshq06S/HqfwWvelbU2Ohlman9Qkd3AB17dY9xhDRvW3XOm5myz4jBAF
ZgbfpFdyROpfxCG4yEnUrlSJ/FbDIoU91h1FiTjoD2QCBJdh1B9ULSZGJ1uPoualmAW70b9omoLa
BrTD3C4B2Uf2LFeGzcRCcTVBRgP9RvNYUf1VZSn3at2QfEygZJUAjcu1dNokAwFWdZoTMotAXpmE
XdLMtwinQnLtWhqyxU3cQ5qN2dE6n/FpZ8pPVhc/xYZ5KKoUkkdM1NfQ1BN26SEDy92bm9dl5j+b
nkoP6N1ND76Sk/6ersSv/rXtSX/QNJPQUy7SWg6bv2x7oI1U2Pga6CV50UD93PbQdOqLnkl9ZWRT
vvzonen0zui0wWTiPmFe+4+C8NSzcfzSPRORWolQszWNqy0v4u0mYUiBlKa1VpxkEwCGvCD8pGHp
OcN2tuUxkPBDJ6sU4l+e5egr6bU8ZtAAORavTGBiBZRAA8lerAmnWQAgy2iHgGij2KcLWpBH636C
NWhapeiaDedpU2i9Hh7h9zztFuP7K6awiI2rMSDJwq7nuBSBFelEDJsa3TBpFI8kqPUAzNR+Hfoh
SSUai1IutiHxetBS4rrE5T+5kklytV9woha1YtPpQ+YKPpEVDBCJUwdjq0OSdcOxHd2+F+96qXWN
ePIGGTNua6kYmUU64lqtPeu8T6fM+LuVRV4z3NjXMQIqoTx+tiLGPJNfgPDJOF6mE22TXPW3acnK
wHDUK3JBXIs43i80TRj2fgTd3+8zTJ51fBdVAO2FtMUrB8eoAFerLazdYYbWpne3tNpgiCTV3dLS
LCsJaJ4y7NWR9B+l8pf2f965uYDfe1AZl1k1n2lSdYeyjIkKnIp0BR5mTZTBjvDT+yzuGeIv6qYB
Xc0MdcBQiG6bkuhrz2wryOfjLGc9sylVgRlbf0pbCI1dsSSVlfsuNEmxE2WEGUnnCDMj1iJBG9UU
HMHKNlbcVNa3catfJf6Ef3poBleeA69SM3M1CMVzJRPrzYiMqBfI2ZWwLsSMhLjoRFlyoSgcc9HA
X1Q994zfNZdVpLe2STi4I9Jw8NQFJEXXpom7dVUpB0MLGcJaheBUfVyQU4CfvRTWdSygIymaw0y2
BN8eLZPO1K85Sh1o2hZePeH9UTMVk3tCtqlSzJGdqi2Ck0QkT3Wgj4XKaSRdbtXH+SFQ/c9T1U+r
VDDXAa1lV2vFe7UifEKpgEGQ8jtVrQ7VILgKaCxJ4zLjHBnAWV9rfYA32jd8ho2+DSqmm8y/923X
nCJAA8JVURjp/DKNabIxmDFZSXkP4rsCmU6w3DK1yyFt7OLWeiwS8brV6q9mOTk1idnlHKyox9yy
GXZWK6xqUb4o0vAYFcVujJtjXqSXfQ6fCPxCx37cDVvd177Rz+uoxAZFXUcdZnW4y/18I+vzIaio
bCQwMqtgqXYGRee66pq53HpY6iHQUXC0lctae2yWeinrrLucnRrQzUUt1xRfrcbUSLGDcr7sZpnR
JkOmSeuuWOwYRLWuTIQcTQbMTz4Fm9K0e1TsdH9p2BWUdIZkOP4U3MwlJCd9qfrCpf6TazLl1MzI
11YgUQAtdaJCwQj4I9hUSw0pL9VksdSVQsedk5fMZvOl6swoP03KUEPNvxWUpdlSn6oUqjNZIpqU
LHBpalhtqWbF2jdsZtxfTITUe7I/D4Shs0yI4mVWAHolNkk6AWt+Uciq9MR5eOkagBWZPl5DqAdm
lvef6fasKlX8NEXGwUyrFRwMmDxUzHRxGhVEdPCQo11mLMsebk7M40hNL+tLK0ovRACq81LGaJV/
jAkYciM92RSEXe4MQbszmXtzZVBKlnoriZoMX6kA+A1nBJZqPHqVIB9GHoNLo7CuKUg3Y6pGQFex
9htEoctljKOkUGRbM1qobVBW26RRHSuqnsKKtKt2gjlA3rOHPvxbYD1HpXHdtMp1wmfCPiA5cpCn
VE/mZdbKKzEU+BZ7wBZMH2vMegOhIn28Diu6RlGccrJoSVjkz5kmuUCaFuxSLTiG8DCRbUf9hSpI
uccXOm00ACVjjik+KxHvF5Hkdma+IRWeHjPtmO1Y/F/2zqu5jSTLwn+lY9+LUd487EYsPL0TJVEv
FRBJlfe+fv1+SZBqGkjdvWDEYiMa8zAzpJhAJTKvPfccBJ4kUNrIc9E9AuJufYP9NTjEHE+8ntai
p/cLyS+u1cBdAosqAV2YDYpmVAkdr7qDegndM2goSsMCEF8UzF/RAwUvcN0Y/YkuV+FU0oplg7Kl
EeVnFCzjw1zpzr26v5KHbA610UDNxzrOCmeFGmQHidnQLLpGfYgcet+VZV1SFAvno+C5/TeeIvUF
KwRe6i/jKWRj3lcRxF++CKcM5ggMoOFEQHT+XoVTmgJ1NG9mM/ApxIP/DKdI80RRCP1paghiZO9F
OEUQpNoYG5no6J/hxkHCvao7PYZTwNapBxLTAYR6qyvsuBJ0Kbadn6dgRRbohpaQEcbqLO7TL0Gp
2XO6hgrFqBImt8iioWDUh4Wh/GhxjJMsSbqjDq0kpESgu6rlZuVl3hz2EAj8SvLuLIVxRTDQh1b4
vXNLKKhRKSKThbs1rtt0btHzYZ55cC6gk7wxSniKi04bOObjCdO8N8A6sqkcfHFD7RNuOD23BCNz
JriZG8HSLNOUOkogbnZ1VCMix7nEG/cTOvEPUGY3C0/lMqTcCqo8x2HeDwu5T+dS1V8RqCCAykWi
JXjWcrPo7S0NcdVa7lxilde+uITlkJ1W4lp6tbaMZMdHNq26G8TVRQmlnVviOmvcazQNr3VnWPji
wjt6OanKMjhssQWK4lukdh1TtULCYWQ07dF29GiCCGvSQzUzi0vm/KGNch8tjrA9lrBCcQCLdIJh
QuD0yBGWKsRkjZiuUNiwQFgzTNKyE/atEJZOEjZPEdavGbVFgznUhF2EOgiiN9E8wGQC8bnKqnsV
Q2qxXCMsayBsrK9Uax+W7Gkl7K+OIQ6FRabTo4DCgTdcWOtB2G0TA25jyGkgZxdFopwWwsbLwtoH
wu5TBlOXo6p+0oVPiFpnZuMk0FR3joiFwHfhP0wciSw8Cmq/CxcXU2X1RYfLqWM0BnBBmfBFihF8
cYR3SoWfcoXHcnBdIy5sKIavgIIWhAjfdOHjEq29IpghGcf98c49YhrxQys8Yyp8ZKEMUIjiNV3c
pyP8aKuV3xXhWSFOVYHEUEDypcSaFxZDRvMhrQpcKfx3FJzAjuRnXitZR7koR/WPlSnrsUql5eDR
acYT/NjdUWtoyCdaizLvV2KoZzC0bqa55a2jQ8MMlyX1pJy3AHYEvGlVdkxdNwZbbHvuUkr88UbL
M2Wiq4D/tNy6tgvzuFaGh9gvohl19avY9b1jc2znY4IooQ9UzgkZ4jZpZUJhdR+OuQOOzLoHSOxR
+4JQ3GidCnrs6hJ2Rra4PHWp6szoOuVHmUVQC0USstE0uDMgga5nwzjfD/xFj1I1hB7DIlTcH3Hu
XsAy2Mz0pJbBQTVI+zZgrt0xPi7UVJ6PslmsvAZiTHgxLTc96kKVoSwYT0MERCamWdcnvi7BEctY
w4Msu9GnTNZzuENtulxK7NPJ+Nc7bbwTvY7feKfgodxKo8xf/fRMMmq5DGOi2mA8wW9/1reVA/Js
kLnwtzDvI2oAz57JOWAG07YoATBppL0CyTgH1LWpSVvUQOljkJm/AcX8DiQDXfNbz0Q3BLCphWOC
T5mxpteJ/qj5ia9mgXwOWodQLhlBqijfMu8eac4RXd5JiSpnIOQ5g85RT7qcn5eqdW6i4dkU+YI2
8VWMtic6r4AOJNSdI/9rWhrLAuunpfZp7pB9VdatYuqMSaIXOqIbWht0rAm/YGP1mpu8Tz8x44JI
gyPH06Ig/5aD/NZFidREkdRAUSVBoXT0sTgolqq6BE4GDVPfIHYUoqbRGKwqKvWTEL1TxbNWnRBA
hQ5NlHFvIZ6/GVFIdVBKhaI6mURop0pdCl998xl2UehuUVctHWkxorYaONQ5ebJl7qDS2zkInwe1
OdFcG0Yx1FprwJ5IJtk0UPWlhZ5rWbX2ZEDhtejUnvR3sA5HIf/aufpxKMc0NDtpZXYB/gIKJeYz
wWLo8NQ8qsiaV13eXA0obt/E6MzGQnDWLOwjz5e/yIlxbIvpx1zuT70oN8CAwtdsoFtbt1I47VGy
1VG0RfIvYzbJOBqUe2Ag3zyUbwdKJPAdovMy2h3syjAAxqTKMXq5mhDOpQ138zgL28mI6koUG2sh
szt0rYm3H1ZhNSxhkpvnKPI2FXvmeYj0dhvB3gi8UHlW97Xiz10rzJa1QaoIHCIYgGzkcn2Y2ZRc
asuh9qLWdPGLTC4hjX2U6aoeJbvitugoERhqPTMfRb36R4GvRM3giYx1UgByiGmuO5D1F3gH9MFS
IRRG4UadaTpyUPRt+V8dsIaxuoP+mCQmKn6IIAxyFZJxIUJmCTkyz4CbdMyHY0uzziRftae1mrMG
U76Z5H+Ne/02tZE3a/v2Gk+BfJiQPtML4z5EC00d+oexplTaopLmmSifaYgowC9GfQVYWSkk1UIh
rqYb7UX/KLfmRCvdL2/tyKgXaDXEcwNttqEm58l14EZI7dxTCRdiKl3PyamdWSrk3WQh9BZ70pl3
G7ezFAW4FFitjiicgTicSsWDeO3YTNNlmOWXrRbS10dOLteZPzYRmAOXM0ELkhhLNr+4QrHS4Cc2
zHreWFwGiNQNulSddNVtahiAwAcpO2a8egxmLNULPd+ZRLsCBwLqWfLh0i17RAU6k7K+X1w1Q+Yd
Rr5/PJrpGUjUoz7Nf5jEYGgKt8wqguYv7/71Kxu/QoLwO79SRcGQNVtyHv7up2dRUD6EBJe8hnFR
ZlNf5DzaAbOzoCs33kMkNk+eRafdKsNrKZvw15kOo/A/cx6UFB1RbgYyqcuiKG39E8+iPHIB/dlr
J+fRScRwYYLr3+SjkHi9LCFDuwz0pjSzi76UrUXa6h0aZzrsFXq38i3QzO2ANHYjd/geEsVjOU6U
dGIGVnQYY/a+BolbnZLXkVhrWnEdNqa+go+/OusiN7/Pa0GTHmOe/NgaCM8VEDo5nSWyJEXqL6oy
qc+LEC5VSTbhsXdVw4ZzVolnY+qmZ5GXO/e25F9RczPOPQW8m+r53XJEjfamtgeDK0hy0qlGc1pX
vsXMSMrIuNVI0UIxhuwzlK20rbRKfYA7O/5qyHG68gyGLtLcrdat5shzX7aR1C6dbmmFXXkM9jG/
7IggY1RQKK55+axFNQVtFSnV27sMHLR+rKTuOMD0nEUNtN91Iz3onhP6Zyh6NAVGvkrLc8vPAT57
Su9f+6FDC7drIIIea+pC3ZmN6h8YSE8nQ0KnDrgYo3stnNozQ/Xi4NiUUpBfyNcO38NWLVAlQqMI
7vP+1uxibQ3fgpGB5jTTBdUTXErDTELdZeNaNAoYNVQDGdZM/ErgKc7SzVvvOycpmMrpOK7dyh8f
zKD/WkrFIvWCI8kiSUkUs512BnIoUt5BZW0rzbCMQI0dM/g6nERZzxAAXMUklEkGIjHovADS11qj
yt4mOZ2A4otuBeSQjnKjRSD1cgkkii937cRgJAKVyMq8tv08Oayl2rnJ5cI8Q1lXnuFNHJmqlZF9
cisZHHcbO98lq5OOtBiegLxPzlHvlWZl3YKKl0hY511cFPWsdwMmXaSsOhxyN0XV0mYkRB7Nbx4i
2LPRscKb3o3gfg318BQ6pPAWDv5s2o0CLhaN2e3Y9NIxhxf0vpV257S83a/2mHQ3aViSCmY9Leyg
zy/8FnHtFFaOeJbqeluBmNKZAoJKoZ5XvVHN6JV3MGAwzLJSW/XBgTQamcYjq++0S8oINjJvmak8
5Fk+LgrROHTyypyA1Df+jfGVjS3+/XReRsq63mKJ+aufllg9gBWFIJoY33oMyf/EsGjIZmuUpcQ0
/+OM3bMl1uwDMgIdawtFN5fnpVSKfcAgHyYd+44NlTGd/yDGZ6bvVYz/OOsKMSXmGP4EzUYx5bUl
pruBWIIcyueAyICUGjYNFk0zm7sybOatzsWTEzdaMQefglpwPrt160/ckiEegBjf6yS+tgBn0bBR
Z01dy/Sagu9oHBxWbXGCjBkCCKhoUtoA/2e2NaxjyrfO6r1lpXbVcVIUh0XLPRiDc62WDhPfOWV8
Y6KUFZ1pF5LddhjBb1T2Kg2onWKpLNRd687Mppk0XjDu5ApW+ysG4hmJsySioJRJPUmBrl76JPn0
ddw2ZP45CMB1msdx+DUOhm+dx1BMaIRXVQkJa1lUU5DPx4lcUCYb0+WQZeqpnOvnPu2Viawg+g3k
pU2bY7ty73OnOw4YpVUHM7rUeyZyvNQFhV3D/61Kt+TVcyI4ZU3dCvm5yJ6NVfk5UOV7zwJU1uVa
MaWGftNb0n0jdLKz2FlFkX06xJ4/V3gGV45OgzFfVyEE/60bBXNE82BoVwvw54ZL7cqHWh44Mfbn
HBjSN0Cn5B2WetLbxbLWIybOwP1NWsTH7coD8GicRyr9TKMbV02nQFs5Op9D01k0nXHatf5Srm3G
1+zwEqgjWrxpf2JXI8GgDeetm38NfEOb4hCI1Z3oc1HhUqOo/mqM3XFnMr1fV8mPzC5PVUXzTvyI
UplPkJ7WJlIaDRTPtbqqXGLPqvA+qXF5KOdU222rdo46s8nnkNTcp5517bnDErncfk4z5WjI1Efg
zUOv5yKqBGlUf+FnqzSjJqi3Nu0cFVCrH9YXaRXGJ06ffDJPMiWKJ47FDBXV3BnquP7MaqofpIir
0CqXZlv4UxgQvAX/8FRpinmeNclEjtp2AsfYtdKWy9CIbvVBoZUEf0xuG8cAWJxpnUF9naYJZBP+
sGBybqHX0A+OUNwMYsoRIKZNrlmS08YQ+yeCanfQlqqXHUeGjhoe+JTIKS/1qDsKfWiC/RIaL/TN
gaIc19R0wfQH1nDXeFn5xYcNEsIdh4EGM0utKzWH0s+b2GUiXcokzVdQkRPCK33AQKm8AISPULPq
/oi8/sE1HBk2/3iayoV1ZKX958osv9cRIUKeZZeWh+yLH10q1F2BpBtTDbB73sP8o1ntLIjlcmHD
xAwHvc7DMc1gUZfS+nCV1b0+910iNSe2xmnYViSfQTKrmWLVzGHdm0D5+/6b7dpz2Rlu+KLByobS
4RBIJ2nhL/1IOkxpz5qRMvXCeOZI7ipEwCiyEQHuAWUN+nik5fUXpShBlzPdokKZ3Sa4MS3AnQYF
HahIBSttLTvwTkme8IV8rstwOfTNAizStEUPDcoObxKlFqoW1cwPnK9JCN93Vfqg2x0mhIuASZzE
ZGAuooVUyGeIRN9V4IJkVOOG3mJ+VndmjCCewlV+2JVEGomK3K/adXy3yPhIEJNU5V1TtucUMmdV
qH+SAw8M91CejBFDJjqlBz3iFsqMKRQoJS+USL42GvcBERJOZ0ssAvUR063tioJEP5UKwF5acuHK
tHR9EO5hQE3eDlCD1pvTzkqPe4lBvSRCStyzEQBAttq0V1SJKY7LS8dqLgKz/SKr+aFLn8uEMGQe
hTH2r08lVAKyKw1liWkwlue6TCLvhSsxFZgH7Zlrjp8KUSJQ60tXbY7KogVWT+2lJz8fR3VhmuVc
k5RD5KvbWYV4MVZYWzhGfUxUt7CJTqcOlcMil79DtYt8jdp80xjGnRIea4fAoS8UMRHqeZfKaJ84
9tBOx1EKFubYHclmNLUyCrII5VDGkQIxNWw0CD/3F1osLaJ4uFAd+wdywoCwc2ZgCXxKW1oEAXxZ
nVSfD3V+UVv2TR+gFpQYjPn2ieHM+1CNv0bosaMl1f4Iq4bZI/lz3KRUFbIT3wHjBcz7ig70TAXI
ZXhonjRKfub30OqF402kqIyktNFnLPC8So3LUnJRxZKdW8ksv/RFfwzfTD6pmsSiPEzNQPGPVaYx
/Z58AfCXXgtIhD4cugVlYRBfBdp66A9Hn9tY6qggS6mykMa6m9q9PY/l4FA14KnKu2Sc9Zl/r7da
MxvarEeFRlk743iulEDsCRe8mQdVfQ/ghRng4odVtxEsXvBTBhbmEkDkjIbGlyxUL7JEvQKz1k3a
TEccorqj3Eh/SLSKh/PK7A9HFftVItwDciy96Qfpc95nn+KAUkSXarM8BolgA29tI4QfESIBJJeD
3mjC5rKsw2Bu0MxY6UKF0gSo0k8TRWv9v2DGVF9jv0kULZPhEgacGAskW7RE8+wFvhyiM0UfIOc6
V66TyVdj0V4UUzrqU2f96ao6Zdxhnk3rVXBiLNH1WmUL/8hgsPrUX/5bbNgEuBSWf1NsIGR7KLcE
uPzVzwCXUgOlAjFjINgEBdnTiyK2Q8QJm66Q41FF7PlnERvhYOoJdD6fkNg/26v2gUVRAL4jmLwE
ndc/CnCJY18FuOIEEXarDHnqNLw4Sm9OUKumal1IznBOQaRaQCafziv6+RHUsXA/UEQNe4Nc0pAI
Ht00P+265prq6tKwI3CYJU2TwJeNkz7tCwaYVQBclX5EkUSexoNWLVSlhoEUPZpV3xb5paqD/0Jf
DXUKlFvRA8++OiMoUMmQ71JwH/QFx8skYJLG7RgzlFBAmWgeMw123E7TrJWBxljRNMg66tm2B6aE
hhgq3OplpEnxYZuARk0AW8ulb6wkq+8nhuZWhwolCBtGitSYBnl0pSv2QxcV18w+o5rMJHspm9Jh
2Ev9kefERC21k5/LDTGsql45eO2JSzgEBr+b6Sqj+wJr4XbOqUwjlcH1eNJ77aUcjZ+TJr+hVH4c
+NU3YLDLME/4sGOnTiG+ONENUbQhphxz+350kB4bhqiY2mp7PFhZNgVoXUylBoJSHx1mB0aCiCoJ
eXq2cDG0llScghf8Ggb0pi0td6eBn5Tzzhi+j4F6RoWc/wPjQuB7MQVRrbAvKs2mZI6EPS7G5/2Y
+GmnBShmW2GkMs+WTNktZKosqlwfN8ITl+PDaFN7Maz2OO2NcsqUrU1mDRYtbaocFBFiSKUNCZXj
Eax0qv4lR2S3kTQPPG8+b3sVmoDhwUUhBXhIPVVdbz0M6Y/G8rKZFTHcWesjfXy5jgH4QIxVDubE
Mgt5Bdru0i/HtV1UkJrVDMYxampOS71iOtNERFutP4dhdtnICaSVZo74cQzgp4DpLYF6WEuXjWJC
ZOl9YdTWmdRJdeyVdTxrpYTBPJPjalc0SRHrAqM4jPLKilPsYwLVfSakH4LC+Qz54UWUgB4rKvPY
7WwK6gVSFRTp1/IwMrvUZmur10r4iKRgVknuuHJrIt+ujpAp8nQgXGrDdK0y5rNehwYMkfhry7U4
U7SpV4hvndYuaJwmjRyoREaJ1E/IpOj6MZ7v0lT82xQe6knaJ/acGbaTxFRXpm3D2uI5531aVbNY
UiEK85VD2aNkgYwYAL0ONgNULc6zXjoss5pJnC66wxN9CRPtez6gSqk3/Qz1mAeMFCQohGPQGpy1
nSHPIUdjLqBK2xNnqC60XLsPRVW8yv2VRqWrC52zXk2vgzQOCSHG2xiqAagfDY9AOAwXuUc5snYR
YswK0OV+PCGefAhH5sYG1V2ODSUYQNjmpNJFcOcF15nvgcD0gngu5dGXtMu+wDnKdFSrr0s5/Jaa
ZByopNfE424uAFenTWZ/DkvpGFW/I4bRZNosxtz08yM3MyAByRoQEQq6Ho50WxcDJcPsJCuTeNIh
KjHxPetrPaK6E3mas2pzy5lVCVR4HVCSCQhD/VyNMkbsCmMM7v91i49u0fhtb/czJE7Ntuau+LNn
v6jYB6YmuqYQszITLTgpn/0i5Aig/hlCMiDh3cw1PftF/QA5dJWCjO481nf+LMFr2oGq6KppwdbE
DJPAMf2Dwo/weq8K8CjYChAQLWaFhFB/g+HuZQhUyzJtzsYhwmCinIURCuxkUxj8JdEC41Xv38iA
kkpnco8eMg7jdQCngDEqzFDPz+TGcG5QmJXMaWLFw7gCkYX51eq00Q+ZBR2vAf7BdWsqkBTZlneb
ZyGsht7gHCuWqPRapdFf+IN2pQ1Zm83MwbOq4zYKK+1b2xemDaiiaFtgEpirFoVoEk0phsItZk4q
yPNMnWdd3AB1kRj5ngSVm36FA8WZi5KXPKvSOyPWuzNLz+NzvZFzdONyEpBF5vbaNKbHLcVCfdcK
ukw7l1sFVd42Ds/LmgHmJEchyXcuNEV+MJDyTQtvQVH5k4WRSDttaQjNX1XmKegeEsa7CyeZG31y
6A4w+mhRgqlFNTgeih++7V8xEnSmoCrcaO11LCSxOkDgt1ZEvVzoqZxKVl6CHTbMozhwSEoT8Eij
ClWdJGk/9LAC3eJCzZLWBazkLaTGQSyhU9wJTkbnrEqBXI+q3c48eHKWdWrdDIr0FfmiYoZmF9WV
uvZU+txMYHEsXNoAtP/nti6WANepRGZ5U+q11s9MO/WvKgA588bC4Tq93H/VKbCxiwzOIlAKgY0u
lcMsBFdVmDVTUhLEVi9C0m1Ta+9gChCD0LWC0UPncnCsXx+xYigLz2Ny7QzF+3VXTpRrpq4m5KRk
BunKZe5/5s1pCM3LORT6R/pCm4M8nv4l3x43+sWdAiuI7I4FY6BpMEdHiCVymRe5itEzKgSRUXbm
qt7REPv9NEL0lKxOR/XRipx50bpiOssECO3a8qlnle6RwndkRkUyHSzEIFyZaQd1/Fb3mbOoVMYI
6jpfuPb4zTKQgwxdetvu2H8p4twC9VwMU6sCUt8jQEdkCWWm4ffzQXOWMBox8g7tkA4X7Wg4q1FT
JoOqLlGEhD4LjXcojin1Jekq7PVZpgGXg2Ft3nXeiQo0iwoKuLiWWkSShEw6tMVZ1zvasvBEMUXz
bjwiXkVLTpvelild5Us54qBZToFqoRxe//4rfm1EHlGYjgnzLfbS1EzNeWNEnJFGVJ645ZncQlOK
IWDspJTTqRT4cyMDPaEXf6WRuV304MV7vvk2pZ4eXxt51VnhabeGC6cCpTlqudZKTxpGpVxCdZNg
3wKKYMSwYRl6OpyMqMYyr2KcZIH9VQ7ovQGG++FGzP4DKlYz81J2xzvDK74lHbKEBRTlm5T5/8F0
1dNH3EqV+BN4JH57kaFo/SmbvyVb/Fv/6NnpbV/oH3EvCijuq+T38YM9sj/+dp14DUtkcw+7I40a
HDK+WqSVcUbbcvNzieQWmBbtG/zVy5hq+6d+zzX5qy36wKcXH3nnp8fqOqDQYGMRLyzi601Q0RrQ
aXwp/Ib3enFC/ncP+Hc26rdfHZEbBJ+H9//5H5sGn0y/a+dNoMKhErRZ1Cx4gWV4vQnyAc1cKLt1
TMj//Sa8rOYYhvO2/vN3rgAP+OcNsA5UgxF9B0zJ44vj/urxCXZhayfMZFDw8bUPm8B39PYkqBSO
djwJ1gEjmNQobfWXW0EtzCLmlvd4KwQRxgdsBYmNzQiFtnlSPPqrUyHI/C1YNgTy5//+Tmw5DuIa
73gcyPIoi+IaxI7yemcdIebl6sBisbcuYvc7gYN0QCqDYt6+CZgHomaGbISY0V6eBCEKsONJYAAb
fmUVWZ3NJnC/Xt0GagUYR5M61976ybcFkb/jJ9i4F47CYaodL8hR2FhH8dtXEZOAH9q0m0WNYC9P
wjtSm3++CY8uwoK0Bs8rXtvsIo0SIsp9tQlCxnXH6wC6CcwRGlRPIQMx2OuTwPADw+Nwkm82afOO
+xc8KrtfCvMA+nUcof50Ht5ZBqInfoeL4KTs5aUQvEc7nwcgcpQHbfbz9UGQcQ6Pkyebk7Kvd0Le
RPabsujPFO+fJJI66aIoX6kinxKvd4ZBx3zqGgHTxh3t323QNid0h01AkQmBObDhtGofX1sMA9RR
1MadjQ/Z2/Ow+1bQBWfsy1Cf4mcRkr+7Go6woY/SQIyR7al5EKRlO5oHdLpQJCSIhDJavN4FDrgL
GVIcTYw57KeN3H0TTFARCpVl5SmLfnseRBwNpTWT7vsaPQnhkR1PAhmVIO+DtuvtbaDQBMMlh2Rf
raNgUdrt6ZnBgdRQ0ekBvn16JD2FbCb59sZ57Ok1EAOmu+2BxgkwZY0H1Te24J2HkA/4JeNLAtnO
a1/NorL5YLs4SxWyfJWeF3Hy4+vtVigGe8XgDQQXj7/f263gg+94KowDJIdEoWXzpOJbf+UsMY6i
UA0GbV+j6Cervct54Bk5C5QWf+UmVSSiDIVBk72oQ2Oo35Vgdw6j6ceg9qkCR/zFpXgUERXtGntv
HcXOm4Cj0Km3CemN7ZZBpSMhhosAV+6rp/iIAJqRC5PD8NSWeWseOQlAX0ydkv2ebsJTyr+LTdBh
kVBVDWzGJjAgDn1tGLkvBM70KTe7tLc+4iMCaLp0xIfWU/nxrY/gUsgmzcpHPkv80f4l2IJoc0dH
SYItZhEN+SmtfHseuBSGBnLFEs2KvdyEpybqLpeCM2+QOAsg3XNg9OpSsAkA4ggg96Nhu81R7n4d
YAEQ1QPoAX5hGSxGUDUZ2M2+2oSnrtkuJ8E5oNJOrc16ihbe2QQwl0CANIQz9/Q6POW7u2wCJWj0
P4kVft3AZ8jKprCwCdT3zzA+lUR32QQLJVToAckbt18HvIOYZMFPbhLPvb0UOydTVKJ1R3boOZib
rXhXbZAPKNHSz1X29Ty8Q2//8z4d1XaqCChA/wLZREYJtBu9XXlfHaW6e7FFOEqIC57vxLuehNgE
2MYccs49NY9iGm3HkMkE4bcB3f8imVIOUBqBeX1voSxPRY9dzCNftImkCuzyv9wEIfAs8Ll7ehIE
ed2OJ8E5cNBjoSXzVIInJngdN0KSRFoNWey+luC1jdva5SRoB4ysQFvyVGl7X2rDk4KEpF+9rzbB
2PkkUGChqIogFROsm9fbkwC6TWMq1hRhFa99jRa0TRFsl/NgM8oEwovZ0M1OvLsUIpwQ/6E+u9db
sXPgpIHyMsgsKTL84lSwFbIq08LZWyO5e8xAK4q4iWH9p+SabX1lJBXwwtRfwf/sq6PYPbc2CB5V
E3+IXPHTmX+1B6L+iv0E+Lm3m7B73PRYXrUMWlTvTwBShCgiP9+TfT0IOxfiwbNA6A6xFjHyr/wE
UBemMJ+QhfuXWus7O0tNP+AZRUnxF86SLMJEK1tMiD5v0n5WHnd3lqYovyo6kgGbJ317NUTlkYSK
Usy+eognWOouEQMBIg0HupS/KrUoB6LaRDKxr2G0vnOsQAQJ4B0ryHT444uz9dpFQBto40nxI3tq
Hp++nR1OgsA8Qm/OIz6D3N5vAqIYCGAK5dr9tAkbB77DJoBoAZYAQc1zLvHOJlBfEP2K/U2txcD1
bqm1gDaBzaAx9WQY32URYBdo2uMi9jWVeiqO73ISaM7ZxMZ80xubwKO+tgkyNgHRW1vMKu/ldTB2
D5lES0YBtERRcbthZGgKBIuN8fz7m/A34qqfs8dTH+3tx9Hk4KF6hHBvhk7/8h88j+a+X+AF0OVx
4vLVv/w05A+btTdwGPH//2t9j5LOLKjqMrir1cde9IvfPvemH9/p6e+fHvH9m796s+fnev7hCpWK
dXnnD4+/GJ4+6Nk6Ybb5v2P+6379FqYjGmbPPxPv/Z//8frDvrAFv189D9KH54VeDOQScP75qP/b
xZP1fVY+L/Rica7UzotPBCna8zov1saF77z2dB2vW76S6nmtF+tz3ndfP4ub6t1XSlGXxP8DFk/r
EoXTrKq3vQXR3M5vMXuI/zjLyq37j+3Zef15/McsKzk8z2u92H980s7rL8qHKt22OF5/58WX8UOa
Pq/z4oN/xHVdNcn3LL6v3y8vgM07f/TDJH8og3X8vNSfn14AZXdfPh22bLoY7Nx56eOHcsuei9bo
7ksHqbfFEIips53XPllHW2yYQKF+wNJV9bBtTz7igp5k1R//nXoP8cO2nfmIK3q6vscAP+/Di4P4
EVf0dF0G27bmI66oWDvPtll3QW2w89d6+pDeZ3fBNuslkDgfsH5593D/vNCf+y7AHbsvnvHZn9d5
sfZHXNNTVAC2LP0Rt5Sl4V99GLYs/xE39WydbznoouKw84afPbTr97GjAYPvByx+Xq4xAc8Lvfg6
P+KKXsTru22ct6JWv/O2XMRNsi24E93pnRe/Cggdq+B+y86Ixu/O61+v70pSgrTectxFJ/ED3iD9
Y/KQBlvf4COu6vVavEGZrsv7rYZM+4hLK95kFjx423bpI26tWH/BDbgLqrtt7/ER11e8x1G2Lppt
3koM+n7Id33SBNUf59+DKt/2HB9xmcVznK7rh23rf8R9Zv16/cdkXX5fb4sZRPfkI3aK95jG29/h
Yy62eIrpr5WUH0mzdkj2r/311pxQFNJ335/fKW3u/MmD38qt7bx8Fq+3RQ8CIbD7xvxOnmjnT16v
ER6M1031/En/9MNi5nv3T/877vldP/2nB3+9TblJYIN2/uSfiPEhmXte6c99EYXy3VdvsARbXLxA
gn/A4hSIkm11OVHf3nn53xMn7/ql3mbxFjsvSB53/uC3zfctkbIod//F0tvKsj9ni94Xa5/5Dbf9
2etatPgXd/HDuvyv/wEAAP//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00000000-23A4-4707-8751-1377DCEC9AC0}">
          <cx:tx>
            <cx:txData>
              <cx:f>_xlchart.v5.10</cx:f>
              <cx:v>Amount</cx:v>
            </cx:txData>
          </cx:tx>
          <cx:dataId val="0"/>
          <cx:layoutPr>
            <cx:geography cultureLanguage="en-US" cultureRegion="IN" attribution="Powered by Bing">
              <cx:geoCache provider="{E9337A44-BEBE-4D9F-B70C-5C5E7DAFC167}">
                <cx:binary>7H1pb9vI0u5fCfL50sNe2X1w5gWmqdW74+xfCMVWuLO5b7/+lrxkLErOoYERLl7dowQzSahqF/mw
a++qf9+1/7qL1qv8XRtHSfGvu/bP915Zpv/644/izlvHq+Ik9u9yXeif5cmdjv/QP3/6d+s/7vNV
4yfuH9hE9I87b5WX6/b9//wbVnPX+lzfrUpfJzfVOu8+rIsqKovfXNt76d3qPvaTiV+UuX9Xoj/f
26vI/6nzxF+9376G/3yvqrJcv7N1lZTd+3frpPTL7mOXrv98v7UKfv/uj+EP22HsXQS8l9U9EBN5
whAm1GRUPnzE+3eRTtynywbC6IQxyhH84fnHXq5ioBzN0AM7q/v7fF0UcFsP/x+Sb90DPIi//tMD
uNs8iM2TdwGEP99/Svxyff/utlyV6+L9O7/QD08q72y9uctPtw+P5Y9t7P7n34N/gAc1+JcX8A6f
6n+6tI3gf0D3QiflOl93BwCYn3CLWxYxLfPhQ3YB5oxTTji8O4/v1SPAb+FpP8Y7K4yAeYfmyJD+
K4Ldc786ANDWiTCpwIKTx51sDYHGJ9jC1Bri/AaO9sM8XGAEykOSIwP5Y6WjKk4OIa+tEymwpJTK
x+0MUnlbXpsnRGCEBIaN/nI7v4Wn/TjvrDAC6B2aI0P6ryj1D4KzOOGSMI5e08tInljwYcyi2ziP
52g/ygP6ERgPKI4M4dtV8k6t82SV3/uJPoDcpifIFAQJQvYraGSdwIY3pSW3gX47Y/sBf2WdEcC/
QnlkL8Bf8epe5wcAXpwQ0MYmFrCDhzLcsjCWxHwU8gPLezxD+wEf0I8AekBxZABvXuPzyi/eXf3w
i/QQW5ydYIE5klS8qrQ5N01wsvbs8Teyth/z1+5xBPivkR7ZWwDO96pe56viIDsdSY4Rtp58MPC0
hhueC1OCH863ZfybmNqP/O4SIzDfJTo2tMFALw7hhckTvAESDLfHrb4DNT4xQd1zSdkA6tEcvYLz
Nv0YkLcpjgzhWx2tDmKviRPMEBWbkMrDZ8cDA4SpFMwcbubxHO1HeEA/AuEBxZEhbEPQLN/s4aI8
xE4WJyYSUhJivRIZxSeIUMEsBDHTl572W/naj/beVUZgvpfuyJCfrKN3lxoC8v+8rqboxGIUzO8N
9pvPThiNgoSnBMJog3jpm5jaj/nuEiMA3yU6MrSn0buJzsEJ++fRJuLEwpIz/BQzlWB/Dy0z2P4g
7hnY5/AZuGJvYm0/5rtLjMB8l+jIMJ9Btugg2pufWARxxhB63N5DwDdxNcHgFxrYZ+M52o/zgH4E
yAOKI0N4Hq2T5AA7GhKa2GRIYnCltrcy6GspkEXYQHCP5mQ/sNvkI3DdJjgyWBdV/ENH9+U/jyw1
YWdyROkushBC5YiYkPx63NTb9thbWNoP8c4KI1DeoTkyoJdxus79VfTPA03wiSWxYJSgB51rDlPW
iJ0wEOEMQfR0j1J+C2f78d5ZYQTeOzRHhvft6i6H1HVSHsYMYxbkuyA++riBd4xudELl5hdUquxB
/G287cd8zxojUN9DdWS4L5PuEIhzqFbAoKmtp7qjHTtMgLaWnAsx8K7H8rMf5S3qEfhuff/IkL31
1/lD/KT652vKuAlVCOJxs+7Ib2yewEVTcAiS7dvNo/naj/HgvkagPKA4MpzPIHt9AC3NToj1UDj4
qIQ3rvGWvQ2e1CaAhggGaf4yPjaWn/3oblGPwHbr+8eGLNSnHiJfxU8ANKgVo+xVJ5nDNagJHUI7
lqFXsN0iHwPuFsGRoXsNNWQHSUfKE0m4BUGvpxjIjrVlnkCqWjIoQNreueM52o/vgH4EwAOKI0P4
fBUeIIQNNd0QoEaWCQUkD589OUiJGOLCGqSbx/KzH90t6hHYbn3/yJD9pqNDWM1QFWiBxQzl+gNl
C2X6cMFCEAfZ3rJjGdkP6Rb1CEi3vn9kkJ6vimJ9AEMK4loUyjyFxI+7dZ+5zOEyFXygbcdztB/d
Af0IfAcUx4awLt79lbjraH0Io4qemAxjIp6NquFJGwSFBZRASSBI7s1nsJHP38bcK4jvWWQM7HvI
jgz762h1tz5MlaeA0l3IID4V7A+DmSC5IQgCoU78y9Z+6SyN52s/4gP6EWAPKI4M54vVPRT5HcAd
5idQ4ge5Jeup8GvoDkPQw+QQ4aRoUOM5nqP9CA/oRyA8oDgyhL9VPw6BrzxBoKYhsfhaDScclASD
WsBJuoEFNpKf/ehu3c0IbLe+f2TIXqxy/wAGGIEzVRZlsHGfqkCGmhnjEwYHNLglB7Ho0Qztx3ab
fAS42wRHiG6qD1KUa52A3AXJLJ5M7KFshlCl5NQSGHzmh8/2Dt489rGcvY701gojwd6iOTK8L1fp
IeQ0WNESQpcQm3x0p3bsLTgGC86UCS/DNspj+dmP8Bb1CHS3vn9kyF6sk3t9d5jTchs1DFvUsp7g
HW5lTKA80+KEbAo3XxrSb2JqP8a7S4wAepfo6NDO76D3gv2Pt6awTojJJYc04aNQ3lHLEDgRYI8h
a29RwMV6LF+vob1FPwrqLYpjw1nDpv7nYYaCazjLDskGxB9h3qnbM08YxXAOGg0M64uxDL2C7xb5
GHi3CI4O3YOU224OyzAo23vawjvV9GB5YSwgQmIOvWI9jp/XsH1BPQraF98/MmQv1/XqIA1HADqO
LUHMp4jHjqUFkS048wo7d5BmGs/RfnQH9CPwHVAcGcJX+Qqi1v+8aCYECjEhcin4K82hoDWBYHBK
nQ+D1eM52o/wgH4EwgOKI0P4gw9Hkwv//jAgS2EyQp7KeHbreMAOg4PLUOsxENFvYmo/zrtLjIB6
l+jI0H7sqwEtzQ6RQobCSwYHWCFU/WhuDQsvIR9BTWxCof1Aar+Nq/1471ljBOB7qI4Q8Ym/dg8B
OFTTIwhuQkX9oGYApDfiREDnmadXYdth3jz10Ty9Dvf2EiPR3iY6QrBnoLLv/OJOPz/zf6KXowUH
ZEzTgpLpV7Y2PqHQzZIJMpDkG6h/cTTGjngd7t1lRkK+S3iEsJ/qVVYdKocBm5xiAPjhs8cYxxIq
OqXcX3MNb8AbmHsd/+EiI9Efkh0h9hfQm/QQ8v0huWFZUKz5uOt3qjkh4I0FRE3poKJks+tHM/U6
4ttLjMR7m+j40IaOFGqV/1gdpNSAbsT4Jh35+hlmLgWhCNrMPHyelcxjY1fA/W3svYr9nmXG4b+H
8CjfATs6zBsALhkUikF972uhcXQCVgCC2MuggvsR+9Fs/Q757UVG475Ndpyo51U/xop6Y6tuqDCy
KKLmc6B8aM9DmQI0EwQLcBhvewJ9JFe/xfzlGuMhf0l1bIh7q4O0H4KqYGjtCu4Zea3eCEOjX+gc
Co0FB+J9NEevIL1NPwblbYpjQ9gvQr/T1T+/oze9hgi4Y/i5ZfdOLAafcGgCzKBwcIDxG3h6BeXh
CmNwHtIcG9KQc4oPU5NCieRQlvK0l3ecs4cYDadQpTTAeTRHr6C8TT8G422KY0O4XCV+Ea2qQxT4
WyecmtBehr927AryYeamxN8alBHC2Io3cPUK0rtrjEF7l+p/AeK/Z3HrtjdzN/563lN7YmxvHZcC
vbhhGgoHz+sxzDIsP4J8Nkewz6FWeJ/rBX1Vf014eSxO2sfTfoRf0m7d4+Mt/v6h/K+biHK7mXdz
iPMYUEBGMIZmvE8A7VjR6IRvGnzuZK3Hc7QfvwH9Hgi3/glm/gwojgzhj2tvdQhtC5YzNAbicNjq
lfAI+EnQaRnyW+gxVjoIi43naz/OA/otUPePNhpQHBvOULQPw6oOYD5DQzDoUwBh76cw157I56bQ
F8JgQ4jHs/QKxoMFxoA8IDk2lCsIdR2iPAF6URBzs1Nf17hYboJdbOAjfRzN0SsYb9OPgXib4sgQ
/gwGS3WgePamGxAxX+u0vCkSlHBCkpsDw/kNLO3HeLjACJCHJP8vUH59St2vWX+TVbmaPkwJfDGo
7vdXHx4RzDYckD5V0e8xVH8doFje//ke6vEJMxnEm38NINwstFWDv2kP8GyMb9OsIYr25/vHcYOw
1TenJKF3EN3s6Wb9dGmTvYbWnuZmaIoFf3z/LoEe0B4MMRQnEsxyYTGoZUAwyhAUQaGrp0sEOkNy
QYSEE/ZQivprhOO1jjpXJ7+eydPf3yVVfK39pCz+fA/D1N6/Sx+/t+EX7g8y7BxcOGhWZ2EBbQrh
+t3qw6YNDTyC/1PmTZBEOGiv0tIxVCrKieXkH0sce3aAu3LSo0R/9GsUXeEyjm+LyskXhomqRdU7
yEZVq1ypnVJllFwSqGufllHc2p0VrEnPa7uEwpwzL6t/yKpJP+pOF9Mwi9pr6bqpHceJZcvK0R9p
UV/kZmWpMpGT2vf0VexmmWqaxP2AXCuZV9D8ZerWDpoUCH2KexQtoohU80CSecqqJenERzer8llL
AzzhdepfRX4b25TL74bJm4VsxOekx/6njDb6wsNdMit7WdlGmLQ2gkdw5SPhzFqzlItMa3blNpir
MpbxokktOYlcIhdp0pfKda2vukgbRdMgUvDwz6usm4fS+NZAk15V6sqWmgU289JTs6LT0HLNKXbr
0zA3zmotPsPTvNDaSZVZ6lJpXsUqCb3vrKarlstW6UZ/cbPwS86SaJp6bqMc178taREpEhlckQRZ
NnfdRdjX2cLg8Zq4XqTahJ/yHPuq7JNKSRYEs9Jg7sxzGlMlrP8GQAe25OmtNpxLGnU/RO8viBOl
cCfk3umKa6NI6vNQiFzlZW9Os0Zckl5Gqnf6S6YB0jJtJ1nXXIcx+YFJ/qVvwjvDSXOlPe80jNor
3jieslJUKuSahTIavNycMLajqi0mjSuvmBCljWO64AU/120sptoijmLI+5a6/Q3MiTsLMstTRtsb
qk5CqeD9aG0uslBckc4MyA8Tc9YtrbIIp5bnnhkO7WM7R7k7iVheKM9ia6MIZ34lqEJGN+O9kylH
BuzCrKPTOvBzZbEkUDhG58RigYrqOlCOibyJy4Q/71g4FRkSqjB6/CFnrLZrkSc2dcO7DKdUdZ7f
Tf24q6Y6kDPTDAPFwx4esl84S6MrMttlIbIb2OC2CW8qcdMPUZK08GbTZStkodIwNj8mnlMoh9IF
0kmrchY0ypI8nmCnsXtqJop0zrrr8MI3BFuGjH3MS+c7TpLStkJiQwb9khYsWjaUcRU3lamsiC8N
kdMrq+y0akVe2iny+azN6W0dam07JTs3/Sa1ZdJJ2zTYaR5V/inq9FlGI7TMtA8oldKOyNcCOVdG
486a3mpntPHnZZb7oS3jfF50YarczpuILPrhRWwmdApbHbZJmlotPNj4e+oVp63VpMvQsMQk8hG6
8pqUTJzK8D4EfuaeJlSEqhLOZZ0ZWgWST3EnexUlNbzndZwoJ21vOlQ0qsvS8DTreqEqjJ2FmZV0
KgpN553ryIlpZMUyzZIz1zOtaedW5LTgbn+aBciYU52ZU52lN9yQ+awPu1PDdL+mRkyuceC3Nki/
cGn4VNpemJ4apLHd1nWmPEi/ZVbg/iySeCI92MY3VhCs+6AvsUokKXP1ckDrlmS+02mX+673NF/3
11//56OO4ffDxNa//3Eznvfvv83XepPyLoZf2ujPX9/6e+rrRl/9GgE70IKPM35fUZG/vfgm/bkp
0ntdfz4WOe9q0A3VswaFqj5I/IO9DGFGCjW7oAufNSh0GNmcYYe2m9B5EcJYkG541qAEOn5ZHPqe
E7CkNwWBf2tQAnkmDokoDstCSgr07vNT2MIJDIc9GhQmZAw0qEXgA6UqoOUhFooEuGYvNWjGUec3
lulc5BJ5U9JHoQS9KJ0zo83Ms8Qq6lAZZld9p4F36jvdN+Gi3k6t4I7UDE2MhjXWgntRXE8zYgZL
M83SaRv4gWtj7unPbl7zzob4XeGqxOtSZQQ+xwo2U76ikeOvy8p08hlOmDdhRa3tpNWTxGmDmVf5
QQYKucCwoXNaz7IcttlpZxlSybBThVNJqUI/5aEKWJurNs9/GsJtFQtjVzHfqZWH5b0jUKd4F4FU
JiDwotp1VdG5nfJy9zSq0FXa67OCmRd939wg0p97tVw4xDinOloi11u2vtPbjOegSZDBYP5JXU1w
Qb3zlPK5mRrXQZ0FH1JHnJWpF4BuE4ntygKdJ4XObWw04bTjQaDy1AgmVlZdtWVxZYStUI1LTdVR
NO21bqaeC015VcRLI7V90uU/Q1Le+pF5C9XBMbPrqEyujSzsLwgNZ3GWztyUe1+1X9tWKWyncOKL
mkauItr7aRVuYOPUcqdYg+CR1UR2JL41OGtmqchKZWU9nuR5PE8yuN004qrFZauc3uITjBLvqnYb
Z+GnQaUIK2Zla+gPvGFK8sYuzC5XRFaJSjGyfd+4QD2Z1Rz5qqtS+qmQaGJ5oa/yLhIzM3J9FaWx
3VZ9rvrUSr8xpwINhgzpg9rBbmEXXR7MX2zFPa82WLrp36ahgN7EUHkJsQghN4Elwc3tFzswvcYM
ZRFcYtNLZyRq8Mrr4Dk1XZh4/5V/j/7D5hjY6/LvoXP+rvh7ODv2twMBszogumdBt2gY4gKS8Vn8
QdxPQvsl+A19PDD0Lv1b/EnoRrwZ2gQtXKD4nVC49OxAyM08XVgL/oOgdhamJ79F/PGh+IOKnI0L
semOK6C/5mYY80vxl3SFhdtKyCsc5x2IEdSn85xoN7khRuLhKfPiwvkuCc5vSOSAjRrXfmL3tTzn
gTzPExnaaRz+CDN92mWRqnHpzjpKtadSEoEFn5N+mbQkm1a1vAlF8zNyYt+2crGSFZ4bFrbdwgfD
LZubbjoXCblsU2Nh+NEPlrdgJQX63A2amxD7YKWV+cTN+QIOhyzMIEgVyRvbl9pQftDNoVXKJe7N
iY/NSjUei2aV2S06VOcqMdCPIEaqzWq2zIX1NaXWss+buzRpL4TMIzZ14N6+yTyYlA6I05Tpdd6J
SRgFJtg2ZadCU2dXvWHM2sBMbFyjRVbqszqMarspzUCFxMinaWwlS+hEDHebGOak0P2XGFwj0aNY
NUGBVR7SfIp9ojyK5wGp3FkeEtcG49eaBg1aiTA/C4uwnmTUyhXS1be4db5XQXDrJfqq7SxfGbHD
ZnGBUzsxk2XjW5aSftGCMInZxGxorXQs9Dz1ajKpjDi2IVh5ngbdTczCZeFmLuiE4L6La6FMkVCV
a+eziChSxO1WCa4alSP0s8TGKaqrZVN25wHYjWCAl4GqCysBV6xqznWOgklHDUO1vDzvw2gdG0nz
FfA8K9n3PuYX1C9AYkfXURacmty5bYqgtPMmDIoJzELJvHMDJ1U/TfwQ1FEaRdrjCpWhzC5bl1nL
qBDUsFntzX1waFoFDqW8wJbhnVqhrufYC/USnktqTqnpp3PPEfLWCUEj2lGH2kRluueLmnV0nuaM
RhPwYNw5GMrgaVlJjs+tKKq+CM3FwuhD8+t/zcGHcIoJSuR1cfg4eHmPPASqX+YgzEOhMI8Q5szC
UU28aS74Sx5CRyoLjueCKQiZEsiW/C0PIaCyMdPgWBg4mFBpClLqWR7C1FowH2HytIRuOSBn0Zvk
IQN5/EJrQkBFYHB0gEEI4FKMhvLQza0mCIiIrgyUfXP9slF9Ff1AHVtGCJyagPd2kVdTi8XKrK1Z
T9xz2WWXjQCLy2nibBn7Wawq17Bzq8Izl5kzU5Pbxq/xVFgQXKjd7twsnQk3dKp8VH72BezlCEXn
HssiuzbyRRQWq5i3rqoQvXcwbCTweFzwStuzVtT3YYUyW4RmNzEJmfKuZgp1ST81KyOa5DFrJ1hU
4GSC0WPTzuR2qZNulujuGneMTbAbnVUtI6pzy6+kLdtJkXT32uSn0NsgnWRtAs5hXYSw5YhiXl+p
xJLXvURfaqd3VSBAGnie0ajIKuGvPPDt3k2ximPXUZazJG456yztqCwrfIWb9nPvuRellZylTnrm
wT0p3YETH2P8ofHDCZij8TRM8IWD8Eeni8pZDY2IFUS8alUWdQnetiEUpWQRk863HZF+ESw3bG6C
s+iCiMh897bEQfrdzJrPXU+bs1IUVykpi3mEmkgFWf69deuln4TzOG24ohXTijbgY1fEwQpkx4Xn
4s8kK4iq/ObK4JRPw7DqJ5j17rSXvlBuLo25oasPxPDuWeToeROC4K7C8EzzVdmuUtnNaMpXRUf0
vMrNOQz8dKd52sT6M3gWyW1kRmm49t3+vmm9Dz0xy6lVpdpSYe4JsQKBeunA+700y8RctCXWVzh3
5BWNneK0k45NZTVNGosvyrwLlOmZvu1R2V2SoAe14Ou4mUfM+tIkzcTyY++CtHqd9TWoSu3KTOVc
eP1/zb4nsw/MpNflnP0wqHSPnAOqZzm3aYALR1vA34TO5QSMvBdyDqqrYNIA2OYwUwaMQhBmz26v
BF+ZwiVoI8LAAtwU5vwt5zZSCVrcS1iUWyAd32D34Y3E3JZzcIQWgeUJZulmOOim+dBLu69tHDc0
uEOvQnBIumXPNcQEa4+UzhXmNonjCyMw8EI4VmQblXfbUZeqkNN0AjaCqZDDfdVEWTitZEknBYvN
hQnKfSJakttVrVeo6127Yv6qz4p2EhOvmOQFP4tAkduZE1wHmfycuk4JRlNBVS0Kfyq63lz4khcT
EHEOeFphrRoDHGsvL6OJx8uzKkmlQpb/pUb8xifJnEdxbut2ktT93M9AWtdmbKow0De923zWXC8L
CLIpP9LcxqXh2jIrHOXn/UoG+Q3nmQlzkyBSLCN8jc0yuqhor2ciZAnE8SI98YvsJ3HcVRWARI0N
a1p266bFbNKxbFobBIKWcXLRYvolTdxUFaJJFxSiTmD3QpguTJGniAbx1YOVaaO6PSO9H0xx3q8h
dDardH2GZDNHEKKDSeDzghTTPNcTHCCIvYO4sPOarEuJ7bBxeiVNhXtynnT9ooeoA2gZJ4d4aWnX
sf9RVFEyiaJ0EYfutNXBx0gak7JMbtLcPPOMyga727VzFt/UAGkVU29qtn6ezEsDiZng6Sli8Y+k
8CLbt5xzEyz8ZGPqQ4wCrH5Q5fkNas3U+R7kkYunxYOPYPRll85jlHTKNcGM6vpAasXr8A4zMmu9
vFE+ru5k4c1g7qFrNwIu+1Wzzigq7KBopYrrdlF23iVNHDE1mrabZaX3szF4Dqqm+8ZN+bHs2xtU
o+8kh5C87r/5dSBtzgoytVx67+P2tDHd7nvkZaHyy9SyKUlsUee1Yma2CFh+48hoAT6HcV5Z2cfO
h9tKoyqDXIC4ctrCt0E0/qSgGyuvDCF6wuW05J256K2fKNB0ulHTdRl5kzileBIJfBm6kLlghn+a
O/28TREDxVvntqG9OzfMegiYd/1MNEFqB507x0bxzW/0QsO2sRMB4WLRgYNkFf20dEHdIh4u24Y6
tsiN684xvualecpTgiYBDj4xx3OnAqZ5Q8SnU7CbQb+DkWCFkEYo9WnCIMbqxaldZYIpj4c/C6+8
SmO6qgvnnEc9OCddcAm96M5S4tWKa3mWNJGlMCG1HVBL5Z7vqaCsm3nWxo4qPYIUljDOOBTfektP
44gtIXz1jYQkve0NDoEkT7QqwuwTGOS3LTaUKZuvmUf9ZerJZd9mZ44r0jNHF19568yRsCDywpce
EVeGLG48k69T2l/Gcb4INbybPe/6SYqSalJj90Nd6zn4Wwu38ud54Mlp2MpEwe7h34u6WIL/Un1w
RO0pP4lmcduc8U0y4b8m/IMJj0DSv67aNvOFdhXbhuZZscGwM2hNCMXDUB0MI6c3uc1nAx7iuRbE
UaGnNAR7kSlBHT4rNggCQ9MObPFNuBXSqXDpWbEx0IYw/QEaIsKMtbcHNDZhrb/DXlCaDi0TyYYH
yOFDYJcAfy8VG/GiFLm1VV7GIfdmWkf+pNUxFf1Nh+u+Bptbek7Pp9SrTS+ZhnXYTBkqMZpqAmnF
Bkxmn0RnmfCz7ipoYN4yU6JqWA5WdsuzSsUs8giI7CSOEJilkQ/vs+EENZ4YjtTJ9z7nFb22qkrm
ycQy05qetYw1BeQpjSwoVlZf5n2vSu5YhWm3bV5DRgnVXj4PilReeJnpLd025yprGvopg9RMKPxI
ZZUOmaJhEE9Q1tRncESgm2HhJ5dWFFYfQIQ0P8yEsXRZB577o6Z5O4sKMz73eainEdXOZWAwOquN
wFtAwCoOlWhIdwPVo86yqHRzESZWc4mCupzkTvpTN6LwICaK85XwwQWJSoor23MYXnosKD/iJott
eILsTvSRnNde1Jy74BA4uvfnkUHJB9Gb0bQlbqaiymzpRCAIU7CyNJbQ+6O7zM08mIVVUIDZjFLQ
nUWMGgXZ8x8AU7nIHBMkF0ohlCqlh7+TPu2vvb4PEhXiCv8IQa+fVVnhLjuIKXyFGC2ZICi0vAYT
wZ30Iq6uqiq8g0eaLDMIkd6iwjcjOzBNcQHpMKmYpb3LDrTlxO2Yf8n8ophLGeXToJfiss98toiz
BFKuHZgYHkRH7ihvo3PWOMXnKtbVrJBBYheGjy8IQVGvuAdpS7DUQZ63Gb9BINlmfsaKa+KTdAJh
fn0G6fT6rCjCU6eL+2knDDHLWNf+bKgXLUQau6ethmyWYoFlXPgON09jKB/Xtu6iSJVlxc+zTiTz
1K3QnDbwFrUsh6B1j6VzGuUG/1xJ44s2PXyODZFeAfvOzAhjelFoTGdlnptXXe+1pxGopqXrJ/VU
G2VwQYu0++DlopnURZNNO79qIVvfO7MiKwp38v+jZH0pJBmkj34nVF9WSj9WWT8UbzxQ/RKrMDN0
04vfhDneDBwDWPBZrGI4XwtlJlDnAVF86H8EGaonsUrhhB3adDMzHyMmm+jys1jd9AiGBSG4K+DM
Fsy9eou/gDZZsJdSlW2SCDChBeS3CS7N5hjnS6la9kSnWVW1l0lD5LSGMoFUaRJYoR1aTQ3pWdad
Bi0k/KeQTy+/lZrWn2CHtpkqZJJ9efH0rh9/7Muyl81UpyE3FNJ1FowYMSkcVxrk7GjSpaH0qvoS
Zwm6dMM+cVRlae7ZbV1qqeqGVt+sOjUgAxOLEhyOIA9BNPWFRW1o/pbcy7I0r2ANDzJZUYQ+9cwQ
aN5x5qxRZ6B29nuOMei3HY45dOOWWDILBsMOkjHUtzzAtisvSctcd8LbPvpUgylHZqXVaabqroWA
Khje4CpYvIM8UmiSOZiUHZrktS7vvbYoINVkpGxSlL6G0EjsmbWycgbmvqsD7zqs5GlcSPCz4NSP
/Fx42VkYNayd+oXBL/zcq+P57+9qFwYYFGBCtAyGz0PnloebflF8ZHWG2xhpVFwmpSM/axdsVFBQ
GF6NNKna66bN5W3qoOjr73/sdmKLmRaCbqtge4A/DB2y8VDDM7N1aVq4yWUCgfVLFHrVZVLkti8c
7/PvfxJsny3UNj9JQvMhC2adQPBrmBtOE9r1We7pS5GadJU1Oo/mTik6rMIU3KesinqbmJ3QdkBY
E/+nl2ZoysBd4s1QSkrgiAdIh8FrDnEF33OT2L+0spCt4qBiqzDa8MD6uJjyXGvVmQD9HBzxBqss
1Na6jGSxbGRHz1tOctMmTaBDOwBr5RO4T5hMPNF169SoU6i86GPLZlLTfMEIh0Df75/eZkL54PFB
A3oQG4RDan0zJwiuv3g/TF4xMEgcyI5WTrzy8xJS4MgIS8g6kK5L3NPG88MfrpDpedtn3oxr2vo2
RrX1s7T6XtsdZIRtqoN67efEuq9Z6lmnv2eS7kR8N9EZeIk2NdvQlIJZEJF+ySXPhW/mXkkuApql
DnhXpfTApytbImdlXVV2DoUAN3XcsQrinp4FtUrJvMB5Oo9oCp55lMUf0ojFLdTvNO6XJoj1sitK
iFuyLP3Ei1BMnCxx7EoHAcTpSgKFQk7wf9k7syZJcWxb/yLaEGJ8PEw+hcfkkZkR+YJFTggEEiCB
QL/+LrK6qrOrTx+79XAfjt1+KLOqinAPnEHae61vbVfi3gyOehgdCzKuJkmbOraCcOAtrD8Goe6e
vbZ+rDdB0Wmhbb3X1biDfQ4FH+fhRDabh7XBn1EFuCZu7zoWxG8VWJczg7h9Z+t1STLjMr+HnrU1
O1m0wYbaYpsTEzi5bdevgxr1bXYdEFum11FZqXE++ZXnvYyMGH6oIgeetmW8+oKiGw11I0bn89xH
PVAh5Z24FMOJjEn3rVmGEM897fmtSao1SpfRr9EdT3MGqWQ4EN9LHkbTr4VvprEkZCVLAb2S1Nli
6njMFo9VRa/olM9D8sAqp3ZhFEl9xFbjGZhdbZjGOupe195lF29KhltAdXCYE+hUpQp7+x6HciqU
u7a2XHhcl866uu+e6swPVQ9DkFlPwxoUtbfU5apbiYfDGCBHyxyXsMFY3mnaHwV+FdqTDx0mXPol
SlvVtk4WVVBcIhmsNvV1V2VUO6I/TCEvan/e3CdDiQ+5aHIhOONO0iXVJlGHlUbrHfAy21VPsxkB
YaZb021i+sYq5nn2TRlnjXqWJhOWcvnV2/pW0ymd9TwP7r3muufrOWlGe1iSWVenfmqaIW29Tt7c
yKGndqN0Ru+fdBVIKxcAomV9HAMhqbAf6o6joENvULvZ1GkwYegvwkge+RYZlm9rl+i7UGmKO8pU
ErhWNmMvLEOHtdXDgkcnrLMxHmLccJSrvhRdM4HRGLF5VcW6NGGGrgdqZrpVrvDBhlSwHBlw0aqE
xtD1hapQFZSBqHubxTbAiik87s9ZzyYHfjFAFPWoGhiVhayb+IczL1Hj5q709KHx4zm+D5yqrs6C
RhqwH+gYNdrtqGBpT6wYahb1RaUWO5bJpERTbl3Yb0cXzcSQBd7WwWteg607TM3YOMAnfe+TMwBA
zcHU8j7HP67zAJfXUTjlQnxqezCjJzoluis40+GznTWlZetIj1yYYXBA04h5TB+qaRnEDZsxPbe1
9Xg5DziCQuqutpBrVptkcbsN5tpD7KkKB4/KlFeEzOeJBkGX1xWt5zyCyIaeNFKoT4Rtqf3ecWR3
8xgH0Od069l4Im7jH+sm4tAwOR9p3simyu1coSF0zDQkj21lWj+jzdjatB9a61zcqvNLMlR1gMOF
r1OQjVl5Yg0xdcETn5l0/72UJE0icPvUdMxW0zhoTNfG+TxBJ9jgq+M58u6JFY1t0njxHfqyASSZ
70PYHcCUklFfg1lgS6pVxPGCpEf/X1YNI+INlK9gAP/6DuqmCWxzIbrWLyB8g/dgraA0AUzCb89i
jWihQtvg4GeCBrejI1dZbCoob8341hmDyqKt2+WmgtB8GSZGj0tkQPpBqXWB9MUV3ifoZLuWYlrI
vV0H6j8pHZAXoh38hgkdFWeabNFaLF7fNscJra05iahWYIedKPko3HG/Odt2VIeoU0w9rpsPXgau
Eq4NMwIHJhUW3Qt2sOQjRBDc3WhZ+YTONlnlSauk8h7bCZ7QsxeLBLCo35r5qle9F59sWx8DaO5r
IU2PPy2ltQsa7F7bg8uj/cPvhw5mej+uoSf3fiDwKeYxwKmC381tlvAFj87Q1bx5ElOER36aURXU
+BnWVE8DWxqJv02ATwfm4nKbaZ2vvcMGlTbuPK4gpCOXFtsyopnHfwN2xSfCArImZK+Tteg/Vh5N
zvHSwPWKWcBxX2x1+G4ExWGsU7s9U7266lKjzG0vchC8vcXYLQ5KuOR+TOrxDUxLOIJxYI13lnGd
zJeKyXrJtykaYahGG6hvD6c1c6Nx+8o7Hjyus4LiN7rbwj+ZsK/Vsa+c/scGfhlrSDNCfEUfENOi
8TamyiHsk0+OW/VlbwYoDJG/962TYc+N1OqS9LwN8sCbPEjeHQD9dAEJ93FqnaUuOk/gMbFORZOT
LyQZv/dYkLdzTHBLFWZfsYs2cHBGVygRBTYZM17INMMXgY6sF+y0dAGtO43t5ylZkhdnQ5l+tome
yDcNM1WlPSERDEfj4a3WnjCb+aYO69OAy2IArSdhaeWy6CuQju7WLmpM40gd/X5dgqM1IS4Od4my
h6ED93sV4erfOdr1ZcFG0S+XejMDy+JA9ewFlYj65iYCywiWTrWknCmj0sQs8YhdYBtvXT2S5pVI
S+NlR/j49mHQ1EnwZqqaChY5vD6DAzdfWO06S9ZFCoJ0AyPqaVUOBO4JOktTNHbGTdp4uqWPK+9s
cN+HADfScVhc8B6E+UgOoLpRhWEDrpqJRVOnk416rB1KdQVZ6TrlSwf5+mBjeJMp99c6yrdqc1VW
DSocP5lgIy8tm3CvYaeDRdTVvXoUiSBYYL0hacu4Z6FJ1/kNLreJScr5En0IPDGa3AS19q9+1cXL
81ipZMLmjju6GBqKq4nGYVvvGqq5vIumgYEhXl0g19UqAS436+rUV0D+g8mBPGHNQDU262u3A0vp
lPC6VCzmLDer65620cdzv4UhrFe/YtH1Z1X695zM428t7m9Jj1+5318x4P8bnvjafJ2kkj/0n4Hi
f3qj/33UsY8a/N9r1Lef411+FWB+M233V/0up8B+xbcJY0GAmuImiN/+IqdQfPEZojKY4Q/xADLx
P+QU8jdYolBfoKhAa/kJp/xdTkGIF+o0GpmfmjdeHvwVOQUzqf/UGsH4hRqA/jIMEBmFLPDPTYe3
//GhG7tHt4vaNPBnSMC++bhEYQ1Q33nA6j2lyjZX3nkIF2zxcdzqoUDDq/Jljb/LubniOwxefC66
TJAxzjeaQEOtbSpjeoy7uQw16umVHA220b53+G6louohbyrQWdgYOJMrKyDRvLOovW56/h61rDAJ
LeCTtulGhuu4+l+hSh3qLWlSqtBIOk0/H9thOk5JclFtXUgvKK3XFg7KsZQEy13oyQ+QhO6Nx1D6
T35zYNZ77ya3BCP+Cs0iKKOqwiY29tthIh0s2SBmqR+qc7DqpYwBiYA+Oya0RQHW3qpFD9lKqSkW
BAoE8QEvx0OJPcI99ji4C4JRXmZjY3NHEAE+LnpIaPfNa9hw2LwAlmDNaeps1cvUyR/dMK+5K4yT
CtVesf7A4609Xohl6DI2IOsSrXJLoy0uuLOdWaBFXpvugwZycoYenM+xfGITG1F0JEDknBppFH1N
xN4yzQdPr08NCqhits6WbmAyXBv/IM5qUvBuTysTfYqvZnxrW/K8qcFJx0pG2dzRPttC+mL75o2L
MTddT9Mm5lFKm+YO4h9SNe4PpcC0tRZSutfMW8GQk4ART5+QPPvEWhx/vYFdtLW0WTj4xzkEYTSg
hEBbNX+XLZISqkM+ZErB5kFh0iTMXLCIjbsqlO+w2KRgr1CmnxE4WTMZDyK1CGkhMcXTUQCC1FsS
5KbF6zqqkxwegn+AEv4gZfwpIBWuu5pTDvU7dfvhjczNnW6bOyzj6D5rEoMh103uewJWNgop+OlU
w3ccDhWV94Ild9DcQf4hxpQCCr13W/k2tmNTjh0HUtVM+eqLLDQ4ULNYnpJuOY7EffQ8AFKQX46c
VJepnk9KDB9mZzlIJa5MyhK6fZLGUNLBmi5J4YdmSsOOuXnsLq8Q+r+rxcucdj2YZtjyVoBjFaF8
gLDzKdiiRzkanfFkucW8K2HMjvZeL9fKQbPhJrBqxAMJxKO3VMcusA/OHCIDtwFRRDeZzjNoCMlA
Elng82GL7dLpmypDfwVAKglxyvGmog+GLA69HqGjOcx7d/nB+MrztadR4Q37o8rVl7UNcyPjH1G7
zicJLynbAwAHIoITI2OQ28rvp9TbKLZbkawHx1nrIlhplcmImTJxoDZCAkrrlemzrHhb9ov/bQ60
X86Mf5N0eR3t/NWCgCuk6vq0puZxm3cPu0EWcNOhLrAcLTRDye9NF4Bk+oK1Z8zbeIiwgY4jSvFe
nwLRt2FJ5yEMPiwuAmkH5k/kMPvbgGcJkm26RuuEJmmuV1LEwvHXdFxg6R3x/TrbkKI/ss092utt
viVuT/TNJJNDQa3N8mIQq2Ovk/W95YHr4ShrTTLwrV0hfe6XTRPU6ejadzC1z6qCw63RP/u+mMvJ
mdZD7ISXIFqbHIakn85d+BVxQZVyjYK1b/1XFOhxxvZEGXFteKYSNzMXiDrh1xFVCOTnofLfWTt5
uY7bPkVh8QOC0ZJRJt3UF9DhXBeRkUlPqIb4et0Gla8N6hY+OFdfTE9ONV9A6H5eGvPDOjQD8tCm
CmxFWg9Blym6ntl2ClzTp+jb3huO3EFTmVR7AfIpmPYCI8jcXA+4mErunHZ765j3wxJAyKoOfvCl
RyvT5I49e9va5n4wFVU9PfMVSw+osXRd87W7dKhZXN65OTqXd1NbePMAd1ZnDbOxsSLFzXgfRtzm
YZDUhes4T8gYeLmJAps36Cmsu10SdHEZzsJwjMQoUiVdfaD+grUdmFCUNFFhEYBIReW8aJ7boP7k
TcrBmWyrnDk7LMQTgz8+Ie/IkyOyiiSzaxfn1ABVMfGKHOk6mCKS5g7RVi+N46VOaxI9NEZc5y5C
pGKoHlD6pqpXwAX0e5iYrfAWfts6ZyxsX3cFyGVIAe38oZpnlc9GfEIq+Nw6HMc421coJ6zEUwe6
SVsJYsQDuin1d5UkH7BAl+7Q3fGe6dSr6ZG28sO4NAeniVaQnO5pNPRxiYfnJJBfGmx0gJPce9/V
F0SJq2wRfnWoLJmywJ1OtbNgS9CmTr0Ach/j/JQEW5wutcja2BsPKmjAs/vqgTfzIyqRUnjgTnpy
HPjIMn/2cAPO/lpwF0wU6K4xT3gVHZwaP42WFnoVXw7Cccgh9Fh80jihGXieB3dQLfoLfZ6FmNIx
TM6RWj90QrrFJrEJYskqncbWB8eQSyeSMNtMhModT9qlJt5jSDSQDzWMyPe6/cl6HU2XqiLpRscK
2jI9+X7zyOb2owPWsHRAuKRY5LDABeZowXmmwG4fvWmx6JQpRBe5fhWy/kSD8UGJ6Kv16dc1dEs0
AK+S168SuZ5c0+ZU9cOrK+Mj9aebib0LhQ4Hkx59Y7dLgOa97rvDHHnfE27PoEWeLInGNNHuTfj7
Iu4EJdZ6lv0/Kc7/95Xdu4D/78vuu3f+/V+L7v01fxTdGAG5jwP19yoaMgL8ij88TBTdqLgxFAM6
cYjf+KPopgDCYQyB/I7wQ9ifeMPfPcz4b2igfho+sJfc3RT9C8wj3M8/F92otoENQ5lBw4CuYP/5
L34EQiyI5o8ieOBLh+Bx3Y/VbV1Rbx1Dr+EHA8Y43SJ/FzyDvG667uRPgcFu5wRHXkHW7zevvxrj
JgjcdbFbrjOWbn/PIFOEkeM9lWz2fDKvxdnZE8vRnl1eO7eEohGkteZlYuPvARp+OH6mzquf4ecQ
MWgBjAkJ79L5yTXthJMG6uQtYJ66nX5SOwdlSHvoIJNYOhwMQKlxJ6bcnZ1SXrtkAjiVhiWWqOR7
VM0AJOMHO8YnDA64NfGOL6tXZ+eyRIXAMECtaSe2ACC+drrOYqBcPZAuqLBrivEFqMl33osA/AK2
cKLxULRu9UYBhs07IQYNqcKaCWpM7fxYA5EF2t+STROKgQiQ2bjTZnzykGjp7kdMKUgRyb2OANNg
tzwg5v5D78RaomVmpUFOuBrO/U619VD9Axgx7oZCcefeEisgWgKFi3Ymjkbb2QKSiyf2tO3UHNPt
ad45unEn6hKgdXJn7IadtmuB3QFVeePA8ABkyCygky3rDVJfPbCvaqf2tp3fE2Q7hAD6up3s66F6
ip31Mzv110zTx6FifkGnH/POBYY7IVgh5J/WAaTaiPxwdooQw+4fxp0rtDthuAA1jHfm0AF8yAEh
dhC1kgUmio+UJ8peeG+14Om6s4vg988xYMYIGEvR7nwj5Jo3H8BjUPufV9c+jbHzskzkzQyAPjGG
4kfU+1spDU8KLO/3fbQd+c5TTv5OVgKxRFJdpg4JarQ1ddkCw9x2HhPIVBkB0ITsh5+304DsaROq
LwuM0DuASgjI9HtWRiMggW5hT9Dg84fH/mespgoaRGwWZMVQhsSRA4wfq0GOsIdIirHCi/l+xiEY
o++qdM4xEgSVp9tsacWB34qBseO2uA8WD8PTFrfRAXS/eRp2Snc13pnSliKqn6R0xGtsMzgPbY0g
QrS6ElLcgnhSMFKOLmND9Ic266mPnCANEH0/x/FqD9ESmEI2jUbOH1utuyyl0f3X2K0fxqUG9++R
K51RrkRJ8oT0W52rrr0fwwFZBfIJvNd2myCRvQnS0tQbIT5RsuakmtB9a9yQU0jRLcIPWXx4fAhL
UDBLYBH3iTKH3gN0GwnXpsQAT+h9v1hrAAmRs125t0B4F146w1LeK0/QvI36Ms3OgVCU5QudTiKc
aQoL84xaPTiTGrWQHFrQmLGYPnvR6KeBiE0x1wtSDOCdkSiOurzpp6GEEd9nFnMfvo7Ee4WNUZUJ
cOTCTCY+CIt4MOddcJC9lpiM0LqHBZm9lHj79a3CPrV+dUEpdIDYft/gicqMnc9tMj0xg0+NWQMl
qeUFgv2h6UFty6RTaWsnsE9JnK0sQhovnnGFbJcN4KB0y7ayF/0TCxo/n9ooQUMZXGJENpB9dg9N
wN/cZTrMjrpZvixp1009VPapgNJ3VfOEGOGMKSZNNB2qYTiGs/pRU3h0ATaPfEDSBb/Xpd41XvuX
XrXdHYrwR4Ezmkq/SYpeBlNaA+8Gq/ZpC0Vp/OEyV/H3FUZO2sn+rLkB5UTWQxT6t/9UCC64H1jk
/1OF8F8dhht8e/9zkfDby/4oEvB9Tvt3qCLbivGyFELaP4oE1A8RmCVwm5C/yF4J/IMfTZCHxfd+
+QhI/HORALQ0QL4CGt9vGdu/Foj9V7YIzz2+RxBiP7xAF2Oe/rlIiFcEDeeYzQ9to4dz3CX+dRLr
JRbdiEpg+hj2fT62mh+FjDr7nUk1Ok/zhsp+tADJydo9JQzKiebbk679s1S9hIIBwYXYDcAOx1iL
plt8TG1hZc0XdoIr7GIzqvwUun3NsmQZRdlHINRv0PzeErZhHUedlEaw5tpsQPT+vKzo7wLEV1mV
bfHWnOeO55tXOUftTD/qRFiwQm512JAhTRnhyanDovFxwOSyC5Z7fo2pgCnf3IaZMqxs/Ybym8RN
vkwIrkZLInJJLUWgoPFSL0zQDUCE4tGki7EmWaA9XQbrcB8H2OMXKhOEtuyaOpWG18eEOU5G3ROl
kkyL8W0y9d1GEPBHZs1T3tX164uxaCp0O8zYJ7YRrD+S6bNCxAmBmbSuHKSjJl3/qIwMPyNWsFQg
JUesm6BWgOsrckym+ZlxeotbV8wnTAJw9FNDUMwBN8jEyMIj0EolbqF2E8Qk5ipaUhpV/oESg/Y+
qNArV7M57bO2D7Pg6FB78bi16h4plzNEhvvR9S6xdkqpzNnpw1xaeADYOdwW4xCa4ZsR3nOjk7f/
LB5YPCC2Q4T/9+3FTSJQ8N+w5z+/9u0fYXrEPAkBSQcuioJp/HXtwLoQ031G/W+44x9rRwwSMiFo
3FH4051L/7XBwDoDHO73mJb/VxoMDAT7lwYj2mcuoPXxkKSPXHzgXxsMP+5bADne9hDrenqMWkip
DRkwb6rzvfNmOH/bCCibWC/u1WxDlcJfZDlUc/sxSoy+wbLtDtaS5hJiKlcRORrbYTMyzDNy77uO
JdeFkuoOPCrS+KvG6xegoflsdVy4cliPDjTp1bOgLjXTRzJQ/rUBl3Fohan2chrV06DWzz1j9VmO
yAP6wH9zT7iYJhLHA/T67WPijRnr6PtW9dF5hsVSaumYi+AyKSZp1mzVSCOiqXngdEaEsuGYKhSi
FmYgpmnoYSbWzwk7eEp2yQZzdwY8+/4TjLh8tLaGfjm8sX1Mj62WrMHcnlZCqFj3UT6eTUym/ch7
rEn96mLeTzPTCYC4eAr2UUCNq52D3scD2X1QEGMYGdTR7gKyXp0a7WOcEGP+gXfCh82PYUMhQc4d
kiAGECH6CTh9ebITEHJQi12Kvs6mThAULY8l9J3kHhgfR2eGs+Psg44waonm/T78SCkPFss+EGnE
ZKTZaz+PA0Yl9RhJguIsbAtSD2dWj1Zn1YILBiVlyjuHu2UVkmPrO+nmTHW2Bsuh1xykjp2H90XW
7XXV/neHSzcfXVSnPcKBuYGnw9v6hjTgUx+h+OXrevCW7qPXGp3c+YmGIel1D8tIHqUXf3QBX0CR
R/jGcQ+YYoKdYsREgwF/Jwwx6gm7TX1VChozMMCLouR7EOz8emhuC8P0KwXBDH4zsLy+dx+iOjmK
Xh4WGty1a3IdjHtgZPYK22HlD6sQCaW2tHXz0FtU2aHuy8RH+tkG2zWAwou47gdUr10Oo+ISVqj3
QKp87r3pCzUEkhWLv66RPMhg+zAmHBGDCjO55KB6qEugn+7BOkqVeTScvyK1gdQcDSZWYorYXWLE
gKeib/gdCUeohvMGJW9IKppHZFrvarTxp/8sxj8XYxdr579fjP+rf/8mpz8XcgEWyl/Unp9xfbio
f0/u/GqxYrK8h5UYsdI/1XFICGFwKgao7lNwwbdCgvmH2OMRfGMcYFt8YUy4D4r6K2LPT6L6n4h1
4LqJC1I4wuwVBG3/tBbLIbA82Cr14Hb0hUt185AX6X31xNcBMs3is3Ptgnok/rHdtjbvOa/KasF0
H73OVeqOkDujzcw5OKhn17d2dwdJanwdwpglT9qF2+EneC+BIEnRtQM5JfXkpQPrblMEKcgKTB4i
cr06o4snW8BIMXZxMmcNqhw0W1t0C6JzkzbjvSv6F4SnoBgtVty13r6Khh4SihVC5F4XHXyFGixe
pMlCLN6pncQLEzEKNKfHJMJJncYhKCvsO4XigKUiv/8OpPYjcERnD+odJXVumHRB0mpUGPQE9gJ6
/BfEDVqotPMGydsUYjq15I7U9NvC3iea6aQ+YtJhnZtlBl5sZyg4G0fn1cGb8qwaimFr342Fzbjq
6duszZlorLKJiw80LYgVTfHj5qA13ETh2LtZk/Pqx5+DNjxJt/XTZAtgQETB3YTtsunXFdJIjGDB
Sh74Pm6qdueCxC4uCY1UqutanaIJNgwgw2evxp6SOOzrCl9ViRiMEXaCrCGMlN4ovVRFCylpiGEN
QyV10XEMd6m4Ienkxndwh0/b3KCfnhjsK/G8cmjkrp0JpniBio4VKvowAa6K2Z9jUY96udXapVlF
kk+1I9tUYurI6LZnxaMXP4Hf5NTi0G881Qj2twtLcokhJSnGfCHp6Q9H48JkDPV4RkGicP3GQ0L7
NuMVEe7j4Gtxi6sRfxgjEAcuH6w/fW0wShISoPOIG/w9kY1MpxbKIuPkdRoxcROYZe7ATckbQ7+v
Zv6+RNtWKr1CCVNxdQT5+AVKlptKHErGUfaXjZlvAQZOwYFyMUuxfRtscrEjJpoFkh2kcRAwggOn
XKibuobELzmsp0mpe91aPD7LC6urLyOL4qOgYE1bp79Vlu5BsfnTSKMTH3V9jAN5RlndYdBD2Jex
EqewDj5MzGXnRYsQGpG94T3NHebxLEDPpEQONpyyn5jhMoEXJcl+8Va6ZZgdE0J+8T8p2U7ZYucZ
STEhzsqbUYo4GH/DtgYRM9VpmEdKvtZuVR8FY9NjC+8qNXTMV7GRMp77j7GHTFmtGcguqCrKkw0u
0CCKqmtnUGa8wdOuvZNqML9ItiHLJ28+wcGH0ROzU0Sq7hDiWOChUCRx96c0hkCEyTbALkZx9DXi
xk6Yo6CBsd1CRBk6h+BJ83UGCnHFqDMW5Umtcu0DVQB7mDt+8NhC7sJQtQ9kbS/BNJ8l3e4TWB5L
tMypVf0B+UIOZxURcMHJ/bLOHxoZiLTb2GPvz08cUfcYVqPq7auqoMNypGDSXrYfQYqf/dU9bkq9
aIwIQ4pQuKkrJUXifb3jaiwid5Jlv8Uq9ab1Wk30iQuYqashReQNZ2/GlLNNzYhHV5+bmjwAx79H
euBxbCNMIVnUl6oK1nTm9rVjmJ/hj3FcAJX8rPoICNWGeaLaw+hYhhSkM8hi6XDXIC6y8Y90boNj
44eCHjChwCuYBOgcNPL/y7zZnsCFVqq3X+YU/4+U1MuMKRW9+P7fv+53NQajrHdMCns1vJnfiKc/
LBv3b4CT0GtFno9Q7e6m/K7GxH/zIeXDRkHnj1/51bLBl87gf4BoSggSFdCQ/8ouHu7jmn+JkGBK
husj+AZXGyPPIPLsHd+vHRVZgql3ZN8/2IBh5UTgdkFaCp5NbkUrywWj19K26q4+QMkyoP7RRTKy
GfQDm50TBubmifEADTnZTMnZqOGdz/5bpVBfC8CXltzViX+0LIQ66sgtY1H9prbuCe4mL6D0vMOw
CjOfQaCounnILObJXPqt89IOlCUefg03mbLLPMv4DoDsY8wgSiYSkxpsBB854V8QjStpRR4Z3GyM
ompTMIyvhkDAlSJ8iIMRCbQZoA8npnkAsvMtlNhdAjAamWVRmAHBJifYxHdaRyda9S90W79vvr0q
P/nSVerFbIvM264+YBTxJQwsTeUSPgQyOndA0dOEBR+og7iH1J8NC0u1OxBQuDGeOYkf/WTCSA6J
oDO/b01bDg5BUiUwDWxdVA5kcj5hYiy2ZIu8UNDesQkqjx22C024PomgAzXBLSkZ9srSaZPPyDI8
Bst854OTuh/GJww/KnveFFtEHjDDqZzp+oyZbOm6h2HoRN4pgcjbOa+LX30CzlWGM1b4ZDHoJbv+
S7PNH9DVoAuzM4iftb3fFpy6kc9P7lphdBEP+4+jfwo3FWs4Emih6Bgt94CTy8ogitsDGM+2ebmx
rS3w700Js6PL9Sg+zjiMCh0pdkYHlYeRh6BxcW5ikknQDeOC64DkBwIgbtxhY4hhv2/0uYkBoZjq
G9JCbdqE4Ysvw2cH8/0yR4d3SY/JR3MQMZSLsKARu3t2guoEFdq/CyQkr3VsX+JKwJBoQOf2Tz3Q
m1ZMH+sE2RS4oxhhiw91RG7OZImDPCA6nzoD41ZSH1FfRASzTja8HJo5txhvjTL34PrLkXu0KxC7
A/4A2isOgiH3w3EBYj28StkXCQHIwDCoOdvFyAyQmEnFShS4PoxXc2BipXaF0ogg3HC12/RhtPy5
GuY4890WE6IbbGTNimBJP2M+dTfJiysRhwYDVs6xem3C6C7wg2exSEQumqTPHGLtAVUvEjfVBPwI
SSZERr3Pgxhv8YILH8AA3QJ7/3/YO7MduZEzC7/KvAANrkHyNknmWln7fkNUSSXu+86nny9Klltq
t9toYG4GaBi+sNtylTLJiH855zvqEH4NR4XF3mjdurVzi3lkPxlIFbQwPNiS/mTx0G8YKm/n1ck9
DFgm7XpGpcR2Q/KdRk9Zl7fIWDvP6lgz5XyiGyahx35UfDUTAcJ/bNl5kVy5guXDqhfBkt0qqHxi
rvMxWt9QRb/1o7jHNnWf5Zo/zM51puuZhzjG9CbdYMmbKI94tpnt5nYQr/02XkZxTBI07bVG1z1Y
yFNKBYxeWCxHNlpBVdPbYqEwfF0xP/S5O+eqcoZSXgaJQ1HMSOYNv/x+qXu4qjhX+LrQcSO/sDdL
y+gWlfxdYU+V13S9tguZUcjOmN9nhPYyDTyB/Pff9Hxm/gyVCkF1Ym+cXLltBvWjK3gkTFEkx8q2
H+q2uexyxrW6Zn7UNY2+Mm27dBYoE3NToqX0rdDAzqprexFqTBJAPPsFn/ipKflLsycfPTwyL2aR
V9sK8jo7codl4NialCLRPkRnB+JkeWtEUu1cjkYzQ7xnDIrHUObMvPeqQ+iI8Z4ZB5CFO6xy0yYy
q+umU3dMzu7rlbOywqofNbpXrU5LqWK/wZo/Mt49YhsCb52oApHO8KCIVfNCUNS0XoxzW4uHOuvC
l1GsL23f3MadGe2jXNmzPxuCggMO39ZwVzta4bcZ36+hVL4jCZKTHSI4LNp3yDYcFbVXxRjQ2nWH
rqbY6GZ3v4TTY6b3T20jO65seKLgV/eaPmm+qurxae3S0U8wS3gLIOBNFTXLJteMQ9uld6Uwdms9
VPQeLG8zZF5unuJVcVPPcTMdowb0oVZ/HMXN1LHXfp6SkxkbN2WKJ8ASj1TYD4lR8NWU/U6U1aVe
Mx6pc62DgSk+NA56hPXuNVYsXm1TCfd4sYEcYqcJcjthvG6afuVOF12d346uTleQc/yCQF8X7a60
4PtXLPiSaHiye+QM4LmPTX85CuSe1pBsIju6NtEU+nnlJjsdBrFntckTeKcdK7v0olQ4/lelPbuA
ibfjMmQ432a6X80wNl3t8G2FeAHq6MhKX/G6TwyZ9okkWwZD36PA/XAkr2wqe3YiESe2/ZRKmlnb
J6jr+2ZdLrVP2lnH92wvaGAjpw8SVJQ0it0xJAjgSjNaBJursu7DrjcPox1f5p9YNUSHy26dZ53z
GC4nl0e6dZtoW1jaWa+tA6fRUYQ8Okw5aMUVVMStaTwmds0JMULLNDtlHzfmpWl2sq1QP6DYf4QL
vfNCx7jE835RFb9wbF9n2seGmlfS0Co/m/Mvc5KVGyuKd7qa6lS9BsdDJJ7juRjZzPRpMDEqbLSO
4aO+bsWosECyxSniw67fUZpqZniLwmuvAOK/TFr7yqhR3CVDoWE7VR/4+LnFtfyjntMjnlB7Wzfz
DZStXYrfwrcMu9yWs5ox1lVrP8lZcWvN9Fz2M0q//M4yF1/k1kPhNtcLK62NWDNo9GLbJjmiNpil
XTVv6ejv7cr8wuF63TOB8/KYRyARza2mtFsOOA3hjFTwafjAY/IL7FXbl4LRr5sWV7YLVTYL4yFI
QFYH7cz0hHNf0rzWmF16h0QdMHUtTAxKlf62djp9zTTt7ARgtOaIS4rcZyQlF7Od215VKIEG992a
nBeulu046be0wife3L2ty/5mih9qJhNIVvMzcpl7J9MuECIwHKierFp7nkKcZVZpP3X6fK5mG3xr
4ir0sVpN6EL0yCKsBNSSH1bYTmZ7nqNoW0965g+Jwy6bdZVQxMNQj+d1jjdqmbznpnVsMi3na18u
0OYPe6bofVDO4lxokLBFwUGoxDvVSoTfWCbEI/1iUtfT0BoGUEdGnGIVT+lUFNcG0BM/6h1F+vp0
f4zNdTMOLoMjmJobqygXlus2+Py13XemXvmtmr7bgEA8Zx6u7bqjlQIXsIO+3V0UTbt4jTGd8tR2
OJRC5uKhsnOLKaXmDHteLit3VvNe9MpRJHaxg1d+QKxhMDKujVRs1tEF8/b3RPX7RJUW7T9PVHGP
9n/Qi6myr/ttu6WyxQb6oMpEwF88K4A+5BzT5V9AAH/2rJAuZ9HCAbD/nJpKiP6PiaqMKbLkOtvi
VWfv9Ze2W5/btZ96MdCoDFMBgLBEY7ZrmvL3+7kXw37RYeONjatuNlVmLeNhWszGRydj8CY3W4q7
gSN0ebKh1PldZH5pDdoWWn3fkk69dGb52rfxqZ+QSkMvBjGIy8XhdvTnbryEedT5NCTgbqrhfXHL
lziJAuyjt5mZ7sqlP+qGftvUFD1ps3Di1HpHJ6NflAVG2EixH7rMrbzcLXo8dOHDWqVPHL4246+V
CJK5uLIi40qbROBCq7bzhlCO1TisY4hGP9Mdb4znHTCRQHfqb2znqUMj61jy3tRL++4gR3K79XFm
nw+BqODmxoy7EWZR+kYdeuoM3NWu48dJG16zeTSJpIj3+lCxbOqAORexQUnK+MtLauMyK5pjnqE3
nGD2N2OMJF6p6Phy50qqeSg6m6vUGuvjzLpoOyQMYe2iQvYEs99z1Si87AQ7IyaAK92QuX5z2OFc
jiZi2oQPtw6L+EbHVreJu/YjZgN+ToH5W67CTEavl11cds5VR8ROYNsT39oQQ4IG3+Rl8NSw2kKI
Z0ImdskIhla0uBLN2Y5u1MjQqGZSJPboI5lpc6NhoofpVxioxJc83RvGnAdKksC3jiUeYwX2IGbM
mEyd8HQSAaTNC3RUs0u2JjzBrTlRpbZFr+/6yiiC0kgv2OKf1j69ykrt0C8RivPC+RaunEgpqrdA
6RLDX9BeBlpok90zoPJW09jhg9AWZAONu+tTvDHp3A47V8cSWUQt/Stm4lvKXGc31FJKj2J+r6ph
6I8jgubOMJSbXHNZgq38TZtZCLo7VWydSOmh+E3OZkGYHChYlJFSZcnRYoK5i/T4ftG762FQyyBW
nGVT9fV7lXfcZ7HAFt+4JisqJmMRQRPs/eRHlOjl69RZ6UOJH3vTxW65XwYYNjpisQ28RY2cHYb8
cb3CquRzp1FWhr0zcWLHk8lOwh6Sr1lBqa+mdhiMUaHs1T7dDhZy97Bk6Ikzc1O4NEE4+AupuB/I
nZgcv62L3BNjKpBKzzcYScg0KLIA+aiWeLmeX0J0QHyZYWoo1/ceYdu2rzX6PTdvzwkGTs+YhZ+3
jaDlnsALKva4o501b3VleITF3tNv9QPMv1ifGdckQ/1l4reyVwxoYUziUufEDfr55V5jRwoiMsKE
NLrHEgpnME2LRu8/IFbpFviI3GuMMIKkLJWjYsIGNYyHkWmrh0zmvgAsbqfl9WR3nqLY5856DcGP
D5UYn9lSfEyAyWdJKC8lq9yZoJYPuPf3riSZJ5JpHmXqhc5Pi+v4NI7mNzKKdE9b87M6qdpmdO3H
1aHTTFKia/qu+NrZAEzgGxwqcOrQnS7AmwLXkKT1UjLXs0QONsbY8mmk580o2ewt//NS0trtzrC2
iyS4a01xNSjRXQ7aXQXxDoyeUxBQnG+Df0/AwM+ZEOxxIMOPHYJ6jZmWhlGrkfT4MYUjT41VMPIe
zyj8ngYC231bMa/dWd7zkkFP+8//UnLpB0mor0HVD6m6xxeLLtUMt6kKzT5xsXSlknCvzK5PUfjR
Sfa9NSY+aArxgjqmoIUFkY8P4UsFMr8crGfssNYhKTSko+s7EA9QFdW85y+db2OdEUahrX4u7MsY
JH8s2fzo9HFPkRE0VtpeacR+mXAMSZ6/kkw3MoAr1zsWKyD/e8fFSmJcskzfKWazi0BU8J1SrGr8
Z+sthkTndcnwrUtswPJTH4zVcugly3SQnFozuwEroHAXDOzDl1Pc5zcFikwtie9zOEmxKPe25KQO
AFPzpPfwdJMOEHb2pgCqSlDKRZJ7jgqnrgO6ikrtg6COZcM9piy7ztE7hzVVhtFOlLcqstjg79ro
e230p6Nq+Ghv40f71v37rFry4f9VH7FwlhG6CP1+eAh+mlW7rsVOmakzu2VJbf9tVo0BmOpIMIw2
fkXH2/9wZCkDZhljr5QV/pVZNfPvX2bV1EcO/gXGRwKpou669u9m1WXkcJGMDn0oiS972Ma7OGJ2
1VKBD/a4IG/Tu4t50Kudoa4U6lTsZWpyRZbFeyuL+U7p9ux0rMA1qNyjSRib1Iwbj8t5pUOZdD+W
rYHdCLrUaS6um8h9imUDMcpWApX4CRDGBXkHe6fCqWnRdTRL/RQyFvUwApyxYyGrq7JxP+T9MSpo
HzO6l5X+mzmMfSaN5CGSPU5Ps+NOduaXbcKmu33TLayXDv3RiFVxM8GlgsRC85SN61nQTc2yraLj
f3bps8Q8nlz6rsnO7xWrOPdQkT3YDA9lG3LYaDB2wulkr+ZtSQ+nRcqLTk9HNAXuSlagHd1ebVfP
6GoujbjAKWXNu3Fm4cWT8dbnrKpK2TQqNlMA2Uaiucx9o2WStYTNEjhOOdDoY7YK6UBbcM103ca+
ks0pW9LLKWetFq2TtrOyfpvSyc7ZyFQj00pP0VeaMPFFp+vNhmULYACPX1Rez/TFS1wcEngdG8id
12KwH+ImjILaXJ6FNNQmEzNXqvjMy8uk2hrJ0gHLtil515t2Lu2tFufHmXY9XgtmO73+IOJWg0+h
4wet3Kt0tPXLnHZ/dqK75tKMD4KNuzo5J7GkhBmxkk3sEQV7A4uhX9OgZ9qwawfnORZUO2jaWUtU
yY6cAqZ1RfUlswWbATnU0RttmzOiWFQK6n7ZJwtjiqJI39vW+LAt/YOKnGkZYw5JqZjl3GNRxyLA
Vmk+oolSEY85XDsMSioGJgzVDzkDFGuIt60Tsa6FChQscsqiR2LZOZ9c+9Ia+mAalZuknr66azZJ
GxwCVpXd99rQ8Ntsw02FUV/DftwVcueqh+gpHCLnTNPZ63KlXrXzG7ya+0St/LErAlWKZXl0eY5c
di+4UWO5nKf0a5gxRLjj7IFhKEwGrnLW+WC0mdxa+a07wt3TQ+T67P4xuV2EY6exvUAWkEcp74Wd
DwFmRvbOUj4geNO3ipQUqIAvTgsqgxC1gSFlBz36A3L68FJCITrUIMY3cT8B9ljZIpOahXBhxRTN
m5JKUQMK2+sQlUNcqKpfS+GDQAGRl+K1RxHRVTeM6HC9IpZwnCI8zKK6nMMcljmCClevvhIdyUYf
qUVhFnVgExDjK7OS+bVUZEyW1KE0VuTHq7JjYZ6ur1gVv47tRZoeOmQdSdUwBwh5DMYifFuk9kNf
mnMo1SAlspAZr3ipxUjUEIwoUfaRDbwyOg69ABQWmNPmUEiVCf4pA3pHfg/N7JsrpSjRzHNnSHVK
hUHHBOK2UWpW32PUlBeKPltnDV0LzABCXUboQPC70sB219CfpRBmCMPKi1rEMfE0nsc2I7NRCmdy
N7mLW55my4y0Q5uDJTBDvnGYQZD3lvWG9E3CYlZMSPh3CGNDoWM0LVYoftImXvElKVLIg6Y3ZCKJ
wrFqenMvva9S9pOB2CL5obkpTOOUowxSQ/UeY0sFP3Y8hnIVbazrjKm0atv0qp619jlzrW4KRFeK
1OuGlIXfmFKcjkaho6kISyThSffiuFFsXvxdE3zWBPqf1gTn6mv15d/rAfmHftQD7K5dGYNFEqBF
YWDxj/5VD2AysGwd9INpCLJlwXH+sx4wNf4QKEL7E7L6aT/457iEf6I5BjMWA4WaXIX/JWKqKW/7
X/RnOBUY1roa0GEmJg4lyc/TkqZqzN6J4XI2yBzAd2QTNFLLvtKQHrFQjZRQWYOsriYq0KFeVden
qDVDfwEX1W4d9dP2LrTI/QaIed8qpRG+kTuaqnRJZa6c+Et34VGjzNaCiGAqpvRZyRydJjiuRw/B
5jywqrVWEGg5ZCosenZpy5ZiEYLKt8e3Q2W7DDa1RYvIeM8gAA5RDvoIMghg0X0TtWwpygIeg2im
vL2KTOluGwz2U0HkqBVKHkf46toPyodFO/GdL/p/TcH5/2e0VZE5/OdRIVdo/5lr3vVv//4GyD/7
4w2AcoOmgbKKp4yMTYdn8F9vgP4PHkDrh5hSjgV/q4g1OWB0LZKOVNy1P2kw7X8w4kM+rovv+sy/
pN6AVfr7d4BxJSpMOTZkQvnp+v35HXALe3VLJF5X+ZiAd/TaplKP+ayZx5LhXOqlonhY0ojCYlYu
nJLrJbUKMj8AXcQEqG1YkdzPUX/KnPluVOeLJUSuWKM12EB+AuGVrJAR+8epWC7twjgwYOc2CqtN
I/N/5pkIhUF4M6FMycp1WjCTIfbEpXyDjkHF/M1wot6bPi0dScZoPTH0oM2QRqwOTIw0Zfed09IS
X/GyCJRMXW4uAV1z4attfW8iVdiYg6JTOkaewTuMb54dVsSetC3Dpxx0ea8T/onUzcfa/y6QMKRh
U/iWZn9BP5V4o0ieBRS2DY6HgzE73tAw1IE1+Cwic+fY9eqFk7GNyYVgT1/sdTFaPiHU+27GhrSY
dN9M6N6XKnwv+vlKreJmQ1H7kqhu4hVmtsuy+cAoqdxq89RCEqYNd6L6a6SaDCm08rkm6pr6hAlG
OPQfItTXy45FeFJb4YnpBrBTS8eWF4kAV792qzPJ9EHJI9mw0JlVGE5305SdNKsZuf1oQ5gGtP0W
ZKu3mnbCvW1X23wxVC+HnBk4KPY3kQtnYdDL7ryozuxnWHC3DnJKP8yVxeuRBm/aLkNDn4DzXNQk
DEq1S04UgPnOkTYJXRomkNLGfqXKnXeXq2eEhqRxSYtF1SJ6Y/QinikXi9uu1ZrrWCrDHQ2NeCPV
4qPUjYOoY22lmGZ6EX4KyxUk5kO7Iu5ZCzV8n51EQYtvKc2h1NUb7A9aEBOC/KAufPC70NHFK4qX
6JsJbSkopG1p6gmVhnfiLQXa3U6am0Zpc+pa2If4nvCP8qlPJHNHFx2+KFUapJRmuGylZSqU5ilb
HVHTSUOVLa1VJh4rU5qtmkJFkiPtV/iwQHtGm0xas0pp0hLSrrWaLLUraeGypZmr+vR16cmd/d3o
heWrkuYvhqXjowsg9CDQj21iaRJTHOxiHb6xWRrI4Ef6s7SU/V3HfK9jKC7+82F+rv7I1CRR2T8O
cQKS5RiCJY1u4rGWtcqPQ5wKh4MY55Slic+5xs+HuM2JDzWBRsj+HsPxY+0jszZQ5XOIfx+H/LWx
hksZ9Wsh46DwhxgMwlmQrGnLf/4TNaFbMW8P1iAuI6NceX8EOBEM9uzE6UJICeAcDgd9REVCCrLv
9LzxvNggpwLyiwkZ7i01PztDotI4s6MWdiTzcxUzCJXBTN0AQh87X2NlTDzzBqUDDOWhUGp/VSNT
KTYZecc1MU6t3NAi+JtvhhRpqR0rjEZtmQQ3zOUTo8fEY9i970uGoJ3MjWtGqeZKsBUTx9dtw0G9
T0sdN6eAFVQgBl/U23IB1wCMGAcK3LG6Kk5lE15ohNZB52JcIHPs6rpgY3AguQrfToRTO5GZd5lN
2EVORjqcLmbJg8zGG2cCPwnL01QmDDnGHWUgR6/GJL4BR1H7U+EcIat+1WXqXjKMz/1sGRts3qci
US2/IKKvk1l9kxiFJ2R+H2ai3jPslWOyFzldODl/i9USSaLqgYpw308H0gAnYgGhKJ1yBXDOAHXZ
K0Lt6zzXFWK+jnFvs09kumBBzGDqMI2WSIPBWgovbVCGDBm5hDKhcCWqkEH7trHJLiROE0QXwOKQ
PJCDGQMxnc3qMtWr26aZvNCuT4xfvBjn1gbW5Ab2SrAQlgjmCcl4PIJwUTcjvtQ8JspzRAFCFxe0
UhJSohnfwEpDt5NX2daR0hFgYJBKEZNkUlaCMmqnRdETyBpE8lJ6YkgRiiKia2pToItu72lIVUYa
sU2jtk+RVLFg+TgtyFp65gCEdYysgLR9Vqa3UTleJJbhw1llgy+1MaFUydRSL9OiT2B9516rUkvj
NMZHJdU1mtTZWAhuLKm8iZHglEb2YCPJkXMz4hCuwKoy15ciHvNTzoOuJ82LRzZMvkzbHlTjRZXK
Hzu1duOU382ZdSilNohagkv1Uy8klUOr1BDVdYsCTuqK4ml6KmluGJL3DNamRw0JktnBQIsQJcFJ
u0o7C16ZAymgf5+leqkrmT4MNkgjlAh+JTVOBmKnMAWTVkn9U7VEh0gqohqkUQMSKfjYr2STJB5K
oBSpBjqqdDQ1xH7Dwyg1VppUWxGpcFSU6kgIwFv5qceSyiwdiZZriW0iJVtItxSjup7UBCgnoi5T
qrucWGVsNiuX9MNntDRge5CCzUn+BCak3MHaeCuidYZCHe0HqR8jUMr1SqkpM6S6jNyyFzhsQMeQ
4vOWoUFzmUD5RCLvmK20MtQG8iuKtVBq1xzGv+gypm3eLVca8rZW6twqBG81wrcKLsWxlVo4oc0f
WeLeplIlJ9jaIglEOdety7dpZCjA/Lb0w0g3GbbZDlILNHe5VN8h/r0TYcajoxpSqksZVdUJUxWy
GwDUx/ssmt9EjKyvF2UZzMI9D1Zz1hD9ZYDkfZSS7FezhQcK/+eqqN/ayTxFFcq/tXoBQqwHAtCz
bWSTx7zhxIgMEuKsjGiDxa056+Yh6qXHLpVpYXp61rLiSJLLjuHGiYCGm7QNT0WeHuK+uQtjtnez
y/Bxai8oDa+EUt/X9KIbqPsNDLBInFzORc5GltPsPhkJD9MuzaqnsuoXz55c3lli8qwQHAPc2h4R
8vTodj2Ou4qyfCxr/s+T7GU2eoPXcSbGZ1A3hWNUngvQeJst8ZM+fUwtwHnoOElQLuYpFsXLvPCJ
au5wl0+9HoRjBZIXMoTRKY+6aX3EESrKJbNRTxsycqz6QrAAgUrqt1HjYahLcV+3fGETPZFv5X3H
EVE21Eb29ZgCYkdnvZGZFMAkRrjh2S1/VVSS8dUKiWNr4U3wopEV+JrbF7iCZRiCeiBXKWEU5cwH
c7Lu9Dp8jhlR7do8+SgmotVCcyJdeVrLPcHMD0Yp6Yo2FHjiLWRy099V0meVxHLlT6ok/yP/n0sa
gz9SyPAHf5RKuvEPWiNeZu2f+IjfSiVCcnRKbIzcP2KAf/S7MiRHBR6l4mT4UWD9NvLBxWDzgghh
0CsTxfkXPIc04r8USsAJWUG51Eq4JaAB/m7/04dkWeVrSQIVC1E1Sy7sKPOMcQl++mSuv4+Qfk6/
+T46+m20xN8EW4Vs7Fl3kX9CRsKvFRnJCBn6gGy6tiw4zT1adzOw1oGsKEjFFcJo1GM2W8++unKX
4aLJ6gdbb8HyYQ3zJvIFgqzVstPYWq5Pp0FIyIKjWLEQX/LGP2OTqL3CiYEmSGFL3OV3NT/Q0+v8
ulITkvhsiHtOoze+o4x0vmgyEE0gEy5mz0XSA5C2W31uCMQgWYkDetzydvf41OmIuwwyk20+oTg/
u+bgIhw0nmOTkCtWPHeMmG+VYr5UFOuyT6jf1IlFMbk6h9aFKRsWEZ2W9kC6YL5Ro5HzUbKnhrG/
AdgN42V4cp32gzLzNSqWl1YuWrLBJhhzSa4tzkiBe3hr29ZeuGELuKrlG2rbh0pE+8SB/JXH8Qkh
1Xs5xdl2LJBNipHQ4byaa18ZpDqDUTeayPVVKwrZ46ZXpkP7uuSg+DGLNyJ7HWztoe0i1IXFsEEP
fWs3w46Zy57dioIEiBSFCXIRPjQCE2LdulMW2K1Fz+lku69uz47DmP2hoZfvBhPyJOt9By8431+6
Y7vxzeFW3KjCOivjwDFZokBqKuFp9nKpT6DcFwJVp1hLtqgSryGnp1vwuTvOwHMUhdGm18ydK2vj
eMJ+rQhr9OvGfWVQs0erdVuV6+KjpH9MBLbACIr2xujzu24aDppFNH1rqF9U9N6baFoec3ibZFys
V/qMr6+LUyrutf2q5fpXfcpJR6H+qnL3gPEXzSq6TqRaNwWRKFTW4sI2VvSRefllTWtO3S72ClHd
ixE0pNnY2X4ajB36JCTv4RYlBjxvHjEsFOYUo3mOmzc8QFG7XR2Fa4vOgFJenbNk3Cx6C2zLhDXq
q/a01ZxJyi5ags9yC6PbonlqyGbBNL4CczsklrYdVxZN3D31+JhZhhSHTABAN1YiU0FnLfGzVD8Y
bEo0dFa9XKM5zRshuLdapnw4Ll9TQ7BlxdOIHGhkatX1GBsnH0CXdlAKC2HTNF44lLu+whzKQhmM
uGNMkLpE04tI7Q5SVH2OEjX0OkgOmEE3sdld1CkJ2X0Hxbl/Jh+GJQgj2TFVyRmozpnglTXK7BqH
L7W/clgptZnWxHGAlwPF3Zh8FROXMNYeYzMP2i2JFrsZumVGPK43D4hjRP3MLY/7+BCbLdEGyn4R
9tucqq8Y+jPPzhfgwPlrbt6NU4dMaTjWFY0P5C88Fp6+ZaUVu2bP2sUIJgxYcFy3rRYjCVvrcWfY
ab9VNYRy0Wi+lqa26edq8kOlhUI81btBK6+WanppqxTB1GI+9r3qnGuFBJV7OUSKHLMN95VO4/Lf
jtFfEdzyFOW6kM425ALsD2Tc/C99bdcZZriI5Xqi5NmYu/A431XnQ9pvlLfyqQ6yA6KUTXhCSzz4
6c74ThaAvB59VH9wjEu15K+HOD8eMrnBegJaiPW7RLA2xC2iiGG9Hu23Ojy4ar9x51e8bt8rir/0
c3RVQz4KpQ8znQzx+ql9d3vurIQgg2stuSBEjNLow40OjPr/y8/59fb7/nHyeXIHamTS4Uj+9ec0
7HCtAZ3+tbBOrbiqDbZ65tOfX33mH31nP/9lfvdDhlhVO51g9utx2z1iaQ7GvfqVdgOD2plAy2hz
2wZILbf6/uHS8fPN5XhOto9dEAY36XHa7BmBXgCl20R+teXfweOf/376r4lo3z8ESY2yDWyRCFJ+
9/vlhDGRhaxq1+hRL8MbNVDP2lN0JL+IKYW/bI4v2m72LpvttLcsrzgBdr5BqLedNrn3+av8vTuR
D/B/HrcF+f/4VQu84g8WJ/zBH4UkgzW5m1Ntw+Tm/HVxwhqQrxDOkI4vlkLzt5mbS3AAUXAuMhg5
p5MCoB8zNxhDqs7CzwJHgArlr0mJYGj8cjhIKRH/P5xMqgkNQC4Sf/cyReFsKdoIvMKsHifpXh+x
sSuUvjA0u/aaqDDMKFyWz5ZZ9xD08WH2NlZFp0Dq3CljCSAHiTTJiC1XnfmEZsCGwuew5NB0/Dom
quJChvpQFLUQd4YKeqM7eg2aVnQD6x1GL5YpsxOzRLEfXCz83CrlVkiMuY29n3ch2rcY/vtkfgon
MqHHtL5rq5jphpK4e02NvpTgAmZDPSGZvSSUlLm2JAoQ+6ptF4tpXg1uIJ+S3SL5AzCATshNXsJe
P/ai7ghbGu7UMcq3UYOzaZhwd6AjfhcsaPa9ZBy0BDtt3Wr+EJX4wJGc+ihpB78DjeDOxnOpV+Wx
HnIcoeAT9DG+iSVPgV/zi1sWVxA5N44x2p4S47h9nMnpDjh6dkDkMYLW4g1h5DaqEBCGSCNWq/gQ
uRbMbHq0Kq93ODq+2u10O4ks2rNtcTbFaAEpxYvhp4kigkGZr8Cug9eP9MckdEA3hQyKdK1CCQxu
qKwn5MxltsvHiUDc/pUoIbJUDJpa/JRX62pOJ0ddHp08nZzruWNlUPfziuyTK9G9iJX62zrEFhb7
MQ26dCB7a0Zcaq75vCsSBF1NkrqHulniGyPTH5BAwjogIGyvk7awEonwsqr2pgYy7g73g8ijS4Yu
9XFVi5ZgGCXb11YVTKl6qyFkochwEOagaNpkavIolU6oeQdnY0h+lBGRH1eLevZxuHJ9KtV1lIJ/
Fh3R50K9txXWdlMKIWSgMcrF0RxKPmLWaGE6P9VW8tU2iotQSYEcaA2WprZnbqAMb2bRoWcxjRcc
iq+U10QwR/Zucc2KLWC611V0UnYFX31Yt4pulDBKnO1SAs5PbSgl2QUZy4QPsngn9PCugDir5pUT
jAMjSGEtTBSyiOxNJf2iCeXZIsoCP9dtHvcXy6jcI5977bkuaRJcwAnKqZnbS9UIH+YyPS1TwbcV
6o9RQdh83Ib34Wyf+pRPqNYjc2vU1K2Z416WOoZze3pgvr8yE85ToBWU1IScvePgvp3a9DKSDNZQ
8l3s8WrSzFtGnRC0wwQvl3YApuiRY3KMmKoOYjrVivUeLf2jbFei0kL0b13Fybo3GHTXKiiMrFue
rQHqfhrJ8XmCkpVjDslBo7DLlMrkkOA2Br7tc9sVR8Mdz5lBqrO6Pg4lKvqRZCTpGzpgV5dxjNJP
oOS3iO7fyfdDocuAdrMKh7CL1AiQ0TpB2FddwIa32BKls4fNn2zSukiJ1yK7o4O9oeMqkCcup5RW
BZk5XlcDHYje9Op2GJebSIU6ojGmVvkIOJNujEWc08H9YgmNZ8sWD7owz4ZJ6IExIBIfl5rtnzzi
WsIVILHf6W65zW2GXLpESXU4PGDC5fsCgZiWM7mKip6ZOs/bsEZ3mmq+2wXDvkh3zjAYQ0IuFGVL
/36r2fg0mijTCMay33VS1wKtzJm1ijpYDPLRikSHOeAsWyjt39p+De/SZsUR12r3ZTKWm0Gzky91
rFwKEp4IUuCMSJKnKR6vWjfeF5bzbaUEDno0kCj8VRwXTU2ya2cp7oa+uXgqsLJE51WPcGCKsQpY
858sp713JUyjlVgNsjFfsQ1D/jVHA9Lk+hyOYDXssXvHy9V469Bem0l+GcPrMOB2zPA7NAnywFR9
zFc9yFByBENv3cDtOJMZzQJaYkBSeCAOXBBVYZHbSlQIadcqlfxwb0ARASV3JGPtMZV4kYx4G36b
9dmV5JFmeSwsML5Tes3zwIcAo6SAVQK2QQXcg1dkBEOHDHaggenvSggnGokvZDWeTHV+KHW28qZ1
LSCi1K5ZsqTmrZawFDsXtGUSoIIVjdWLhKqUKuAVzljMwPWe5IF9KwEsdtFx7AhyNyWchTgSZHaf
wJY6PawS4aJk5Kp9Ql0k3gU/kX7ABZD4+HEZkEsMTPa/7J3JctxItkS/CDIEhgCwTSBHJpPJmdQG
xhHzPOPr34HUqpZUXd1W9ra1LCtRSZGZiLjX3Y+rKAvAIQUdGawJFljMP7ey7+s9bih/fSvbEB34
TzKoylf9cSWzv+iSiw/7OCCwqsFt7YcMqqlfHLxU3Lqkyp9YurF/eFks4PEmVcBA4Fjffbut/biS
mV9YFDogxSyMKQwmfyv9Zlna71cyB1OMA9LMEiY3e/23cTHJyAaBXLRO/tgcgrbq88t20CYI41lf
lnQhRt28tYemodkyC8aHwllop4UD8ZpjIWRX3txS5jh5YZMDFWi7LS4AjzmczYSaa0j3KUgQJ37V
McnyQTVhZigNDW70rJH/o7IpVZ5pDrwh7YZAWojkuiVudksSaeewoc4hvrt05+A9jZRT4sOJRgGt
SFYpwTN8gfDs+2Ekz2FKpY2Z2yxbjGGR4SRe8MIjpK3md9JSaG/kOTWsm1H4LfW0wN0fOg5i2lqT
4THRnJBsX1LsojCOJ47g+pLqycPQmTeQyifiGvmDOqd3nUFgpQjLN20xl8uww6ACH7cm9Mzy/jVc
KvhqxTjJTsMvPj500CNdnQuhArFByXgEBIun2ihL4dkT1C6KIoy1MBAWfN1mT5TgcjVvE3u4imNK
sScletcc6y7rjA/VQHJoMn4opt1eI6pw9uFphimBNKAFZfJ10ukMTIZopwKc9Kpl1Zal9l2VCm1D
I0+Or6JVYJRouxCVNwdx4GVDtNdDKBBmRqSQ8sUZSlaSr7W4oilUnQ56qV37WgeEWw8xZhjarkhY
NGk2mo4zjdp+6gVLwk59VwvHs7sGRIZv+viVGzAZzksQFhfSseAzOkuZNcEl+jtuLZ/8jkPj4egr
76Yzb1J13Jd+eQpqIl5EF72yJhGf5YvNxC8/YXVSbhRBO+iU7G0InRG3S/7EWxr13emtnVyu/ry9
rjFML8SU4tSascK90T/TBXttIkqtglCA/lCYWTlRV+pYmy5hxGaJN3qhWTx1sQYRJGgPLb/Btuk2
kHmj7WgSU5BqVazn3Nhn/XQ1VuajaNqT00Z3cUt9WKQ2D1kQ3oRUQ+KE7tBvpLLnoU2hSFjfTJZ/
R/bqeq46PiICSxDkUBA2UTR5ovbPiOy7iQwzVinlra6U0FONMtlOJofULJzUxTiQeYHZYJ2Ciyqo
7z4UpXUVU2a6KWzYKmWX627Wp7gDjOGI5f8dwjGQUQAvdRNdSqrN6MOyLmACi63qUNc0BRVmSiPz
DBG/kKMfNpPTXjm18dQroeryUUdlnjLphp3+SWPRTDd4cdPNpdt21m5emMXWIhfRNIlhGAVJW6Qk
ZRGV/OVK16AzpZM2czhaT+aiQLHD3PeLKJXW2p4xUfd02z6Gi3AlFwlLXcSsoYqvItQticqVoXYF
Ie/tIYTiMqCERZlz1hZpTC4i2VAObKYX4axCQQPCCRUGTc1HW1P19E1Fa6sGtPpokd98RfuAefDQ
LMJclmUP2SLVaWh20yLeRah4BWqeCS7J7LlXh41xsIxRXutLCxQNyOoEBaN61QcQ0ppZ8SkHvbKo
oVIZ2/WcMF3182uta8+V7eg7R12qGhzrPHd9jn0kxPtfk72UBndg2NdvMMSavWpBx81bwlmlmkJc
oKINuTvmWat/BR5w22Y0tQ70M27oGh+8umOFHJdlDlJOPfXEEdZsdT/6eXI8kBeXcaz1Xk/12i5J
chAmigG1qaucVaYysRGxfGO1nrmiwVCi+oN5ikYzoqy4GpE8tNDTtepmyLnATDYhFEFLaBLlI7+n
CGqePnmRGU/eFIflJfCW/ZTBP83pXcoUI1trFoHOkRoNt6zjN4kpl7huPK/N3N8Ehj7tZF5X+6I0
NgmJFS+0ZLqxbQY/nofI/3H1tbZNam4V4nH+tuDKfh0q9DCbReRAahsAjLSZsxmVHJgPBMxrmWvl
xqrEnpLfI65DYjZZbG+ZkyE7EvfGZDLRdNd17wlAw01YtvpBI//vmgQM1skY5Lswz+f7GfuKZwyT
sjEXzpLC5X4V0KW7Mtt+TznsYqSxZ4x+9JOmzsF35gtahTLPFsw3fjJfU+rpkce+tRVLHueGSS/s
iO9w/z+XXXiXawgPwKTSTalzD+tCpXZjvX2TFZ5Qqv7s7WgjYE0C0yYgP0TZNDy3EXqbP6teUkT9
tiznC731j6AgvaRiTYiRcK3HlQrvgHGbMoGTY8ZvNokrBG4WEpazMHIVE46mCXfPntZY61g7z7Cb
VBXrRZe8FIlyTuvoNoH76KpsWddxLSRFG+VHOlufQaYamxY3tldHFJl1hHvp71OfS0qtV30XnXyn
Iw2EJ8gbqhpoiZ9c5DbthfEYBw8VnikCBM9wkxld+OjSmf1JGvrZ1JWVGban8psaQoOFb2rOmrrm
hJLl9AHgGFpfhNah0c01q6XqKWl0KTBukndPLlJMp67BmWoqPQ8wIegDaQg/+kebhr8tnq4DQWMH
vwjwCzN/zKb6NC5GLDnh+Klpk+YXeqgacWGm2btS2p/DyPgo2aBQAQ9lJf5A/Ns0XdFuG+qlqcrq
VkOhPKixSvf8RRYzq3QW4ZjkxeniVzpp3bLHPBDX1p48+/KusXGCyfowNxg3KLcmRM6kHrP6GWfe
z5GvMRZrxocOQ2yFDHobxQF/mAc4nVjHqE6hwdE3RezMjrbc3L5yA9tHI7R9bjpoVvIwm0XmdmV0
JSs4Ws7wKHT+8nIs8AHHFwlbq62etW/UjTwG2GjckqCKCsBsucQInQPPyYOtGeKmmWz9hLJ0Xw+U
8eF5iVylrM5l5ByB7qOiEiLrFFhUWH3oMDMwjBUjcynFmFJQ5MZ0gSkty4INSX52PzMCHxm/26yv
+KfZeb8OFwCXnUb4bPXl9lBjBgkPwxR/hsKMNsFgX020/xTztsGdodnbeso9MR5tJbkLUwrnMLJm
LjL4No57CFJYYwD4v+r2sJFD8GrL6GholBEqvkrpZ1m9wARd2qcHepJLta8v+PjcBRNrNea3B6Dl
ZJvwCjf1mvqtIN1p4AN6Wtx8Wy+vc1kvqKo8kqSLMC8qj2FfFKoLirWpD2h+w1JfOfR2vynSXpmu
J347OQAUxTN81KNgtobIA390KAa2AGNCEzwz53Z2Agb6Ai8YjHAvT3D0REbhGVnSeZhFngjozuvc
7ivm/0BQ5Bzf63V+OwCe2qDmfFZx/Yi1xyTNK/iXRu2GjtR9aBkvNCWcaeEzV6FVJm4YtRkGPj4h
SWLgmB56fCMsRjhOMMgkKgdbw5HG72/53XE375wJ23J4rGoB66o0vLG1Tn0LTayzjov7fWkTfRHO
5DWOcRTzxO2mKF85W4BGpAtt0L5vosg4tGC5wJ7n2znGsjT1VB723ZlAJ7UP4bwdGSVW3GsGT/r5
e02npU6vgQs7Yd5UjTzSanajJf06b8lemlkx7HjuwsVGJp1MDjuQBPip+ETHGi8I29ZNDHpaGoFs
S3ko5L54W2rcdh2RfE0qKovCq6TElW5iqhlx0NeAChy7P9HBScMpHMXMjN/BXyCZCBKsU3QqAvVk
OtMmzfuToV1JVnXKXHl1rQSHXi0ekyHYt2H03FrtfekUyISzuqbweZTWLaqoy733NFXa16ikwqFR
eDJmwX6erHkfd+lXvsH7cBntLe6C67At8X1nylcjK/rHbO6DVVHFFyNl6B4wqAKf9Xw59FSJVlI8
lb2Kbplck495SUqbVGzT8k5wnlOzoPY5fMwGdqD/DPTfBnqB9PbXA/2uy2BYvLd/VlmWr/sx0mPX
WUZ2gDVoLQhijNR/jPTGF9ZWwmSYJcBCTOSPkZ4Y1gIOh3OvI1ZiO0Yb+WHXIQCuLj7kfy8C/l92
HU0HU2oL+mk0JKDfBvq2g0NgFeZw7tRDQBZluima7U8/lP+g8X73/Pyq8qrg7AxHEqLFQ71k1H5W
X0Fk6XGcNOVZH3DGNDg2G7TwUNdy/RyquPwW58aYXM9FJO1TGIbWUx1YWnJtqyY4UjUbNYIKpduM
xb4KaS/3cTHq0XqOBDfgWXenKT37pgKdTdlPjQNgobhtVWwBUyjWc2XdjFGzo2AFv2k2bvKoFZ5p
VAdazq8UO3lNp+RFAYHSleUeFMQTYgLnVxReBW2ztrV0b4VkwsRYf3KY00YfDV5aGdY2qozOVVDl
Vy0dj1XPQ7Wz4nuw0JXeuPzzngKp7mmlx3QoykM15h+E0EI2zwYqRPbhl6Q+7awEc66OgFuaekPf
zREo1eDRdcX2EeYWe1/1dWzyg44PnGkuv+tFcPA17b4eaRrTovYxyfBUhtPw1kjjMBl1vqni8jIP
x8FzKguTYOSbrl/Ut3UEDMUyAIEHk36ZBehibaNfp4MTuHPfPSmxTnzEGtemZgFM0dpP+MaMG5FW
ELgv8HQZF9ZQG6xcqwj6axXvpAobh8sytQ5xB9Cx1Fhh91TFGuX8KKgL1Pl1ropOuTEH+ImZlt4N
mYOJ3U6elaoGYUmdhEPG6ZS2g3DRXA6NAv1RFfR8CTs4Bu0bhaMbhxBTlA2aa4wVV5I0f/Rn8EJ+
ZTNhBeJQ213ttb21nS3zrYzYtA9TDXLAeLObLPTsOPq0M86LgDoFr2qdOwS1T4OqUZXq44iOTuac
eBdqkNAFEaQiyM691ryKOFbd2mAPgolrn0YJI3DfbiJ7UeN0vBlG0w5rQ1EdXNLdmS3yfR90sFjS
dh/qYb0sa26Dsa28wgo6N/fRCgyQGX1AL2zB78+x41uNwkD279wBnP4xoXEXE4j8jAHJmiJZcsG4
SfSRIgvFD5PLPEtrN4ij0uW5ch9M1W1umPRuJPpVkFqWFxbhwJt1/NrHKe+eoSLQPfDzsCwMz9LH
WQQRpY/zDwMK1Kav1fskSDmYiRqPylJ+FGBBt5TPVrGfQfmwQE5oVtUFa7jRR9kAYyMLbd3qU7Iv
v3lSQN9VPohJdjSY26o7MxjmFRQV3uVOmtwnqu7szXmMz1If7qpK2ylz+UGgck/vSUpav3wXbcUe
hqmMfTzjYzK0gOGi+NEwWjgqPoXA8oFuvXE7QbA9ZgUXNEW5qbvYyRj10wpYS1YTjQcToFi0mdcO
pv8mNc0VM4wb0BQ5Fvql0ZiZazEzKtBySj6bSyj91BTWU2ibHzSAVyseaxVrILHJ0hIUFohf23hR
xu5iaCMS/91zQFxjeebc1LlYk5O/KYS+H4RyA9XGk0rwoCXyubFNVpnqhTMQSLXs8wTZcW7aDfhe
F+r3O7eTlEtY7CVNm6yBtbgJ+XWrqQGmM9bWZX+yrGJdV3CUSWF7rAUH1qLcS2NbYTmhXE1t/ZBB
E1z7WvNBz81Gq8ZHpfkwO96JvbQ2ugElyvVzStRXjj9QxRh3k6Ks1X6yHqygH7dVVWtuHIArMO2y
LU+Jrj9lhUEUfgaI3ucBcbWY59YqKYxygkg569t2KmrXhqiJapw9JFWzqdvhaRjSBwrAnlFN9Wu1
M+czB161qdPqpdLEPqz199G3rxaGpZM6wcIJQnNnyPWiqrcx8afRJpsz587I7OkyyMLbKAheWa8p
7pB06UXNzWhdZi1WJEp6XKMNn3ON3+IQ3kVRAd5aVw5d3zx11EUyVxNS8Bd7GYXBNIxGnD2uQ3mx
1ymp9BpixlcKBJE7GbOjmCZnWAc1IHk+5c2j7zSdZ7RWtuPTbHtV2nqG7PtdL9oB8CxUNp18ynbI
1dDt09LBvsiKipnT3A0kHRdz9Jno4U1jgCGVYkuaAAu+4tNiwNJ0luIOQfmpFuNtYNZyj/XzCSop
NItg9k///djl8vCbtUrFcUdOX9r49MG//HroSkjdmGqr7lzQfyjFVWzfSb5rqLGr+H9Zkn51aiyO
H0QHKUCPL9FxzBq/vlYDIrPVhmY42/7aTx6qaRMq/8NV9L9eYvn/Pzm4hrRK06FLh3PJB5M6jVXY
fzXK2//+M/uPL+I4+MS4sRFZ/+1FmpCkKC1Rw1mv76riSHRD6ff//SX+/GvhR/XTSyyOuJ/+HS0r
i0AY43A27Nus2sxZu+YWklsv8fQ/Xmmxx/x66/r1lZbv5KdXIvxhZhIgx7kiEyRydrPaoaO5t1/3
2WHO5u9DwN+w2AkSJiBwADfqDhLWry/XBvE4160YQFI9CRjdlrwLwospe/r28/vH0oXt/r/MGpcf
9dvH+58njeWr/pg0mAxMTFvMEzYfR+vnSUN80TB5GUz6lpA/Txr6n7sKfkwauvzCkKHDgtBpvcQj
+rfEQ9idv7whFz8X4cnFH2YBrFhwFb++Q3RFGzjnk+QK40FbH9BDEP6jPjOUR7tIrGGdfduodFVc
XQuwS51GzXqd7cb9XvVhX7LK5Sq0ilnNhMuOpmRZwwOpvlDHtAiffN6BFHFRJoxSrrlZ419NCRtw
MwaFWWomtTgIh8hRV6NCKM6xtBewauwG6+SiVOdzLnFVW379wNJ4y2N63nT2+DCrwzvmrxusnPwF
+lzugtHcYJ4pdrQRXfO2/+yLWoOtneHrEOxFy6FN8OZnZ8XQETvUqV0M4Fd24V8TO1h2i/iPAgnV
cKztXS9LDf4OwWepPRvk9dkfkp8GrJJCAK36tWMa8a4kELZ2auJYZuHLdVaFTx0lM6zxUX6ChGKU
uVRh9oT5UuimKziNZBvuwsYPwAGX2DlWGvW7tHAr6Y74OcZegzxeI0R6oVZ5cGO11vgo+5rdgsWj
oRkj8yqyNc0NRCROZL2ZXgztHOYFIm/DHUlWVrvlitZswiLDndJnvLQW2xyhVbuDYjB7NC1jQu8F
VSdcXptDLGrwQV2rX9hljUqWORPeqAbOZXQwLEVSHZU0SrLR0O24pSTiVVQ6xX4YtK0qji9DfBNE
lGKvJQUYUk28HJsb1cyuSdDC1/vGG9Tr5CMtuseqSY6FqgYe2sM2bannA4ZyWTvKZaMwzYRZ5Jmw
wMcQe5xWP2tKcowHYnaVRrkEOtIaDebNYL2pBdYpz8aupWHbSs5oGhFoHJBL1E2bYTxfEl2mDTMZ
4JjE0tUNKp+Ifu27jPUuF+acHaJmr7M5eJtHHPg+CFDuxYtLKAOBYjo5GnRtviF417B+AFVTXtd4
ejiuO9EuOfZ75ocRJEpuelEPo4tuIn1FafqplQPCgmoWO2rcCUPYwXqM+JMxf28onLWFP4hKu6Uk
x3QSF8oxxO0w6j11VE+WOahEYFB0pjLBhKK2FxKLtNuaqbaO0kZZqZn2VY4CZOVU3DIVRvimBoc7
WGNBYQxRJJficuZ+gEXWR+YH7/jKUpxdqYsFjKusEp87M6fTnFCtUDuLtdeUrQtR46IrBmdj89ZX
hcGFUKXl1PNNPDJE14qZOHEMoe2QN21x98/58X1XRQDqr3dV+6z8qKOX9M8niODrfpwggoXUkgPA
FMaET3zr37sqIb/w8BIWl8lvnEC+6of9hAWXrhNopWmOux+Mkz92Vbr2RWIHtomcsWVCnPpbJwh2
lt9OEBzlBsAWtFhi/dyifrtnWmFV56NSTZejXoIoE4lKfqq0CGh9qvOcm4zqFI8xHerI1/OukEky
5KxbYm7A0qDJQ2OpbOM529WityaYvNpbAH/CLRz/hTTYLU/S7MypAUBolpSNmCJgX6I2l4WUn7Dz
mdgyUCAih9uLVkhotIH5xufQ4gEozOPMYnev5GnLughRdXJHicUkjoP6xPMZfR+tBKE/ucDHlXtN
OUyb2mQbwrGIp5WklUuwC+sCNpuT0U+HxIyOdtESa42o9kkUhxU0DkKb3YyEPEy332Z0LKTYljGu
YkfgioSIfTUyUVV2R/DHUJ5Tbv+lHPODFXZ3QoYqwzKCAsJF6QbOpJzqWL6BU8ItW1hiCwzlc47j
r6gTeAiNXmT7wbf8Y2nE0z2inI+KHl4GjV7suzD+aINZe2ZtgmEBC82ml2nlWU2K+XFaQCy0MDsX
mCnFWg6qcuCEU49mRJY8IvRFlruTx9qyrm3oc7ds0vZDON0pJY+swsiNrWoX15ZEXSWoBnqRdl3W
G2wB5wShyFAHiNFTohxF2OGVnerQfO7LAGeIqicXrU+7wBYqMHUUq7muZX0V8rvrAVZHl5Ng58Oz
Rvg4G2L+Jse1HaW9Km2nwh7DYUkrQjtpd4rWpdEervR8qPvcuYowXVY0AdkoOHSY6f6Vg5iDmJI4
n71wkqOGr0UE2XwLl0aM3j9Pr29PL5PL4l8/vZ6715c/P7mWr/nx5NIEW/FvqVNrGUQXNvwfW3bx
he4sdkwWtNLv1+IfTy7IIroDIw2iB3/EWrbfP4xz9uK2I77C/1psc8Qc/saWnaX9b08uXgP6vDQM
cramFOK3sS9teTCNxahetTEKnpObW5no8MuUblmFipJm36HYdcT7UFj9ZlMUkWA3axyW1cRqyFlN
Rdzuj3U9g1uyE7S5QW570gGpPZaX9awgLKsGVqY3snko/RmqmOx8b5bD3vFtoJmI42UUbLvGT1dI
cmzCBuN+yOudEYX5XRWwngzK8k2yQyu68h6Rr3SNjIimDKq3dEJwLRocadUw7FCPQZWyv8yvVd3e
itgwzoouL3w5OOt2IL2XDYrvKYK8bZpSrOG3L1YXvPkZSqw25Sr757La2znru6pQbsCZpmenrSFR
ytBZpTpsD39il+lH1PwEVHYCy5hoDwP9XDv6exNJaiiqk92Sey3D5CnS9Lu2cIinxtoHOd1xDYnk
ng/sOqITuZNKSDZX7PzKeVfxq63iEFqBM17nanzZcPHO8uAinp07EaP5mjPO3lpT70qLwpKZX0KL
HcRNgYq7Wmu+TF1DvMRqnsBpJysIKWJVmfhwDfVsp4bwQjzrkbOoqdlgD4dpIgw85eUnuKyDKvOT
PUcXPRj1vR43N53EBz+aCMCMOpjLeKzHmBxXVpl61kxMuFKUDhXS0eBjO23aJGBt6wwcOOx6Z6HY
pzlQUhpd9lykHZ7LJH+rHv/LAnBXugRTWGSCECCxWU3aZ1qYE7aNb9z8WHNOFJlAsc3RNv0EfGZr
UmWVp2QgAvo3Q26orgqOf1i4/LQ2wK2ais9sYfY3ojh0tXZC4s1Zhc9w/SMD98vC+hemso3BTLo9
NQCSOgBQ8Z1bd45baSGUpqUTtAn44aZkV9HX5weLYgEyJ6/gZYhD6sbByJVrsVQQhNO6o5Kgq9jK
5xSiumpb63tOGdrus8PYmmuDQoNJJFeGThkmC0a5Uik9UCk/MDNgwu3ShxBSjMAd0+Tb1o5+SWeC
Ynfdqqo4WzpVvckoViBlva2S+CZiDY0f9HlQ61dKxgvOVNF4E+UMdo0GX8sB3x/FDabND9c0lAP0
CGMrl3YHJHJwwYF1VCvxhj0HlyhVEKWuwcAS5aZssJoWLUrxNPb7BMeO2+cqLN7hNeRnjahF1DyX
xBcKrXyCWXXpECmQNqb0UKdpT/PfWnXYAPdHb06HyiVAXNCS3V1wDFbuxLbdzSfzvR3My6GiajOz
42Pls+eNyox2a23pI2i+2nF1kWX5vUjmB6E013x/nJAGl/nBuQTSC0dY67xg7tGPRHJpV0yl3aze
NI7+dWqdEgRiyDA8KuOBwjBlT09R7eV9dOyT6tYAgxiWyY0tcxMvCSvdlaFjXvMt/paZI3qX4WGt
fSr/Yp2KmSwD3KHiuQFLKd0K8z/oNytxEbupmrMxfjKBXcUFVeVsSlOo7KgaYwC3X1PVlW+qb/Ys
4n+Cg+L7lID2+tfn7MVHnf/5nBV8zY9zFk6XFJJUJxUo1rc2lX+fs+oXuA+CC/r305T1049z1vzC
ygeJWajfFlM/n7PGF0Jp5PyYvqX4Bin9G+esxXf2086TFZPDths8Otdfsr6Izr+umCxRBqqglO5k
8XxeJaR7yBOFGo/SynC2Vm+/sBEZNtVSfSGmOebDmzV2hyHSirT4OdIwTl6FftFVeyNqSshQXcyY
TNqos84lwt1wzofyVALyucPpRGAj1GeLyMjccIUN4696as7XUz4F21L1NaCkvGf9iXE3jTzNmCmS
IFwYeJVJK8fe8JWM8JBorbR5zkJyOXRIk0zBNKV3somajZaPkThkGfXSt8HMVRfN2Y8R30j8bx09
UL3Iwp019q30KK+Ot3weKwq1fLHtEynWw1jNW6r/6gdAgR0UKGeS81pvuonWQc2Zx3XaYdtihlpA
rLlRKrhMy1ledlMTFl6pFfI2knIZ2K0SG1c+QZvhwG1vEz0lIiepHL0aYZ5p28riv6eA7uF5MBwI
lcSHYo62sLD2WMp1df3PVfj7VZg37V9/RO8+wpfsP12G+aofH1IuwzoYF+reF9Y/KsBPl2Gd+K4k
pYul9V8T/r8+pIYKLVjj80mM7rtT5d+XYYfPL2l2btga99i/eRk2xa8aCJ9SapNMsbyWA77+26L6
Z2WCIJmupnwbV70TJg3HgA5wHyvo0nDSUXUiWgoBsGzCrqeYZFz6UIqlGUVQkdKaiXRLXRebIJ7u
bKWotl1MCjEXxKsoj1zHlK0E32pXIPJSwSIl5gNPp5ilYQF2A/Z62Mpa+sfQmOQ+HlFtK013S6uv
L4ETdlTVaeFmtMRr6zefKvvKXTnkp/pbOYwssNJGFMZMFMdYS4NMtXTJBAmtMmpKJWhtSwb5pXMm
oLFsNTlohBnflT0mmzjolJ1YumriDPQWNMB3kWsjYd3ep+Ivj/ud5PG0CpbGm1aHNEeARVz5Gnek
cWnGaZeOHEtg+Sx5+TlK81VtUdIyOawOZ1DGq1q3K+TQ4TK1fM7M8ICbddfWAGDgC9IaoFcXMvAB
BbQ9kU8/vilM7H+yYEJneKglfmfo4XQFAk7BuYrvEQKLW4fSX6u2cl/Oza1T17syVO29ibW4HhIw
KdJ51CvrraiLU8VDeQX54sBa6Gy2/l3Q434ZuB/0DMh1aezVzrkEI954WqOAa8nx0ZRp8RQP6UHm
0fMYtw0XGeVzDGwsFq2zidL+q5k7H2VuVXvsFLTy5q0Ns4MfCzcvlj2wPo5RxA4GwTf6CrP9bE/x
Q6LiYRkytq1pzkCg2Ci9GVwXbvQNq25A5XJ0CyonCALCw5uCKKRRsnooaPXdZCosm9GWgdeo412x
9AKlGinKqKfYPp9FvySR4LYb3bls2Jyo1hCvmc1YGbdPPW22mGuMja+L99JPsJPTZHzIiT77iq1v
gtzqN3LUffooGuLSvF23XELZ4PpGRvRCVNhRDX2vdI6zDeyMuKdd8EEo7M8JKrCRNK96iQUXXd9a
ixgSPqfFJ/hW5G11GexsFkllnqSbaAbxFvoE5muHy3fEZ8QfQfP3BYFRH2ainpI6oTx5G/TSgQQ2
Xum9v9PMnGErv5KJvVeUaNNpXNM8f7h0+Dsbo70tqZ1xJRmqJJOPlkOQPMcrPugY/kkzbxMBWwZf
TZO3T1bKwgl9mDtzXDrrhjJE1m2ts2rjfFMk5aWmdduGfs8m6PZJFRzbrMx2QmvcSJvOWtrvjA5B
AB4b7/ZxvMpSbT7YavocNtHJlCWCijpY+7iyjpqTnaK23KZQFJkqcEQWSUIaR7YRlnuB0wA1Y9/F
0VHrIkp7y+dUMFiTV8PTLfx7wzIfu7q50hhwttgrHSLUgkxBCCe4zukJCgMLj3HHVonCs5UjwQwo
U3YzSP9xZqhHaekaxi19Nbd8XZDB8gza1ANfs/fn+qPKdWOtzUuPASAklUU3ri3Khhx+rG7ffkt1
XbfDUicWddNScmR4SV/LXVKpn0C3LowoOkaLn2pM8RaneeWpWfQ8S/3Ox8/u1mQ53KplekxicQMc
9VlQ/rECWXqtKTiAxGx/SqfbtjNSUJUj1lMLdl2H3dbPtbs+bC7VXmHhWdoHKptp+7ay6xR6EJF6
5RAO6X1ktqwU2/EgJwLkQUo2d0RBI/xFn1Y+JHibMN/MKm6XnCSOSWszTaLpJ+6Gu6oM9NUkMLRR
PYEfJ4zf69K8CgqBemIPs2dYyE05WImLgYl/19rkNQZSInPFjQp201rp25ISpeB2xPvXacrOgVbq
OFm/Mcr6gJuSPKugk4Whbtrqg2T3IAtzQw3xU1arZFLUlwphaztqYefaQ0/sLrsHo3ycrSUKqwFq
7o1NHQcUKtkXUVnv4sanRY83kTvMdECizmwnS7zNorw0A57Zo6OvJcUMlag/2ji6bMfqZR6DtRXx
6WymzoVs8VzgUPMTHHHjsLgj1J3V8jQN2o3R8yYAr8STu8T7lNqemeToJ5N1V3bRJQMZ3EQelJEu
i3WfWjs+3GhpMwEHnRF0bBzC1DN0AWN4SHnf4pzHm4Q/D2+KxgbBqa9rs+/Bas/FVp2CF87Oel1E
IcDncCrW6Ph0r9uKjR/K1LZ1Uz9FibjF+YL0ODv3wmqf4yT0SZfb46ppeWukVil4gsDO0OxXHVzg
tnbqDd/fax1XWPrt4r3xZya1GLN1zt34lCd46310NM68ywEww2pYsqAOlWJtXwMMV4q1k3Xv2MUw
/VnVOxomYUancX3FT9y294lzSHZewRTCuXB6DzXMoNSmY2RteYJRVXEKLZVPWQmVDVw21OdgNxE5
Yzn/qmOZW2E8vJ0KQJGREn9lP/5mDpZLqU62peF+yz2C34Hf3wqTCHrVV9ZhVshstJTP8RCnyIar
kRuJeXKlIporZza8YMo+EzUpXDsbroCP0uimBEdVj7L/Y+88tlu30ij9Kv0C8EI+B8MmwShSOVxp
giXpSsj5ID59f5DL9nXs5bknVeXyoiiRAM4f9v722lPVp9RIAmEx9owXxNhodc6ku3Bf0whBWhVq
3/S6C24aWZx5mpNKcLb7aBfhIdDWWRfJg87Ior4sM7bajGpiPSTFD6XUvNENr47+i9b4X6vLdujv
6+iLuAjbv+h1edEvZTR8HFTWDj2t4eI3XLZNv86U9Z8s9roucid3IWf91uq6P1G4UkEzhpb/C934
ZaRMF7zMn4XJdk2wSvtXnEXBbPoPrS5LN4ziLFjhNsLI+X2rawSWAtQmuPhnzWoesCRnOeaHKWcA
GWkd9WXSmjHZeKkF4N4d650+ZDe6ZpGcaWXEf8ejitdK6AEWDOm25NuUDUt70UMY6ZyWxrQlW4Nc
Sp5lZVbO6U2J6bpCQwGN4mUcTIUq1LqcXI4he3Fqz8uKOKyjt1Jw3ZqLn5udYUSIkrYesXqjg2as
Y1IxDtjAIyP4Vn0Zw0s9wfOWfRnGU6Jo1vniIu/RZeAoj/ip7rrsWH+fbW0iOA/mSWzHAbCQbNgQ
Is9KveirN5PIn5CKHHZ+HqyNqtjyrB8IS072daLtCahXCC6KN91qEioEAPg4lB7iUHs3z1UxnUsb
YgqmfCaIMyrNLLg3anmTl/rGozxK5htDuQ9DT+nImt3Gneid/2tovxpam/7z72/EO/VaxG322v3F
3bi88pe7Ef7B0s2iG/p1V/Pr3YhbYlnsoHZkI8v9+NvtKH+CbOoQRKdTPSy36m9NrfiJOTKdLqxU
HOWm++8I8V/og9/kdjS1UqelXm5+9kW6vVAdfmxqNXSnaYMQ6aqjpJvPiVk5yaVhk3m+USrPrgVP
cLXOM+fS4TTkMY/jDplJg96kN+Az5UZ+qs3mOZvKY9YWt2BMfbVIVawkOEu0Kzj2mO6iZgktPKt4
Ok+RPjwBQ/7wYrIaS+TqwHbcEvf6vDVySoGI07ZDMs7kqSMTRCVnhZZmdKUNv7IvjDcTodDYk0S+
HcJeGhiM8ZweUTCrkBpeQ6NDKimFT/4VhB18hWK7fXUQS052Lbyj+xWdbX3FaAdfkdreV/pTswRB
JUskVPeVDtX/nBRFZpRol/SozKMF3BCvo/leK5sEPLngfKubUK83BKuBAcqG8a1zifIZ0PoLsHpr
FQ072XvNropdaIFl4IuhZg4ss2FrdeUZMku9NluqgyqKN/WMHz6iQCuD/sHUg0etmQ9KaLc9uugC
3JSNd7DX1GkcnCuvd6eVrNwlh+4WsOgrZclF1gmNTrk7w04tQDFVexnh9m0847bvtINrmJsiYAkV
Vp8muJxcG/ZGrI6Dm+/DoD6x+b7MzfGSLJA3fWpveUDvzcR9SKlhIkfsAyO8cqO+XdVZdZdVsFuK
JfJe3w1Oe9so6VvjABXABqbPRsOTr55sj3CwqF1zIloS77OAImRn5AMO3WYo5Q7LBVyu9hzE7bVH
AApuN18gY64oQgoRXc5lfgUDioh36rLWJj/FfJqH8oxDc0VDw2LKXlfJsPWi6DIJyksgDBcwqLek
eh8TB9Ocq7+YTrKVsTpXlnoLS0n+HmLwUHj3dgO/Jzd2dNUnoG1q1Xn6ZYdNfKqTy8Y1b+ppWNN5
PDiRdciS5RuGCl+l+aE10DPADvOC+sOzW1Yi2ZNIogdoabcq0rZB5ZxA2G3BSlzqSZ+hoCNW0R7f
en4J3KmGT0QyQXa0hYIkQcBVoTC2WjxeDGN0KFumH3JqPhph3gIIum2mFM5O2Ds3wmmw8g/RpRvY
54mMl6sm05MD2abwCvC8LOJ3XOErZ6yvIM2eBoNLqvPsQ9a3GvruofKr1vs+heOlPmIMya0TFoab
sWYaO1Y4KbJM+FZdvyCH4vKzXGrUYDfW/bTVrACkd3YevDHayry7T2kOLG3hqtuYjkzARihI4Jxb
OcWnFjXjYhwGtBEZ58C2b23Q5WuM9KisRr7xPvGuk0rbtSAaKjyBTGhSba21ItnWo3FWSbdLg3Dt
eCUsYUIpuDr4tkwIQl7XXoOGn9aF3RKnRYxmNLUXWR5f2UF6smptR7OBMhOKvImmY6jz94qdztac
NX+RfPtJMPFhKffGyeShBIbFIBrOarGIEoN5VMj7u3Wpm97ajIjZwbdyQswClU9pFAPlNyVYJk4m
HGEtny/Z/Z2xGH93rZpwQ2nug6pgEANnZcV87BYX/6Py3KPmhHupddk2Y7FKNuFwdjy8YL3NEyDX
UIh7VdH5Zh1gx46reov34VTWxrDCNnaVpvVD7+IniqLxPnQdrnemXQUB1/iWroKMjyaqAWlSKDx4
6BrXXsxSmup8OBENkV1EAKfX/539X2e/xYH7D2f/63vzmn8U6i9Ilcsrfz37UXfgYxAc4gLoEGDJ
3ypx4yeJqBi+0c//5ndnv7AYF0iTPha65I8RX5QFhsRyiVKasei/HGiTNvPHWpxyHxEJamHdXgbv
fzj78YEV7VyOtIIZJAm7i6ut1UfJZrFE5WJUW2SteIphw/TPQ5JfVC2RUS7itRU+ungdsDbxYRUZ
t+GSMSWdfJVPhVi7eqxd6Gp+dZZIKo9sqsGt241IGA1XWXBndZp7LnpSNqYev00F3ucSccwmCaNH
DsvNgDl9G3vySK78kefzZzpOj0OUgypJr+qsIafV3HNxL9EXHLTE11d+kiF5mycr80edZ3HodRGX
vvuRCMQirvaS9trH0EdovJaJE7N5oEtl/p2RC+NqXYMK3XdgasiLHhbtHeXD2xRRWi+qGDrpnlzM
jnFcN5WPUV7emC679hL1gZjwUtad6nHj7LoQBvTBrazbunXPpJl9zMxYp+LaNaoBZkB6SXTpFkfZ
U14jhWUtHhXOfe/Q6+vJ5xTalR9n5o1seHhLNtfMqtqHUlPmauqYIXVZlG1HxXSu9iCKNi4MAqgv
Pr5LDkWpM29FFrHRC7qouWQXkdP9r9uAnB5NuS0GoXCfwqXmyLd2yJOTWwfWtz+alHHJROFlxODE
nVKzzli44pUoBwx+qHwYLDQYbMdsZWulvuvG9uDoYLUbS8Vbm4jEfYc9LH0swgV+Zy4cPFJOQOJl
X3i8jJjP0XLJRKWz2RRA9HCT7kegepFaGO55q8RZBar1Xhpnjr8TIgIB3zMyj47JCLZOixJQ6MQM
tzOxOiFKnG1lUwDksxk/yEE+NoBM0Q15L2k85munhxox2Inpa1UHhmKS914BpzN3dhXo5l0GpgQl
pfGgdYHhd1BjNmMwF8iSUJSz+a+xtJnFVbsQNpD/Et7Wn0cmT/dcAYDcbVEuo8PxuphQOchuqDBl
9m8tcJELkZqM2JPoozKiEZbEpJNra1xqqOjVSifTMdccA1K86vZNFzR7s3Gzu9qts6u+FMV9ak7K
r8B9EvRe3ZdS+Uq5AEy7WYHUcvaji02gA7YJW6UrV6qcrgblBWs6afgHTH43TmwOFwp163aKA/eo
Jmz1QbWuo+ERTyTeS5xo0J+ICQttb1qZo60xKveGlzQZBtgWdeDHUhU70ofS99RyCLXuBjL1anlM
h2jcE4kmN41ahknNTAYL2LXmZrAM9lKhJc+yny5bjByAE4iDE0swHIi1ZjsuYXFqiY3TJAFyLRLY
FXKn+b/l6s9DIZMxyt+fR9fZ6/tH8+ep0PKqX8+ixX/PgeOyw0RU+IezCKmgTdoqXerPmZK/KCA8
5kVMizBI4deADc4J9stYSBI3aTA6XkjsfKPIp/+FAoLT689nkWMY0lxMNqyACXD9XR/aT0NvK1sM
V2rsU7yS6VPZT7diwXDivbzKjTp5B3NS4DG27i3Fxq9nSHonxfAJymtLE20zkQbxGcqaRyDQz1yE
2SZugrcmBAg6ZgjR+q64tb0shA5WBruBIa1cQKJRJd46K75z+/kpWlCj5gIdNSt7PZZRvmf0CiAO
UXG+IEotWKXkDN7xXv6gDHanhNT45gI2TWSXrANkCAxCH+wFflqk4feklWdA+De6PV5FYbtHrEx9
DjfVjHR9a8MxxtnYX48m1lnC5tyVWICrOZoo0ozAhbLtqrvkQG49dSzgDWNBtXqKZ0+64Fs7bBUb
K2VjvKBdywXyGlT2feNxZCEQ6Sxr0wG9WdULEDbOpwOyI3utFlgsaUyPjvc9pyVtTECgAGU56b51
OrC/KqE5J+miX3UTc2K350B1xumj18EwG2IrLMyMnh49hgbZRp5kBiwBWduAbEOAtokproZYXIoF
dFs2jyXg266bLrBHIPaY/SUSA0DRoQvSG3Mh5oaOeyv5hIKY3YlWNtshyy4bILturL+l40z+MzL+
FefOjAdqeMhB8yYges0KVq/q2VpWndGC4RcXBp5Rwr9Jp5j1xxg7OULUhI4weKiAAFfAgMOFCtyC
B4YE/TKCC66s7jSCD6ZI3+rghDkc34kFc1bOQhpuqpATdaEPm239KcAR6wuXGG3Oma/pNAAsrkki
D+xPo3KwNvPnDFCNKwHe2LTju5LZn5vAjdZDjP4JjJumKF+swn3m7KOFmcZXloVcXwZYLTaw+IhU
STeafac7fPIaiybNLHdAJo+dO+EPUN+hnoGciqx7By9SGMccEkF9behkmBppP/rCY4LZaFPiaxGo
58mSS4xd+pgoPqS5YIDiRK1D+2zeAuzeeOwuyf1DCtMuIGnERuGl2UHWbp9RLFrcc885MTPl4gGL
QmqDWdlkc8GnnobGOwQpdU4p2nGHjYh9cDfYpKEaCZFyUK5jcNdOwkFFJ1orvFRRkEwblQP5eugh
n6UrpwdwhSs5SO07WAMAKbTQeoztZAHodnfA1jHmY+kfQQb43tD7mUwSXxTejri6FsGulL4amuwY
czpv8h7ZfjVYz2XvJBuo/tUqi7iki0G5q2gE0IgXcU2yuR9Kb7yT1Qi8M4quxmj+bmIBjetQ+gxe
t/rQ+V2aw+KAp7kpXBn5RK/BuxKXo80iqIrXsy6fYqcg5RV2l5LR1lXqEEsYGABEs7G8zuJuSwus
1rPWXpRVWxFvro52VISXWTo+pDZKpckydrVnX7ZJcz3W3YOXeuDZ7WIdBsNb69qPZYnHXRc41QJk
/5mF/LieZ+BQ8aODuhhdfx6tkYUTstODM4KVuU6j7KQPUE0tw1yPccLyVjnPlQZ40qy1TWOln9Nc
P1SJeKzq+Jw19htzFxhpubhyFSOyrtQp8yNrZdX4FSYVakvuyhvU31tpFie+PEhECZ4nlYqHvO8H
7hDmGs4gWSzK0HdnzaZ89kioTsFIKG6miVtPzPydkXloQ1Z8caRuyUA8dKZx1A1xgWrllDpwItD1
KEZpkOmDPvdYvSKV6QQ+FjuHIhWk6kNDLgewuk62qvOgo1f6ZRF4GgvHDrJpYcDQD17Zcp+idH7Q
JrhcxjhBBqyTu2mRgTfowatFGA5kKPUFWvGBfKSV1qBBKBGZgsq4ICLwHSmCouTU8/sRzblWmMQx
QRcMKr4N1CrbCamyL1Gq6yjWRV4FfuB2QCU4HSqFfnmwV22eca21eTc4q0wPtebY6MZEPFIWFhvb
9dot+1qKX/OrEP6vQ//q0JdS5O8rotNr2378lSaUV/1SEbEn87AHu8RSmfbP+OEfJvPW8n9j+f3S
ov3WnX8FzVMp6bTMbNKAF/9WESE30wUqNXhBOgN1zBz/oiJi/v/HisjBEEJBRvaLTX/+VTH9YITv
O2/U2IANVxN7J7GJ0D0h+hZwysIpjgCoBRdqTkNrMyV9nz4anaHpPlLWWB2qOea87N05PbWQIuZN
MpqKxPqhKkoQ/YXlOu8j7i80X3RE80aFTTzB2W3oMJbUeu8rwX5qW9A+9Dwk2wfTPHuMecuByPtI
W2SXtRuaM3PldOAsnEvoACvMEqOxyU2yLje2MHKW7iDnfNWlBkohwpV3TR/azkNmENxACdEckK7i
pkQ+gVwN5dx+tKYu+RwsOSKUk7TAYYgPekN4BgcPOMujFsjsLQ4K1/dIedJwgU79RssaFycb6jSU
eTTTOecbizjnrXdaAhPmHAQIsbVUMDXR3M4UfbqDRu5ZIT+TgnRH4hnzjaj4d6QX8RDoO5hntL8X
UQjRUBp9RFGTo/tXNfPfRmMdJ5DUmIZKgQvjUeBxDx6xW3x3xhTre9nYDCaIpn41ZIaUZy7DY9Vo
2bW9hIuSou7tZFV8pGJ2dlZmhZsq6u1dW6p4o7NpWKWhgLXsdNl1qoPl4XDAKdnjuCa8dYN6kMW8
tD4iEGx79o1cFijKqBxskNEltQolzFvF5HTvzlm3NjyG7FHTfIohCEDIYT4RedK3/tCAqc+UKXZl
mbdHz9ET39Si5MzvTBlXuiVNX7+OuwRnDilgK0cM043nBc5u8Mp80y6neznkYDobW1LzBNDt5oZf
U1rfsiI1Wasm4appbBTviyamJJGKYxMGYAdYZClo6htIQNjhwkHdiBjj9TwZNRSrCUpPW5rZdta9
cdP2JbBde6w2oyE6Hqiw7oOxSPdGhmoEaXG+/++x+fXYdHiU/f1j877LXpuPPzeSy6t+fWyKnxDF
I7KxTLRbztKo/fLY5InqCEuXnOoLd2HJ2PmlkVyYDJjIdJ6b/3s2/tpILvoCnLsoDxiZ4zUz/s1j
05R/tKzxxh77SX4Hw17QHogcflxossKCDJCX3SUFO1KnuHtpJqQAaaq4L/rMn5rsiYCBeE266jlu
5OA7xtCum6K/ztvyAFRWW7WOSU/T1z5Mr4uoS84gDiEZkciODet7r9OhamUvsIoPlAKDeS5nrC2B
7obrvK2uilF/Qnn1Yrb2N6/mHpOkrG2DTCfCg6TDzAZoVA9RtAIVtBIUBKu4Sh4dWbxUU/nQR2Ql
lKqt1oHrPja1OhRj8aQ87SkoJpJYxZVlxec+jU6qjF/aUkIXBsHcWA4tS4hlnz+M1LfY3ZkmXiej
fCZTftrYiTXzY4mFq7Nhj6r0YTKrhgTvYWvbs/LNhKrRHpBappr8XoNh8WXmnloF+axAWiBDZ+Ok
8hZS8fe69a5jukFKSeanekgqZTAMl7Lqv2FTeydR5DmozSvysN9tCpx1lzYgsooBLRiE1rBisBfB
00vCl8xkdFplknxt+lf62/J9MLxzqjEIA2s7rKovJIMNFJlFdLPGyX1SbXqs7eBUhJk/o3fbEkK3
1ZvhGHrePjSd22nuP2kePkTe3Ft4BwNr/kZkce7rgl+SL8nTceoNA5BsUycP2hxr9wZp7Rni+ic7
vpKMO31X6oFOHjfZdrluPtmhc2urKfAJDL+3Q/OzM93+MMXLy52u2+Li+pZr3b6Fm89UzGX72IH3
6lSyc93subQTCBFVd8k2CVh3KjI8QxC7MTpzOqRbHZ/CinDSXa2I3wvTir674ltjBE6EIja9LyZ/
TUSOG7ftLmjJ7w7yGiBOylKdZdbKGeZbkfFkLth81na9hgpPi5+isUb6CJ92bhMfvR36RjFoazlz
EU8t32FuVuFmaOY7zBm8ayG3YdBvA727m6V1hEZvMZFAs93WQeiTgcPwokvfVTl+kyAJV8Kt3nQD
VmhRBlTVCwlEj/duDQWr1KK9Tq/pa4LERF0vd+6k7ww97kiR17w9w37M7L38IJT7JMeyh86bVFgl
1cENp4mhCk7IMB/pNB3QgXCluRoJJGCH2yJTB4QOytmeq/k6B1ZxYQP/9wllJyIvQ1cERZrQAxD+
Tb9pvqIQ+BiIRTCVCDHWx461db+CE8RXiIKtKlxuXpPhfDckqcRI8GL3eqrj6Nqqx/A57iAlZ1xC
Kzuyg8sKVFeiUGtKaPA6i71IoPGMalRDoeeMN3qm0UfXMcPln7VJHKo+0mwUS92Xeqn+UjLJL1VT
O5F0g86p/FnxlFjmt3RAWn3G0sgEOskiwx9d8a6HHSOm1J0Ib4GDvGDt6JmdehPHpgjv9S9Ljhn0
YeCjYmSLXeu5G7zgxyfLWzebXEPlP3bVf3vA/4nx8ID8/XF5Ktv/83+L8CP7+AsR0GIf+eHMZLTK
CUhTwQFp869+PTNxbNsogGyWfjQcC2f1lzPT/okdIPtDDjGSjr+iU34ZvppfzjS6EDRCguC6fyUC
Wk7EHyVAWG04lwXIJMKU2Vb+4cRMpGjlUHjJZZdvZkcQDraz66cfPpjrn3/aPwUfM1bmXQBgUDCA
MZKWw2fw47lcBzH5rTPiIlUmcUbOvV5gBWgmuQ4sM90kVovAfjINkpclzlwywtbZHFz0gKJv9Sq6
yWJCq5woPnFfdL5uaA63KWrazIj1tR5GhwHuUtdH57j39swCT/o83CCmP9dzeTE21hWmuqOepDzw
+kWZqtfeVizVOGGeE7IJ7zuptGzaU8aZicLBnGXdJ4dcQ3qJi9qdzREJfgGvHwWrrYlniXsctBk1
7oAbR2nttEo8k4TbbqbJSlUB1sO0HwMc/jsezBb9PQkvGhyyXaynkbuJurrKNszUmHWXBlA/jLnT
PvRIFDgYFpjoVW/JS3dqp3EnCEVYJFAUDcqqLPk4m7ULztXMdo02u87OKAcAiCQE0qPW687JOatI
/3C0K8KetTM/v/JbQEHpQoUsQUXJ0o59rPbYsxenYSNkvLcyOz12nIbymvdrrRdnCgX6iqnsS7pO
67ZE+zReR/jNidmaPKLoXXGEHBo+A2Gxn3qB+FhmExQJVXT2AT6WQ86sydmECKkP3DUyDu+hLBmQ
udj2NiSq2L5ZjREKYqJWcPNPh950erbGndgoPvMTAQHtaxuFeIVBSE8jrnGvjg+ayVwOqycqHkL4
bsHAHhN9gjZVGt5tSEQhRg1ySuTkRduyyuGbp7bflwaWyvhJ5sjn+ep6TFTxzD4LzWeLNxODwhgf
XbL5NkJN806pzFgXHsyiNupNqFB1u3Otfj/YBcDS0Wxv2KQZNGT5OS6yc9+0xTZv4hu7dA6SupFZ
ULYvY0LtQku/br3hThmifwBjKT9h565aAoLdYXQ/y7jznbz106A27nWt24auIhWvTDeelm9TyVEz
ynDVutX3tlUfRdx8TIhzUIgukrijN+ZbHiAwX+adPernSfa+5ak9ztUT3mWfg/1Nd7pznWvbbDBo
14j26Kb3gsSTsHznrDeovzKLppeVfur0z44bv2Wza2/cFsqSQmxHLvl8MnOClEPz7FadD0XgueLr
axVb90KKTdC7WzLZ9uwPnseg5eTGOUQ1vrIISyEerdAPiWMkvjFFviPENX/jLaUTZ3Y8hz6bGkIP
es68yEaoEgXmjcpYGA61usBpxMVMgklWjywOA1pJmU8XHjeRXgqycRpOVnmSlXXCyfGkzbDLHHHX
meFNUVcnwT/3pnfKu/4m8uJjZlYbMyBnKAxHAqVTNjfRwH69wZUeNvplqqUvZWq8oPI6xm16UWby
yJjyZh4MPyMhAon7GbwZhXQ9XcxCMLqgp5bR9F6nYt95zKibKmbUTPrZPBxlOU+Hei6KI4k93/Mp
EBgZcKtPIbsnZ7RShr8VJR001nnS6u0/P3n/Aj/EWg3CoQTLDayH//79kzeaDLYMbgb+vU5NBqTe
BCcVwz8h6Bm2JWvwRU98Casuhgzzh1HV7U1dp/q9nCXmxHG8pQo+6WPgp5540ke1qyP3E4dEiDAM
KDB5kcR7Tvq2nLmmM1qrMsCfNzC/YYLcm76Qak/GwBu5S90a9tqjCRJp0xuQUQ3cCDiC1kO9bseD
UaVipYICNEeDP6QnG7vctbn4PmX5HYzqI+uii7nNjnVnnkRVnmRrejs1TCDlp3hvjpGzJpd77Qaw
6SM72eHPFH6rt7f21BnrKnKPeuRxX2NBhldtIENrxock7m1cUeAqzMm8smNyzWvXBYIUp+e+mi+j
Njmkg7NzgOki0KgPQcH6qJPUoznrAFI0N05YnbKQqBNRmFdxNiDCzPeca2CrK+xS5QQaJWmu0iS7
hUQarnrkL75baDFOEmYjTXMdozLw83lxi6HfsicbBtEYvyIQvojRM+DCqdaymbeowJaol51R4c6w
jeckn/zcIh3Rs/cDzyGrLb+X3kJy0HsoRtr3wHBnuijQdx0bPRY1xkGrlmeZOsXC/Wbq2VbXmUYT
RvE85aaxTtop3dhReGXNjoEbhrWjXSVyT1pM91jiaLpgN9KcMwY/h3++VP+oR6JEcHH4khZHeJC0
F7D8jyVCMtM+NIzxLgNaJys5NvAn/vkdfu8+4EdagqkqDC4HqheSZ+v372C50LakF7J7cdHpuVdx
F+/j6rYZUPg1sCHceuslm39+T+a1/NTfCqw/v+vyd/8wye2qVOGL1LSzPhV3gMIQDvI/OBW/MQzF
nofDYK2k8+QG1oEVdbruR5VwVwxLZE1crotm/lZq4hQrW1+DBd9m3mC8ycgWfq4nDy5uHj9MWa5m
9rMbpOPRyIDocDUV5aabRbGRlVb7RgW0WBTTdOhGYb2VBenuNqNReof4PeNa3dS6G/k8gSdfSRfG
R+fddXY273gePnRhbx7yEPL9pL4TL7XnULpvm2brYoqlBU72lh5pm0SnQsmGothNc6eva6J//GbA
4ibi8XaBqBTE3oD8Ct2V44GpbvvPuoWO2VbxobHJrx/s+3GGoK2nR0fRVTYpxVocWNk6URil3M45
pHNyYQ6k602B6VsZOA0rSHnK6k89djEYfPlZgl4pmmHTBzNXMMBAFebriFF0mQD2qOZE+k0WnCsS
uUI0zUbpzgw4xjtgBhRwlYbUB1+XZSl9zf5np1Xk4IGIeYUpdG70fLFPrxs1KpQsx94htKN3rL0o
WHtV6IqKCXlTQGZU33SXqI9t4qycA2PQD4mgaB0gGq4dexdW9kkM/wsP/1ug7UKl+MerjY7ix6tt
QD/YI3PVzsmpuA4vtW19UT8Ou/ng7N2T5OhZv5vDyjka5+JluPjna30BVv3Fm2OgwXtkQqZafrkf
LnUgC7JIpa2dK99ZFSdzXW1RPRkX2pPYkqj+cKWtT0/9hqFK/8p/ZJfTSV8d421wiSM6///8Nr9v
bH6+7ywEKqglXdqoP5JbJ33IMUkl0WWkX1dWtor1p6b/eVL8tx/3759Zf36PP+hWoB91WhRlEYfr
R9jsvenmnz/Rv/wbBKn0Ar3nggj7/QfKYGPWCAbm8Naua5hLjUPN+fMT6j848ZK9/vft+/n1+0fz
+udp9/KqXzt3cuN5ICN+MmEQM7f7rXPH2ePYDr07HRsiKIw4v3bu4idBLw2TgqMGt9uPS0IG4S4j
ckROrgWpjTzUf7EkRDP0u/ttse/YSHgB0KDhFTpUit9fHhqL5NZUWDICL6edJf5LtQs4lUQwS2VP
FQlh1ag85qTTcZG+7oo85Oju9jqpYvYSLzZ4Dk9GJuAsZy5GiJKr2UtI4ehZJpJOtjyvERpCvkcq
9UhYOvL42PM2dly9Gx06QiW7S9WFMLP6Z5f8M4McNGcJRIvD6MX1Ml+jeXjkKNf3BdVbmA/BWgQI
Tfm1y21HxloZE7YWGuYziZWFXy9BbK1FJNuguTZ61+CzH9oPCDVEIC0BbhJD/pou665MoxsC7l5n
st60CSO/54b9unTo6FLNOTpLNFxHBNOqIooQ2Gv5JsmPi8iRyx0dh+rAn4j/ON20lXGNYAgRcXgu
SaFLlji6pHF0OmYTdG5yrRcWupA4U+thibHLqC52rs2Qtm+Hd/LU2nVmdPEqjSQbq8hB+qEn92i8
rrEEEmemq5o/KRMnMkTuWpL08ty4aYuh2SYZ1geNtL2I1L1IjRdVGekg7pbxOMl8ocFYOCyx72Df
K8kjccjXilvpE1A7PxDlWuy90umInxAJGDzC/0AMJVtinb+zTZ2OYR+BNCjgCbdLbKA1SG2Dof3k
1iQK2ljVpy4IbqYlbjCqgVZMIaeplyG5CJdYwmIJKCxdbVcu6ROxoIitXyZIO7s2RISSVRHNaSgI
zCLxUCzRhzZ5hHuXNEQV1kRuCAISqYvflReRyLiEJ2ZLjGK2BCqOJCtmJCy6YVOd47Qifysk2oDM
2W0SE8iok8wYB4ba9IXbHk2zvqXxi3xhIm9KlkhH2WEj1VtiHhsTUXfYze9do1sMkTvK8yUWMlkC
IjvwAvs4ITRynuRZ5Lbny9H9aCriuTFFXSILKtaW4lKmpxv9sI8JMQyZSxmae4cZ/KVfwipjeqhV
K0W2Vwih12043GlLuCUelHf2Wii+chypaVhAVGFs7desZAKdeMzazuy9ljvPXmK+0e3sxBKlaY5I
YXONEEZNopojb3OO6rfJs1HNDqIW0Ko990af0FkdjZmZGgW6Q8c6NlO+sgZSR6OnMeSeN1NZMjzp
gI6JcTuhjLwWQ/4MVQNtvozZwLdoGWtnehzpt+mMhgbasgY9YiEjsg8iRq0EZN4NuyHDOxvDwQtw
6axAErgXhBzVq1oieySi7H4ug6vGrU7d6LU+wLzPWNV3phUdClNe9BKUqkJnh2HdpHGOtOisJ1iB
yokdsJ0xDsob+1Yv3R6hfd0vDp8LaTH1oRk8EDNjbpi9PQ9euG8H+4J9+qerxLZNCQkqQa+VABGO
pTa9mkuR97U8qUcFcnnq3WOMGEhCVyNGORFKPRUossvtGFWo4ImiLO/wmrWPtLIDkwmT0DRXb/tm
b4GCfoEY6BxZt2XhdRZmoTyoWrNfgtA1g3PixOkux3bkd17wZDCZ2DijyaURoC0NFsS5XRLpNizY
84HrbuMsKHSuwufO7vYz1F3wgO4+WrDpYhHPDXEIgQOmupznq7EAz02kwYzcLb/O3JAye0Gx5zgF
KXwBWndw2sNG3DSuDi17cFB1t9We4KdsLaC7M+NhntA/1gv2nbt4J+HAo5GPGLvM154dX3TpBM6u
0l+N8f+x9ybdcRvpuu5/OXN4AQEgAAzOJJEtM8lMkqJIcYJFUhL6vsevP0/IpbJEu+Tle6ee7Nqr
XDKUmUAg4nubh3W8LMZzQhLaGA3KrikK2teZFnOvqc55XfgzheO0y1JIX2CuSA+F4gy2ZvGCDzfa
0K6HMwsYYZwmr4JKzDKZXidghUU9V6sFfCERL55DRTR0QBvq06lgbphT/WgzIVp2nLZ22uCeQ0VF
HMAjSjCJS95xoMaf5QBQJP9prAzFVMwUXdHJx/tc8RYjRV5sFIOxMKExQrPNVwnNF6hQZL9BNpqD
btDeiU1AyPouTmzMKo1DZWJ9KRXxsVbsR1yqH+pI3FgRVEg7hIXaNECZnOIj+dNLCUBSA91H6ks+
Ju7wlowwJscpO46KOsmZ7BgAh7JrVzn/zrPiUwpAlZUiVvZJRWRFP1StC5fXjXeAL0OKF0pj1QO8
LMzY9LGSroo5W6OF3zsespoBIFOSDN2Oiplput0xURTNXPE0MYVu6f69sjpIm31M82QMfBNWGeuz
adARB6tYi++zIH+pe+cgMFGk3XwaoHimyrWrY4NuFODTgfSZG+GXBHHUhgBaavzTACZoN0AHhBGa
i2j3bRv1737SZvv1v/eTH+CQxd385w2l+mPfN5RC/IbkrRsWni5B7R97ze9SkDB/k2w1f8+Ccw74
jw6E5YySXw4AhiVwXZD7+tFyxn+vs53EiYGIQ1bsH+wm6dh6v5u0sHQoHIrHf6hd77vdJMAAWddt
fimMyrKuW9Hj5p37WGfWZM6qN3CahsFVfSpv9ZA/L6qdBO7EvaX6SkzndR7GaFNRZNLgUa9Vswlz
jQzx2rlhfFurUCUTxQrLKtolWSPVjiIqelKiipOqak4ZhqjzSfGeW+YMmmpXsb3xMw1/5SaiY6FX
DSzsRo+T6mQx2akqlmujl5CrVG9L1PF66VSXC73an6l/Zdnom9cBnChS+bzTKYDRKIKJsO6vnCnc
O053g70BwUZVxtj1+Ik90kPWzQwcaJUx7e4phFa0Y+2gMVhVz4QxJTSWgb++V8U0Bg01MMqYU6rS
Gpc4DFrsuYT2SZBd3GNrVajk+HYS+lWu21+sjtWqGV9aVmeL4bPfwGpH1Tgie/O/9va53jyRRjiU
Uy/hqIZPZSufvAQod7nWLfOt9by3RrTnZokf7XJ6Sy03XwtTX9auLS/E8ASHxHGfg+JEyAJet2h9
uJ3T+L6NzZu+0m4Wsw78RMdmMgt8Y6xo+SExYAXaBiT6UacV2R6zY61a3WwtcnxcfcckkuEu0Xq5
rcPsOqp7yKDt9CBb7YphDCqS0zGDGRJs5vm5mi3Pp9vVPTRVIXYzGCqXfC/tHT1tZXPm7lInataJ
ng8bOQSQ+3qhw4Tmnzqz2Dfh+DFwnS3m6YvU+7POi8snplTvGlzRE0RIjA3pQdgh9UQd2oQ1LjPv
9OZAvqpBdtOCHQ9a4I/lcOTcBJxxARPXNa8JSTY52Jcx1A9h4ky+FMkOn/lD3ll7z5iKVbrIhw5X
h56HHzHkfaGVEM7ZQqOB3UtrNdQISoTznoB5V+tQYJZ3qket79t11o4PGj06eKjZHSyZVm/MIb2f
NTHz7sR4bRiUENMZ5sdldW3N3jm12Mp08yRWbjmyrRrGzYQP4swOLuRZadw1RxHhB/jBx47e35Sc
10sXsFXVW5zGZgPuwkyTxx4HcxY/mB1MR9eLUc4Myk2sAXMCKNcdPIoCf0hT7SdDBL5Z6kd889d0
FS/rPImpFOGgBz0y2sxFTfZe0EemcNKzRodJbJqNP4XLgQa2l3RSOG5Tv7fMK22mS0g1+oaEA512
Y85TQoeLs3Gt8iMm2a+6AbGvcqyvzaJ/8loPP3p2U5GeELTMrOxWizZyjtBI8vou6tuXjGkk2zlU
w+XK6mGsU0RPc/MEMcVtLb9x56+ibZ5DrT+OZXebVdo177B0Sy3/msrpa9MbJgQFdh/QOwDu4Mwm
9h6R3+i6r5XG2Tij/gVXvvPCAPsZuV5ftaWGj7OkTm0aXfJy/Zzg/tJcGHLWE6suY/OZiqohk28d
0dwVY694zYJ8bLVm2oUtzp9oGa66wKTwtwnvZDS9JLFN0NVKIYvXbcZ5i2R2a9V7mct1HcXAdaLp
vrPrHvZksclQnSF5Q2cpCrvhoSt5JFyJIz9ONuUUUKhElMXqg8l3tPAegMq5rLx7RMm9OXFKkYXH
jnPO7oKquglDo96GnZs9NWNLQndE5tQdQXRUPdh28shwoiPMM6ZbllU6ykX0OhWlXGEv2pJ/vGJB
v5utcthjHJnQRPvbir6vFYmJ9QC+aRfpMUd9jucrW5YfAre4igK6ztM6OyGR3sY2jnpBeVuAnkGA
tKHBIcz4s8NwbxOB2S9F/9qWCUY4jMcrUYiIuGSNZWbRvtJoxPsiauIdTINb0pWv0uTZrjP4QWT3
SRhNzILRg4sbxHt6H0uQXS6tOZ07Q5WYiXGYAipdhAy2Llmz7arQOUvq3RbEwysxgUcCGJZPv8eW
PANHHH7yFa+7xh9NM6UUTg+38Gb5TodYHlA69l5oEeAlCMxDYxNBsIaHaIZSzDsRWAyJnpjGIQxV
dugTeOR2cxUAKuG/owE6PlXaMq5BFl3PmlkqC+zoh/o4rrRUPtjdvCNv/Nku7UsSVl8mg39dayVP
kt6/1dhoSrEpTgY9t0BvFmq7Edc4UKvJzaHDt+1bs+g3qauXT3WWZIeWOIcpePCzwnzUZuvcxd3n
sc62XpA88LLXj7FsOXy43qGNwzPFLh+8Jd2bWgtkMxpQ7vqSPkkLppPN1pvOXMpZLICkjRrWOM4b
eHZtDa+SqjqmJLju3DsDD9rGpmmQ6OhUbKoKng8JjOCgN/OL1LgZOoRzRCuX+ASOaTfQroAkvjRE
psIUQ/aUVLuyLvnzTnXhKGWsSk8PN5oBDTWZLFx08SdLx9id1PKi9/JjacldUGXTfgnNr4lOk6RJ
W/tKgPKgrbQggOPQ0tAhW6/0cub2S1D5jHj2QKMYnyRt6J6VUvpEGwT5KFbtaDbDdeLQ8iG15IX2
p+uUGjy/A3NPqxo2u4E8CuAvBA2i3r1pJz5W9n0SMgci6MP7rqMcsBbq4ICGtJGe+zkKNQ7+bths
BxqEyZMMw7oEAVmmi1pV5SO6obEKQ/i2ea19iJrxgaJLiuhizy/H7NS3Bg7v3iV50pY1GbLovpMO
nmfwrH2IITzXvQcLcGuYQQAxFcs1rzSC6JLnyQT0OoVathagXzV2TjyQ0GBH0b5WHDPJGfLYYwrQ
AcfWUh9p84y/jBVFFpX8KnXtg2bCmnUUdTb10q+O4tCKTLwNgGk93uQMGuy3FmQtpBb604HYcnwr
1p7i2k4yfQxzgAD1RHu720s/wb8QBq9Ank5sDKwV2kC5MvrkqrIbFNk+SW6QuA5BDVPXBa4bajZC
wJh8MCiaW1W9dufkVOMLkLyWNz5O7LmoBl1gz1RlsakVwXe2+xCoDFRfbI+MhUZIvyXIXxf0r+vO
eF4UDZjn7qsURB64Z6ZNmJpbHXRwNfDoRo1xSxZHdYiY16aMqUq16YDu0+peKgax7Rgm28uJdbop
rqE5FBzNmMu43Rvya+tTn/NYK6px3usPSxZfTXP2QSju8QgAuXT012GABYHJCoMhaX0MBP2pIltR
KH4yJTv0mSimcieTLx5742gg+FSBXV7y5gpJmBEgJUBCFE8xsTdGfQ/VQEauZZfnpCx9kQI6R96I
j19BnjkP7nSoz1Lhn51yImXInk/BoWMo0bQCHQKo0VFavARu+pp0/dmy6qtc4aUxW24h3POmNOv9
rAjUkKgnG0tUAJua6sZ9ZXkHj/6jWk8unWJYK5j1bEabCLo1Bv5TA+emh/Kb2fogrtoE9Hz9jYqd
FYt8mr+xsmvNHtLbzCYKgOtJYleqtKt/z6C/B5+Q1P73GfT6hUPon0+gSiT84QRKgRh2RBQxh+AT
/+iHE6guTEbEGPgN1R3430Oo6f5mCiz9mPex1uMV5Oj43Yzo/KZK8gmJm6jqlkoE/INDqPimwf+h
liNpkAQgP2AJOgzx8FtKEftBQnTxO0qp6cvZzKOPNf1ffoZcviqqGg17ybduLXcGgwx71hDKvY+Q
bfGg9zS4slB8SFzr2iy7Q54kGyi9Qbt2nBwGc4zD5yErPWNTCv021Irm0DGM89ZFlmivVGAwqisM
6k+ODpHDCSy2TrtB5iT7lorUTd4n/a1eVKwDvbwfU6UXD/PZs2m1ngpzXUU84PVUfphn7SPsmwf2
C/1KpzUXlzIzbm0+R7F7RbULfMH2rcFqTGvquAoT/a5KxIXj5UcxtGTRO6Y7QaecJ3Rj9EHxdW4W
OtGEsQ0sJ1zj4TXRV6Yz2JkX3vvT2h7Mfg206nM95su607FReZO7CfVu9FETjG3qSIfybM2aDyOv
cD8aw6PRO2equv3eiI4LiDvwA44/5HjXDTEcm6F6jHTvk0bXBTsZ8zYlbd7Z+cc0XpZVkywPXTNu
h96oboxAvXvKr4I919DEd16vVBEzP/GuORj5/DFt+yNhia96gyyia7PjM+XoqRvmtKxpaUfDW7qv
W41uikj62lyKdSBQyW2k5LMg3kUYqGYu0I0sdCVZb4+odcnpFVv+rG1cqpL9YqICFbTCWzSHV4Vp
zLsuSNjcT7j3XMHUzNz3fUNHEjQuE38Dx9emroidyT7fQQ5UEeQsP5hd47etTR8uWDOzpNc3Kmjp
1YPXlPd8mk3ayuoRH4rpJZQlTRzMQ0ta09d06KxGVm2wCtqL3oSJ3wwUVBspBqfW+wKZjWoMvtiN
q7c9hWCRPGWjSUq0aO6BXVo3osvLoyFCHI6Ol6yXpt+zI6O8RWYWo1Bn7aIY7fALsZXl/r/pMcM6
mnXQ6vYjJuG93ouP48A5I4xafd21wkBPF8mpKqDKhR5IhcjGMR4MibYqJvL/JhOb3WwY+k01meKW
1jA0knTYeVaFByO8ytMW0GctXpDWbYrK5vjssLn2Pdvazi7EmI4OLaJuGYHf4nVuy60Y4qcy1Mii
wAYPI37PJJszXi1g4af89wnj/1Td36niKkTEakP3DpMxhFb8zz+tEZVJSUSmecY5y4lQf+Z08rdm
pL+4hIfia6o5naEL/Z3wPlfh1CZwnM5p+9qnl7n6UHj/dtj+p67klywI9Y6qyvblz68p5Zz6/poi
TGZyNHVoz+RtRarrh9cUnZokz35/fQEJ/+MtRTaNXK7hIIszBFK++B/eUsjtvNLwnlvWP+7NVL78
H4wu34R3XnkmM1JQbOoO+fkOTBotFQ4Ji3OuL1ZwHYnOfp4MnRpkuymK8FKi1lwtfS2fZWSNGEO0
ok5X46SNn5rFaT96kVXee15sL6rLZyy3ZuF0j63ZG2hYCOEbGQEKsGLt4yRYfBjAWH4mROqLSbKr
LXZ9aJz7AVp1Nr+M4fIiosDiSbuTrZtvAqnvREYbnpjRjo1UbqYhWPdEz3E4AWqk9hmn60BRlj6/
pHWDJWskbIVhtsXSxIh1xvrpM77eZgUnQ61wXMZf3sEKG1pUxmBf5fLOGuy7PJb0GJo4NIPpZnGb
cO0NvJeK+h4603PkJoCjAt4VRcGZn7wwhQSxl/v4yXFpWvZdIp3T4LZPdNdvU1lkJ86Xxz5KkSwD
4a6t1gGY2HBWz8fK9aslvRvq6qEm9HNtNkNJlQWCESeFCXWIA+to0UNAhIfTuYmpfGL4cKLni45f
uFSyHvzW0Csqn5ovS9vMG1hqGVPMfp+1CZ0w9Pej9FUO9YOz5vmWRRkERo4tMgqHhITvAEINR/jB
tfdxwf9nDVMP46z8WIBOQNK5da1o7VbZm5FGH2TJzKXrEusU2MEhrrRbKv1gGNhO5Ad0rnDAk6eQ
vAjvEOsukpIuSrBe+NE+y7I4UmZ2V80udmfdRT0rHGeFYp1Q3jQdC0XZ08dhZZXFLos5bAqrZ65k
kN+qi4+JbHGX0g6xRfXbyKq7L2zJAHVkFxDp7taqneGmV4YCZ27dbtVYhy6V+Uds8dO6SfvbZeBd
ZpsRk3FQcTUFqutk7h+aOXkNhhEfWdQAHLH0rdO4j2CCnxxaGgUbkiwHhTupv4Y+3Gmzu62D5Zxx
3sZIwRyC8+pcQgjtT5mXXpZZPscSDbtIF2PbTPDDLKRWSD4zFVbcdoadnEpR8vJr+Itr7qPm4Obo
7DH2jWSi9qqJt+mY0kybn02vOUIDvwwteno3NJhfHYu+yvqZtCXFpYIJbxauZOlcVYM8z/FI2aNk
a+JhfR5qNo9B+8FNnFepTdeN7L+IIP9AMdnBcOQpGVJaZiOHluaMine75HcgdPw5M0YesYXEtTtl
/boq5JkPD1B7jJ7qhtpIQ8/PIjAu2P22tZe+InH4LhMOBi6kHXMzv3R96SIPsu3Mu+IxUlg9Xpti
pdFhdNQyolp2NNcqWyp9J89fiHCnG9SJW6MNnmB5zD5BXSL52H89dzllRXfdG5S/99YnGl1f2E1e
LTYXHcGV0e2ZBd4BKuCZINvOMhkhVgBa4yC77tnbrwrLZTRGis4SqXIX0/thR1c0+JnHmHK82/Yb
EHsaYGPPSzEQHYSX7SlyNp07j71iaYffsNq1ImzXmd7tsE3gZFb8bVQfcZlAcuNnM24iHiyf39w+
F4rcbSuGN3r/9LgorjftbNkxUazvjq9gMyr+t+GAf6gIuJirEGVCXw2KFd59w4bjLM2oAoAlriUU
eP57lPx2lBQc4n5xlPxSfC7f4uIvSi7VH/z+nkbQhF0GopR+SR515XX773HSUuY5pU3CWEbtxM/9
XdP81kamc8Bj+yhMS0XFvx8nKRbDsKnETDx3/+QoaUv+LT+8pDF86rYpHBxydNp7jvfe7u1kHRga
EWpnA7g3o0S8UNbyJRhJKVEzw9Tb1LckUrbNHObZTidLfOeRkbwVzqCBM3HKwqHb0sMyTE2ruWYs
1zxiqnHmNyQC5ug0cTF5nK1dUiM0tsJdkASYQLccl3fgbKBdNKO7o7F+2gyV5m0bQzwVVaq/hXWW
Q5Wcqm0ZORlZmo66rlAtHSX/WxPuG+Mn0TxX5ItWIgSysZDIvhoL5ypJGtg3dGfYEWfWttd2vehf
c/RFxKkG97VX0FShDhvafD2HpYehwN6wQACCLOB25AoV4umuuaNnMqKesqKtKMXLXJIwMmnD2bi8
qKkaaqrNQjiESqT2krTMroq5yz7x8pvvDeMxtlryuFp6Q11StOZEf5ssyExMoK9nna2Ly9JIie1b
G49b6XJEt7oMvM1gU6DtTmQwADVfFY5Gx5YZT7DnW33T2jVz+IYNAwuqDj2kIu3Fz6KdGewRcQ49
FM3SZDhrkQCnvyodSohSLNtoXFZ6Ow064giQVC9lg0OImz+ULku85RVQBCXth0AYkwRkbQOPETuh
w2Rgmix3jbOLGD581YUOkaIK7uHaV7shSSp9w41dHIpmGFjMyvgqkJp7HVsjaQq6F69TWBggMQzF
xjD66FOmaBkR2IywQTUfQUpvmJ58So0u3ARANthm5D5QklMWRDm0g/mcKSJHBJojWuw11vjuPOf4
wHLF77AaN6UrmuZUbZCHZoDyIRTvY0jm+0gRQAQ4ECvi/3gNtqTJpuzL+qbUE1ce+Qt03zT8ZhiF
dT2oMdtM85pBH7B5se0Wu0+DnUpvKXk1KSEnTF4lWXcCE4A3khuNXspRbpvahsBlsYhrZYkZUKlr
7tLvzCh7VqfTTuekjVrYXo2TIvwMobG1rcC9SbEBaLn3WWjtSSb5bdn3DwH9om1Fi9JKaNXNrKH4
CQmqD67QXunOq5wT+Qc9CYKN637ptOkYZ4RgLOc0RzRcUrG9q6d5I7E88ZlpBi9Odo4XYdCOthGf
8gjDTNzbwXXh4oHLqWPd9hHJ7HkKD3WUHRqAZWnNj0Qt+lU1xgRBgJutMNK9hP3IEyjj8zQQRp8K
XsZaN+QwtmvfkNnBA9vqNnQDN7SdkBDzQVtJJ2Zpybfs6rcVNFN94DAcCsY6nJCjKjk4g3X0xskf
DYVi6shC4Cl6cDP9zKbtQQ66y03qlRILLxXRgbt8rWrjzl76gypBN/N8I7vJ9PVoOtpa6ifD8BJJ
ExjcsGlDgnWJ7V7atLhzS/HZo5+M6kDzS+fNdxby7ZoG1uu5XrZaSkk6vzEhnti30ERIK/nDotON
FuRv9K18GNX9aKTJoemjC7XA5xz4j5OESvjdO3kJ0JTLM9a9zYvpZq5nX5BrK4J+rblsQBZtx2Zx
7xAcySv67tppq9kqDybiN+kCNaKIHjIYxWTOZq7Kc1Hp7qagE8Do6HFP+vAiYE7FQ7ifdHedl9oJ
/+yWHosXwl6rOZ38mkeEJic/aIw100g/6LIvTfalDPq7ibBs4up02DFtGIsnGwcl0Nq1YXENpjpW
IM54du/bTsIvsjGeTHfW5H3IkkWsvSxD6hr1XW5RMBF43IF0gDAE3bpe/pUCgBtWuC0GY7+N3LV0
J9yxbXRgzLSfluZJNzq2WO69lNWTG7V3IdWOff65mKsvta6TbKV8wTFpNJYVRV/zOg2tTYQYFJrR
rdlE1+Vg3rHZ/Gpo3Uo0utInVpWu7zVv2LutttWj7D6xy1NnGw8cbVZO4LUraVebQBuOrd5veRRv
Ws/dGmZ7ZQYzF6w3YcUXNhXtuqyDYsUB9m3syyf+VTiqYYjMLV2wPEn0IUcjlGfsKEXLrEw7opQe
Fs0hluxEq6FJtxEgeuw5FM/hombmJZ2d6IbHvC+eu5qikco5YIanwMgK/LJr9oVrH6iV52hme+T4
hqex0R/LBmafZmAQnNht9nx33iYsOphSNnenAzVluAU2eqzI3g0adPDY2btTcKa541BY+RWNftdR
SW6m6ONtns2XKlBeO+pBRvc2abyTaUyfKqnaXRgdCs99CBp52wJFK1r7rp/YLbpGe98rGRvdaNUs
nNvs7JTZ4RUDNR1aQ3jdqIVqKZ/mtDuKhrLgSpH8Rs7no9+OatNT4AAsHppqvjJEedTQ5c5awHiQ
Qq7svqWgyF9Ed9XgoV7GkZFlyosnQQ2UD0mXY9IjQKh8Mp+wYXFiS3F3gNGLjc+SXoaiq5/SJjro
wjiz3lIE1aTMudsjlcg8lxls4UU3PkV2W209M/2QN13GxDndpaZxSVKQBik8rqIczS0h/30Ab3IU
GsRtSv0GsvWUXoS+MYt1mpFXjIoLfuBdEkxXEyJ0pZHFbpOXjl6UivcfTwDg4mRwNn0fbppIK3xc
yzgMe1AgvCQmiI4DNTHDYG/bWAfD52xjfdowbmT9aTGQhtOynfLiiNB+bDr7A7Z83jWYYwpEqS6m
QCcatatCQL0AgmXA7GiM8pBp3fXCiKRtqjcClkRLWw+ozXQ9WMxac53X3w9b2sufewn+POWzySoJ
VT2k0krvI0Ld2DRNHxfaWc/xiKerMr3T8Fr++iIqt/iHovH7NpRAFNNU02JrK95NK4k36NK2DO08
ua8NPuv+01R+Dc11Tq/Yr6/0VxveH6+k/iY/aCdlgOS9BFxJuDeAQnHfUF65HEr5Memf41L+3vvx
D8awfHs8TTQ6cBhEN/r5cgLbuBtkZXgZtOeuP9bhW5G9/fNPxG6ZzTKXMa33AZdAOpPuzVV0QV1O
xl0/z5ssYvYf7mJkEdHd/Ppyf3E/YN3j0MJgmamefBcQVVEDMetdfIHDtYpNispAIqd/85neZcbU
seSni7yzWbaB1tky4CIJ07SuOSVetP7/9zHUx/zhPhi6hRFIwRWIVsD78FO8OsQ0fn0RJrDvb+uf
Psa7X79KZ2qK8ja+TJq5InntxRfo0yxwn2galvAocVf8+op/9esQ8QEBbEsivO/DcGns5jGGjvji
1Le1HsI9PTjB139+DfodJRRi7gN4rz9/dXhfNOkOTXIp2giACC2zpQ9D8tcX+auvziTVx/TYMB3K
tX++SDlGjhPHU8Lv86mQEJE4e7AYeMF90h8tMhdjcPvrK6p76t0axBL3xxXf/VhkjOkkMGaiTKhY
Q/tIRfjfLAbGz7+O6ry0DceiU4KBuOR5fbf4tKVF+eJk5JfkhLh64OV5XfqUht1Gd7ZfbOItJNPt
rz/Vz5f8trL+9KneXZKQWj5hIkgugySEzOxRgPAW5f7XV/nr745BP+5g7jz73a8lFwrQO5LWl6Cm
MYzUCsacX19Bffvvfx0ihtxtHqITStrP90MF8o4gn5ZcHI6+syvYbT7HFiDHJPmbz/JX39iPV3q3
wHEixpTnyORi2F8i99YO7uvlb5a3v74E0DLDo9SIStSfP0xMAbVrLWF6KYqzTfp3wmgsevk3r7q/
eoS42f57lXc/Pa1eUTeHXCVO3zKNsgVKja2tnfZ+2l20dJfZf/Mb/elj0cOK2d7CtoriiDn0548l
PIy+uVNml27YYR8dJayuu1/fBn+60d5dglnaj8t2MYR8oVGdXUZ8YoYG7J7W5P8vl1CxVBqZPOZs
P18imSZAQ5y0Lm32pi0HRIK/ucCfbmU+A+ob4qzN4I3s9c8XYOl0RqNY8gv7vLwnW5ocVPs0JOxv
H+TfkImy1vzvqexdPHxp2vgz3xYAIuImh8//9//8rrqqP/h9KmtYv1lok4D9dNZiJZF+H8oazm/S
YVBLzwhDYE+BIP4oHNPJmSC4GrSFIG3yyH0fypq/8ZPSmEGN03/mtf/A4/Pt9fbHckdSmY2cKjaz
PUniheKzn++RSBQc+HpTXGPhrSvnpGGeZR7nWXqb62uPrsSz1wszXUNwx9wZqzZ9Y55xjc8digGz
k+zcl7VG6HLSDrZdmNc9lZFrPI7FMScKfQ9SYDz3k1WdiOyUb13YjVciH9N7yxgRisrEK/xucr4E
Irb2peUGWypnVE0Fg9xnuAy6x8CNhGQzVohS2S4VxrheILK/Io0ZXzUzXu5EK2ky9CLCs8WM855i
1NVSyRqiTiIgFSQY/SMnveR5H3wQbPLu+krLons9sdOw3WWOUS+HpYoCypiYrxNzM5yCRMHKQj1j
5jEYloFPcx7dcn5hHDHcNo3hjvqqbIS1hjMx6DcMHZJNbsd18qAlCwSmekgdh4iErBucuyZpUXvg
ZZL2vXmwBqqUF7LsaxqRVuoY63YVpqrCxg06NJ59HCqzeaEZSdLhGxHqA+PaMnqs4Qzi9CtME88I
bThzRGBpXS7W3WLgBN2LgaaY0kneOpoKryp6TPArMxM/uLUbD3fUbRjbubEL/IIRN+Z4nXsQ0LTd
vyvC7zoNj+//XhGuy6L7Qt/XnxcE5JP/Lgi0FaDS8HSzwcDjZ/Hq+b4iCOM3SgR5IfyHDcMy8n1F
kL+RBMNiwwNLc84fy4Hq7HU9tpPKScE7+B/pNBDPeN5/XA9sIovgmTBoYLcxcCf+vB7kVWZxcHXl
TW4uw7bSAwu7tPPJAVlbOv2j6ORDutwGAG3JOW4EgNu+Cx8CRbxlnG36hC3WNTBclFrAuOaYPuSK
lGsoZu4MPBcoQ7fC1nSowOrqIWGiqi9RfprAjxR7F/Pas6ZovIbi8pqK0JsoVu8SJSR2IdkHYXNV
jJw7EzN6zBnGFbP3aWFgl1Uu6YG4fpmT9JbO0ZdGGk/TMAufoa2Kp5T+HKWIn3Vy7HtUEDsvh8dZ
d59jQqTHogIsYYz0u+pV8pD22bNO1fDBypm6Uu6NcLLsl1o8D21+42FQnqVzD0k0pRi99mjHAavx
0EfxJzfW9qNePraNFl45ogJPavl5MdwYCbVc2XwzzfGNsgjUM9CyII4+l4jAYVeQ7pbjjafUcJJG
B6vc8tiugF3R2nevym4Yanfpp1pE9Yq/4q5tFybkUNIzi1FkZ1O/nSaCcZsVrEq7bfeDZGUNRpPR
knaSeTnuyw4neRAr1mfCUFyeyDIvW4tiBh/S5L4us88Nw6B1J1pU/kbfNXKJgHj1l9n19nrCSFfH
k7yLCsbaMcpPVnC9jGksxFhOm2BKlzmm5YtzFMb1kjHWJANP1QOcGLids8q7yStrLRMazAmjn8Yw
opjMWZOqoC7DYkie6TbRXKWzhwy+fTmSQ8hSKrgyp239OO5YyR0c13PsoajkRKs75wUx5UBLQrft
W2bSOBuVFHg7OrL1HYMDcG2+zSKhh7dO7gojJxvFL6dV5oNNSrnOM0htjnRPtWYcMre8Ju7wjPH0
Y9Ti069d3HUjbcOLlNQ+JJS+zg2h5TTpDsPcleuB0sg+xhaxwDDgNZPfBq1l+qBf9rnRldsmpJIA
g8W4SsuDKWKIYQ5aBS7DsqrOVhPhttF3tpExrWfsTzUUM/bMvE+W4plGzWNnjJRak/5G07uiQuCk
Y8AXOX2BmV4d3MF9Tdrw4EUhNRgCPJDbfiBwdI9f/4Ex00EvaJ6m76iU8pDq4Rk3w3PRZg8yrflS
l/Fkmc1RwW/7AQcos+rbLB92UxCfLBV6XGBzeOXBUBv62dozfr8KLaSKZjaPFe1qY6tf9MjKtv3S
rIOwexoJsKC6Ltu46c5Vr6h7i3PVeOLOjqtjGg97K50Jt2R5f0gGSt705jqsHESIAYFyxr8Rivu2
bB/Doj4GU3LdR9Y6Cue7Qs9w4PDQpxnRkjF+DFNnZ4flPpexe6AUYUeYKuLu6K7Nwot91zFv6bU+
sP+5zbUBk49e+1HfHAZPf9In2p5cPcvWnujvxsg+9fAQVjQIQopa8id8FnunHwhIUsc9LZrfIyya
mXxeXG83auOm80YykcOnAn9oa+tflzZkd0R0bMEMEuts3VbOohX5nWDjCJBpzMTWLW3WvskksGfl
dF3K7OiF/QmnzWHq+m6lGd4xgn5jDdkxCOdxxVD6egxo6Yi9QgVnqYxqshtN93Z16d009P6pyuNt
XuvGJraNj7HRnybKP81Uww2c3BOTkWvMe6+VMfE0hht8o0cj1B4nfTibhnGjpwT6JbQritlfhIaV
Oq5CRKn/x955LceNpFn4VfYF0JHwwG1VoQyLxaJ3NwhSomASJuHN0+8H9WhG0qi10Xvdd9MxzS6f
+ZtzvoOfsmr5LGrd3hZdlGAwyV+VaZ4mP2+ZGdd7WaY70mWHTePoj2yaLqqmX8Ux5I5Gu8Gzpa8N
696NOpBm83uauXez3UaXhV2pg4jCW5UXJ23RdYdVFliz/aorZ+ca4coyETWlLbjLoR6NvcSDYRjR
h5zA2DD/wS7pTpfIDo2tTsLTViTmzq3sGklwrBDksf5yIrFv8u65GZK7qpgvpy66D+tmj8UyWqyF
j8WQ7HjN99GUPbXQ1Q+jdS0lKwCBcTAlxrnNx51tlQT6RfeJmJuN5/R7DfpaO+OibZybOdMxxvq8
NfpZw4iCTWS6oU68I3zeC4ROnr1XD2RH6cONMp1Tk3HfB1mjGVnQDVXyaGPx4PB33KNR4OvOsaht
48ohVIKld+L1/Drnywp1w8qpeUnTpPb1OO3cqPCvkYaRqEbOVjBr6LSMHqNN1KPR6rv8vcfuajlF
uuWGYfeNDHOjjGw9soO3y3YfxjAmxgxBdNn7/UWajZSpuEeLukHDAKZFTjDvzLTWV06Cct3Osqe+
jIyNmJyaBRWaJD1uXG2Vpw7YtTwiR6qFsg8D5DnVXVR29lxr284b7JsGVj0bnRlNw5BZUIt6iBKE
Qc2g4nXtEtnEBTTFa6jgW2tMA9eYH/MqvI2q+thVQP9dvJZG5nVBoVfPIY7JZW8S1Dqw716Ou450
4cBs2/eedGBdei9WaJ76gR0+2irwots2JO/KbO5Z4E0bz43fOFkfhVnvEZ2chT1+hKl5hPhhQ91l
xZOY5brRzGc120c3yYnAzsy14+agiNgdKRZfHVd0PbEIdurwnAp7k8nyFgI+8Zz5fFCRc2mPyV6v
5wUaf8h9yG6lkJvERdzvpOaNP+R3Ld6IvgSonhfFfQGdb51r8kj88EEI7YTtck0ptDPG6tCGPvFs
8SFyqyM4oSfHMo8ZYUo12QEgGyHRqk9hSp6MjG7GkEphYg85h3FAy7q2q/Yjj/1LrSjWDV+6EdIw
Nt5P8LBA1/rFgYCl29pIAzy0a5o82O85bJRR3DUSt2NbYIQHq4y/LApAQWJEQk266Pg7IpLaVN/n
nfHMaAlvrj5ubQ09B5IwSotqBX234nSXz5lJQKiO/3aoDeKimT51UQbwMn0ktmSHse0aVxJpEK1+
Pw361kzVU6k7gjU7mEutTz6HddnjyyWavI3Nq8EWV2Fkvo6idQLGGIEVurvUTw5+IvwtBr5jL+cP
NdlXrdJ5xQPaCcfgyxKVgw0ryh2opZQehJPjnUu9vCisLgAn6+DzEDcEQVxmLTJ/0s62DY7iVWjH
yFkbllHx5LzYAyoPn5OGnd14OY4eq/ahfBrt+UZpzothpOFWJdWzoJsm86XbyqbPWLDxqr1Q3/vL
0YMLcdWX5K1GdZaubSVPCk2GjLT5rBn1UekR/kKW9Vjb8i8I+7DuTRUCQP5pktNG76u7KBkVoan5
YXDZ1E9tB1N4ubVt63nU+aGlmPs29cjevJqsK10mV4gy11ZqxQc3nptLxS4WZbL5hI4puhiIQvSb
7AV9jbVffu4AlZl8F9zmzPTMFy9GrqqsG30Yk0sfY6Gnq0OkxL0BOWcubdIThm4XCWAIubysIvJo
XatGNpt/6bySiFpC5iPTu5dteZHAI5K9Q505ECJjtM+TXt36Y7W4idyrVI+ucrS+mWtNR1wRj1Xm
v1ijecu+qzzaJubsDp/H1mitlznH9tbo2oJNKHZFz39Yq/RtifUP2afV79MM0WaDtgsOl5UL8w7b
ukEbUdeaFYDEtgy4/aajBYaehHP692aTFk2d4+Ne1LnjkdSJnxooIxFixB+YnFPFqK04NfPINOXu
u7by+s9+7HuG+0+TvX89iKNb2C5Y0Ls/TW1kCEVda5rkLKaDVpwE9l3Num+H+98/zE9D0D8fxkX8
bbEmW5h2PzaDIbMXugBB4W58GcoHzfw/Vr6/+O+7rCuFgbODt+vn96rxJ4eYhTw7FwNftL0Xvv3t
5w+r0eAd4o1alIw/Pv/IxaFu2lV+9ug77Gv7X66Rv1y6/rTj/a/356fPGji2HhPDnJzBHsGSkEin
3Y2F7PojSze/fym/eKiFybsMdG2GiP5PH0XmkRA6zKU8i3TP/r0VKwWpz1pzDYMu+/1jLU/7PzMA
QJosPr7/WJg2fD/7Jk86710ny87KXIMXAyDNT4szdeq3v3+gX72o7x/opxdVuAS8dN6fD2QCv8KE
Hm+5R5arWP0f37XlSf/8ovxl778AjaFELkuM7/awpl0YJRcvYdIm+T9vPaCT8NPvX86vvs7fPcTP
X7cZ7EwJ5ro4F95bGr5Y2v/j67zYMF1rsYSSjPnjSyDp2m4tjTzslBPQBOc3/T8OL6S+wjGZ/hgm
3NgfH6HQCup7Ry/Ps/s2uFcd8hPR/h9n168+dL7Ers3GdVm+M+P6/oMAP6iKyZvzM4omtJV4BHT7
picvV22wYv7+E/nFYzEnZ4yqux7O8J/PyTgkCMNP7eIcLz11AMA5hrheMbbdGbdfH+qfJcgiJfnr
kefVm+Jb/PP+Y/mbb/sPVOmsKrhDXLbrFov878adxh8s9w2ONV38y//8bdzp/YHZDAM0U1LGkI7L
X31bgHh/6DYZjJCNbUNwafwt0pa5bFm+OxgWk/Oy5bVYtAAUcfAy/vh9rKGOWDaY5rNSDeouSoxV
7RNdqOzpQU+rXRh7n6wBmEeounfRhRhlRlzOo3Vs7DCDF6M9LPlkwp5O9ozmykaBaoCHIIwrOTsQ
LKfQuyZgFM+/3hlBhbpRjv5pMO3LMi93XuTvu9SgocDr5RFAta4jMAOtM9w5dtltsY18aE5B9CEx
S7K3opPrgOLSCBVceZUdTAbZVfiCdjmgKmEP7loZ3qOrzGsK/7Pto3PrSFRDl9dnwPWmXThKqOe2
f5Ol0V1EeVjYqDwnG6F4lJViM7XWx1BG6WmeO/VWtDzOZPe7WaujtQldVnMo/zUptuCAGPlkYMZa
avAWUaq66EQkA0MNBQY29hIyriAd2Fu/yt4jSPJknikmXM2uq2qEZ0Rx7cYZWKYriAYZ5B6/XjBG
rb+umnhTW5l+IPDkaApADjocWVLXfND75MKGkomiJCTCH5y7Sk8crLB1u2ZyzKvwa4vFlHMoho4N
zQyzwm7s7MB47srBB2wWRbtu2vC1ibz7FErXIdHMvTWFH1QppNCiHfR8h5hYRrooGDC0aRabqThs
VpXMxT2zUKSfo32ghxs3VqRuscjska6769hGiRzNTbUukyZkpduD0hLkxaiU1DTagWCOkymoQpIu
IWZ9qnUatL7Se2Tos3HrV7qHWFNiEYZbCFE43mitLrb9IHzJcW/kaNzD4uB0mr2PPIAhg+bJg/Ls
zegS791bFmkuhpvuWhg51b5uopJgdjBqF7oTf460UgUeCKsLVl0Yt7L6UFfRPePaJZjM2Fuaatec
/0ETd3bQexT8fVEeC69eAsm/lMTukvE1HMXYP6uG8ZAzJ4+dUQEYNn1z3YfquW88EbjNfNkV42We
i4UVlQIj9aABl9GuHexTQXLaFGqP7aCLNbQwAsrpXJzIOrsEaHfsp+wkJePMIo7Cl80udY3LzMHU
Ifz2dVbhuRfywR+ZgueY+SKjsnfMYfN1qldJUKdls03igrQGeYoJSh6zKA7IKTwVGSlnXNDrwdU+
J2HyAMC0WkdaFIOvFJ/NRD320tto+OJWNTabt762gd9oL721AJta72SOuBb1yZE3jrRe0bocG939
7M7Nkdb7atatI3HrZAyX9nksS+NU1PkuE8y3lOscTcKuiZMQK82Ib/tIQBBLplfDvZdaYE3eUSXJ
1u/hsBN1Vq8LuPdJj+GyldkNLhdtbZT1i9JaXJpduGaUdR3buCgcs92YAxBjAFWa5uznxfKC4R7t
e41csyYiKYv9ExHkaN/lOSGburP41A3ErD3MvZ3M51ffAVPTgl5yvD2jNOIOtDQiyL267Ib54Kvk
HZ8D0Ri6jv1v8FcqSe/azH73a0TL3Uisa1G5j5EGu1fPQ37E8FlWZtwGecVZuPLnbNw1hTHlfwoE
/7lxDQry39y4H/3b51/dufzVv+/cxdSFmBarF2UcYWbf3bn6HyR1An3jLGDBu6g4v925ZIYaDhIF
CiZIfPz5f+5c2OvC1jkhMZf9XTOYaf7YYHy9cmknbZ82hk0nz+LHK5dMEWXaYTKdk+LanEj1NkKm
3WPrP4wzgQhiIiPFJ9ncm7Nbb7LeJ5VpINdmHbQDlETIu9g2SUZvpH82Bd3CqDnv5A2fss5/nBf4
1lB8QS69rZaQ9QQZZKZyBbrOMcj2m0FP5peos9GFh4S0y5npkqiwB9B+sYSTj07kzFuTzhRkcMX6
LYSUadjPMuNrPs3vBB+zWFtIgFX3IJP2uiYxPmHOs0OudJeTJV+WY3QVki5fDr0CM9UcdY8x5QjD
Ih9LXvO8SQneAtt06EiqZ6IQYh4ptkWsPXVk2eNuWSHuu6Lt284W4Vl4jsMgLBo0xEO3SZNqW3k4
0Uxs0UgTPpd+cm4kEYxRUk13M7ijpA8hXqgGpBQwNjs1Ey5uCwIFIZAkWdkv+UwCkTOELgxqkV24
hIluqkFvNtoYEj5VphtvWHaLS4TSRGUyEB9v6t2dg2OEmaD9WFdsvtZRUlsMxjoubSCcJcry0WEz
+aAPA6MVHGoVCVNVK0jJTtu+ZvsZpUtudZShmyjZ+lXA2ZivB7IBCbrAxIbeCTrsNKs0inajsPq1
O6PLCPFcWC5sLMxYHyq1T5lo/BXy2tfZolpDLMyAL+we2qJ4TXCjhDa+tAxUpNUcpq4jdw4uu5MW
e6AzWhBLZa9I5zj5AnawZJkVx+JpspyLXLFdzO3prdLt6sHKcZHkFjd8vxrUcOiMcTemabhP7NBc
aUm4R5tKVFVlHomf1wmVxYQxadO4mnPvUetxJzmVth18A08juNYl980Lh8PsA88SpSI0MwLY1WvE
YlVql6BSWQl3vi6McGt2KPo1FHt13T3OTOIz2/hSmrxnHPDPwmP1HcoHzCEvUV5fj7FM1mPr7WUx
Pzc14ChRxnsWaO4asH1QjO1F3pFHZ6Tzc4/9ian6WzslAYkGRz9NNnqiXpxkaDehyWpMCobdWZ3d
c108xDS28L+shqcmj/gTAzXrYL/clwrD8arunFOt3Ns5tnbChM2N/WwnJmxzXfdqe9EtSJ+tqxdn
JPnnUaHnqZzZuITrDFrAKS5n2V8ZZrSVxWcJ7aVjohc0Q7grk2Eh4FsLQXC6ToCfeOTArvwBI3zr
Ns9z14wE8xpveQjxzRayXYsGFlgWIdjpp3tnpmgYy8xdmbV7DwkCDJl4mb34RPDmjWloO0ozKHyV
/znMxT73Pb5GbkXuT84XMFwcSWMQpsaHnVqKH5R+z9f42W0JGNPD8qpNsLX45md/nuog1YbrMmTl
kze6tQ4jg1C6sLBXmROz/m7Zp9hyzK4n6d9K/P3LKJrwqp48nHzSYTI4/vsYtm8yq65DvSaYxrXD
TTOIcJ1PlU9ZYx8V5M3r2fR2gHni4ibsq/ROFfqncDJJ95bzw1yWl+YcvetsCbqsm/bIr7SglQYo
3giWpoobTFyscHD2f5TKnYMO7zuUAbUY/SoudrIBVg6uGM4iSHuhVV/OuntsDf0i6fRDHLe3NZsm
bFHmwZmtq7HTjmXOq0xktVFtLNj+aBZhalD84hziqWv9OQX758pfus6/vvLv3or/2SQf0S/838sf
frv1decPQR44WOGvbfFyf38TFiE15LpdRl+27/1ZEHy79c0/uJDR8SOoZXSNjug/t77xBz4PE50S
clsU5USu/A2pIeKhnzrtRbpES089YDHBQr/747UPMS9uYpaPJwadVKK2rBADrjvHliDvoIpwOfez
W8PSEMpgMV2QXtmV4SaKi+jS7FL3TcZLPgRlu6heUzfT9WtuLHrutOf3tGr6wj/nZTtfRGaXJQdW
2MY9rnTNPuiNIG7Z97X2nIdmeCEnRxD9IGWq3yUuh8xxjuas+eQXkTOcalMR7qMwoveAUD74qSWb
skg6nOuW18EnWVR0/ldBXVtN7cHKDPC/xC1IQoDF1HEluRxSbhWLo0FcwbGuqtRfF+iWgnjEwVpX
dRt0YkqOsEehkoSz6lYphse3rik4MawqpEyBxTOvZRF317FhvzG7fGWV+Cl1OM4ZEeZr5dgfqs0/
HL/U8aznlfUZlQ2yBhanVTQcilnY21ZqHQrpyFn1hkiS9SCJ3yNznBEDgoInXUuQKMkh/DQmbLlJ
GDAOMQjxS6A6+V7qtXvlVt2IOFJVO+YkJTwtFIu5LMa17SkmtjVKFL8noCFu1MZpPQx6DdncbX70
Oh/XQVi7p8m254O0iHgl3ZXFkB/vgJ6C/YwAdpqTl67LpitY8MuN8vwP2C0alOp5n+kUeGggd1M4
oI9ocrmKQvCU+Puel+jnjRxmkv4IXSVrlAUjIFCotcOVNEcugzge1362gFSYRnJEK+PMeELewQMy
byGOFR+psOqLvEqKp7THcUqaHmbRPv0z/OqfU2uZcP/1qXVNsuJb89/DweWvvh1ZaCE5dZg2uxg3
gBj92KiQO0jLIbCAGbQj/25ULAG432cdYqFftHSE0v85suhhWF5w1hkYir8qJf/GkYXw8qcji6kl
02N6Ik5N4qV+dhpYcVQUGHn1s50NrdxDyiNH1avkKQ0zYt2bGy+en0IAbUbVZrsh8p/IHyWmfgHY
M+/ww4z+g4YAuyWpHWV94/QlZDdx7MD0OPl4MMdmM3d7O9VeyigipnyLaf6sp350YoQE/9ie/I2r
s0SUDRIyZ5o/U5Oz+13oq/j6X1wL2qdnaiQIDu3LXOb7gWJqY9r9NdWcGVSg6vj/xXHuSZhHAn6y
WPStOjd7LLRugkEhPhLVfBlm47NHuh5URRnDbR/vcm8c1ghwXoZJe6pn6HHjXNG3OB5udf+qcKbp
qFny1tFJ0xgL0DFjmCLlc/gXw+aLHXYW/yKExV7fYNI1NsSEJCuo2cYmj4m9nUvzk5DP1HZxQzBm
I9YJZPS9s3jwQretN3Rok8U1gYcZSSARgBtF9AEKHLP13/SEgKMgGWsW9EUfA1os5B5PTUWjoYEd
tkYViAVfwRJz2TgTB0VNKlHg9TWEQvioqyka2hukhnAj56y+6Usz3XUKy5dyGQIZC3O/qSGTxxWx
OXkhUWJXznM518aKGnQIrNryVmVJbFXbxfZq9MFbhX5ooy4aphtUvBZm+lRs0qFfx6VTXvis7smt
tpJTiCZ9M/hdcxFj2N2NdURFTjJPs6kM6kstNsOdLrsvhl96ZLwCKK9kGO11R3vvSYRcQX8htrWn
GdYrpsUJCtW9JZwPXyttwFPDEKCno3PwrUMmoBSXdppdeybDWZ0MbfJKqPx96GI7KzMxPveNvfPi
6iMfdX9nL1HcVa1l12QpRBe8c/MqDYfizStRxxlTIvahwBHVEAy0Kgwg76beyhrJPFjpvNaKdzVh
2SwBTa0am/FQ62n1cXDL4RgNXb3zY9S7IAfMnWqdLODDI4Oisb8kLL4gZsTY7y1z14CUjFeCVExU
HtwzNRlv7yKnwQT1wkAuT1zACcgZKmX1QRgNOhkLYeHAhOyyd35z0UXNYG8/zLJogxhnvghG0xuZ
sjHj+pLBKt17um7clDo0U9xmzZGwCoEWkv67FuN9pukRctSM8ETTl0h3q0dQZNFazCGAFn8oGZNy
B/bNixZVT1lZAHXkXg3inLahz8sSNQaMY3dKH/WivE6rJnmdfPRdRhzFqNI88CAK7cbc3YDNB+pG
LvAazE118DvnI876106E2yHygKf52pchbcFdFcmLqaUXSH6fRwfKsNlozjrL6+UQ8U+8FYdO+l9K
fqdat2wRcu+eevG60vECEHazKuryisLsk+H4T32m4XOoR+DBtXcAprEv5+aumf0HQoXDQLTUaFVX
BwBOEnI/k2lnGvT0MDcZB+AnH6KG6W58G4mavOsIolmXmdXRFvMbLTLGycLYJ2V8Id3w7JnDSRvN
ajORqsIvhVQrEk4QGCUZTATkmu+pR+PuyDbdR2aPpMrqTCQzvnXh4D9dWU5JDJudv/sNMa256ArE
KtV1OWh3jBuGXSplchGhx6PhI5RR4tTgKdFVTxqcCTVyJoXlEN3kSAVowtEodsuPZxbgl1HQpPtW
2XGQkqe3EwSg3mZRrTaegaaRE6bbNamD98Ie/Z2y9CmY09hbOBkZJ4w77UaiCoKQSA+0XrkV+HPq
oNuzvzRTNG+kNR8QL55pqI+5mV5iw8sDcxDGzhzMLDCFCrcSgM82dm2xy8IQooYoy73hjPYSVrpK
4mxGWZUYO8NcGHkpzzbO+dUaA8NeCPPQuuJsYW5xSgmweLuh4JXadW8v5NKIQCTd2WkpQ5I0h45a
RSD0ipwNBMfUv1J9/yl1TJbtf13qLA3aiqz39lcdGn/5XbnDzJOihVUoA9pl9/2tQ8P6AbJ56cP+
3YZ969CwfjB2hXv6raT59yrU+QNPCKt+8KssLv9mg2a6/zWX9Q2b/pEGEjM0RdRPc9mmo05nCaKR
cpCn66w89Ek4rIrMQaW1SNmlO+21RdxOe38jKJrW/SJ8H1DAD4sUnhHfYV7E8WqRyTP6LVfGIp2v
FhF9gpoek9gjUWWvSlSnCRvUvMju6bPqwEKJHyrzgeXdLl8k+lGb3eLeqtAymp8cVPxIUpp1aIob
fxH4Dx7yzjqtCUF3v4yWM27TQd3lRvrg6jlTUjkDDNCYceR+9Wx1qtskuiIATRu2RDwgby41wtJk
t9K1ejdIjaaE4JBV0xGXN8PD2rBeQQ+O7FTbhKP1qrJem264yb1+C0ZmgK1UNm1531WpUAxhdQuF
pDIoBwZ/q3S2KH0z5YEhIDpXkxn0BKFw7abXXTrBmC+ydV7C9exE+rl1Mb8Jy8cM4hHu1F5l/YPR
lO6KobhPKChplox87txRlys9N15ThMQcoagqkWjC0SRYxwmb5qISxTvukJQkgCwuRUDImc7ZkFvG
TSUjSQnlAuedSIOLGbe61H5ABMWGEetzQU4MF2p5VvNYXooimdaa6weFS/sVqUORlVeN3uxyzAqZ
716MdvhM3c4MUJoTSIt02xWWOOgd47uY140ud8SI4aABFBlOM57Pkxe1yUWfIChVvH0wYEJtMafk
ZzQa99kigM6VC5MFTbT1VR3dLkJp+VUzXX/VT5MRcprxdYgGwLdwGmrRRW5dK3EXob8mtwBVIpys
CmW2hna8Qqltp+4Bc9JO9mCcFyl3j6a79fLz6ONgGg14T6i+LeLimwHLS2p3OH7SJxt5uFsSOYdc
PF904z4C8hEhuUJQXiMsrxGYQ+nf64viHKedWjuLCn1Gjk50ELp0HYX6iFTdWTTrfOQpiOr0gxyN
Vb/o2rUpsgNz0bqTbUj5yU2OCB6iOEN+VPFtl51mZPL5opefFuW8qVl3STe8F1oT5M193en6msnl
TYTkXnFNFWq+wPD0KPx0AGaDPQiRfjKllCqU/EkjX/NFx6+53IaLst9E4k/SF1vgRfVfIf/3Q70M
BPnlszOzD+nP8EmfDAwDZaNtSgwEUH7fTSUwSC3Wgig+D1gNqnq4jLEeZIsHQRjTtlpcCQkGhBCb
QpoXALIpboAevPeLk4Ft5aW/eBuQIxyzjH8N08OwuB+GOj942CH6he2z+CPGEaeEu3gm5Ff7BALP
ae18NVXEqAkBczrRS7qk9dhptyIj9susNXscJi8N5ozB7wM29bvU9F5bzBt5Z2nrEjsHSwwCF00E
/Op5WvweRo4ZbLBI5Da6W0+vYOCgHmZbaz4n2EUGiD3Z4h8pPevGxFCCnOTGWBwm09yf7MVzMmI+
CQuKKMAO+xhbSuLJp9SQl+DcHlzwWqsMuHyLkcVQBHZRCUjRPcncuqsXx0uO9cXKl1VWfUqwxIyL
NyaasNum2GUyg9Rw7DN8SS7KxU8TY6xpQlQBi9Om6/rn3KhgEqLa7THjlJhywHEfNSqLVTVoBwvb
jsC+05IJm2PnGYBukTZzOfotSM/5pu1li4K9OpkYgUbFV9bL2a032QOhqa8SdqBV2YcWC1FjqQv6
mINuxo89FiMbqxHG54zSNdz2NhpjzEgSU5K+uJNmbEqhUV9O2JaKxb/UYGSKS3lMMDaNGJz8LDJp
J1iylZVYp5igrD7ZFpiicOYdE0xSX6/kf2qTZSrx29qkffuf1Vv9/variO3lj7+VJ4C+KUAs5rSM
V5YV8HflicCrbgiUzRQHFjvFf09jTPsPXcehvmRFIMpiVPyfaQxeddzltHKMfP+0uv6NaczP4+Nl
qLNATCmeEHGiUfxxfGzGuja08BivYhCDzdU4vnz3tvC9B7BZfC+qRnj887Rn0b2S300cOCAY2+VF
fi9N7DDu4RoZuyvMM4FhqC+Tsq6yML216/YLS5wNBQfmEos+RteKAwqnfV2lrFGQejuaA48Rt2Xh
1hRJ4j7t4q3VqM8aJr6V4V92dj0iO5LDao6zs97rtkST1VbmOQJmyfqbMNCINxHKcJVPrJ+nGYq2
sA8juQRfBlvwA81jB31WgsjYSrLPlZGFbK9R5lrMN8BHRtpzmrH89aX1qYvHfNvqbrRmPVoddRpW
kr29s6tcLci8+tnHmBigM0XpZlnDdToOOsjQst3qNZRzvLpHQiRepWFc2tjUfT+fsGv21T4ryj0K
qnlTh9V9aGfcXMnJi/ktz/ywNTGwWLXGL5Ra55aRyKrBY7Nlbr6JVHvnpqTUcUKYlf8qhbYvVHfR
EriztrvpZpTeBTu3Ausn04RWXlSu+xbq/cC6j7bQ1zadTN7aBtRrs4wKbG+fRelZA6tGdcXCzXgB
mwkk2d0jPbm0CuwatdGfMtDIDlkdtSL5DcbdqrT8xzSZW2KBs+s6JD+imeNjm4gXVRlLz5heWIue
PqPiMmY4qObM7WuCH4qbMQ46LzlMGbYrO4VdGabOTlTQlkpHvnaWHwwCqY9AV0Rbj60rKi5gE+Ky
6Z8sgKl4Da+cxnlp2vksE2jjOVTALsyZ9veneKgPJSOuaEyf8JQxdfKHfdZzxRrZHbpcTLJp9mQU
zaMeuk9O2G3L2rnwZpuCp351rBZjZotvyGxeSl48h+vIunD+jHIhYFG8Ziu+MeV4qYbUY0wUATiY
2BS3XmNgw8Ui6biv/ApIaktfojAEdk/kylbrOr421ZepTPcey1nLVK9LsLKm4RciS3klmfuR/7IW
dvY+y/BG5vrMijO6lOlCzotIebY09z6eEfYpgiWjhH2kyOnmdVLKNEU96s2uffJGQpqSxJk3msLY
bDt3qW89d6qJtjhk4GOq5deTDoRzYvroiB82qqFCXzBCB9Xt29HD59ZNXXZEYbUoEcwm8DPVrwws
5MHQOFdRa+Aesp1HQYr7xq9CMHB+2wcxwxGChZWDSDGve4Jb8kkLp+UCTq7GOnEuK4U3yeetIOZR
RWtCB3AMZmW8sWIXUHiniaCdWZEXbShvS88xWJJ04siOBrrpZKxafG1tO56VpZpDAQ9jpZtMaHSj
avbgPtIgSrpLR4+4J6UqdvpMhvM4+8E8GgQXW5kKyrYqGUEm2dllLAX/U2vAwy903VB9sufpsQ7N
N1dWe843tjF6vvZ1aLtTpl2G0kCImBFlJh2bHQkZO3eljYoQDUSYPXUwS4e+HpC6OGcLtiMny7pO
rY3p6t2mVMXRrVwORJ0n7Q43RUfUl3LVijPqIqrCPWOfIO1TQgHaS6avu9gmcDwTT7iIkIyKi4E5
+K4Y5auV0rU1SYsfK3SOeguUNLQS910NmrFGuAPH2KqG/F7qOaE2FNMmupS1OVcetIpZBnOS1KfZ
k1emofbSb270iqYww+U1QsFc2rUNR97BILkB55FTH7IJL6Wm7nMjX3doC7JNA1M1mIY29zlzuotB
OOVrYbV0VIn2BdkpAtiuJt/Gm61NrQgdAdBbg9yQbr8nl7PfAcGcdhz98VNY8QhGl90XaG8ZcQv/
optqpnNpdFUATVtnEF4YyOFys0r33q7KlP+VAljMDbqXyQpDKEnVvRNO915hz89zWCTw4pEw2mRK
rFy8ve3kaTslMN2XU0W8PH+4YrLTPddJ5m1HbyLEkqSxmFspbvdWzzZeDmprenm9mfLyxelp34gf
oBdB1FBiGHIvZDU9iDgN+gSYMZDmhy4z7r2u8o/jNPbEUtNClmE2gWZAAauEeDEZQmzM0aqeO0dh
KS0Z9hPSK29d2MYrAA/PBuXkXWjYI4msBDakLDeD31/Piw77BwOHSYWhU2r42F8gK/5k4ICu7Jhe
lBZXrcRlPM4H2xluhrrZ/v5hAGb86nEWgwIKc372PxcBrUs8MSvnqzzLTijGHjiVMN3mrxyXgFwm
f3GBZvseYHjmyX1jxJcEK5JOURw5qS5tZMIp+RNokW6dSgRmTIgICcVFFH4QWMXWgZ+ANXtXjoje
fv/Uf/nMYQIRT032F2y+H8sXO+/KpPVlcUVm7SqaADfn7B3+TMr5S8+T/9+eChckEVJ5j3fI5ov+
46M0ZPFNuez6KxWx6UJUdjBLDgYRVv/L3nk0141lW/qvdLw5MuBNRL8ewFzHa+gpaoKgKAree/z6
/kClUtRNFdkZrwY9qElFKZgkrgHO2Wfvtb7FvgGFdIHhfhLKtLiCc+dOJLEP5rDgHlBtL+2bOc4g
2dL17kLFusnZlbqix9QOtocmEFs5CqVleHaMBOL7fE7Vg8xzo2fwqCdLm69BJTwlbYp+mQPtPCAN
ayTdC4mO8pJWeRZqeaXRtHVYlXRCNC3Y0BVDhBDcBlsRpU2ob6tZfmHe8DQajEs0EqxGIz0AKmCY
bEzCRpSG+CCGWKzmsQupm9oIZkRsoJIK7v1Oym6rQWP/kAKA19jQG71sN7o0ePg7nWpxYk6xkXil
KJ8wMOTuONOHlZR074tPHVGamrFlXXw0BY5zxiBtplh9TCEQM7VhjFAikFME0Z1VSo+Rx8zFSF+4
o5Bt6haQeCaNCO37J5Jqw+cp1daiXmXEDocHuViiuJtqhfEZPZ48Xme6nh4t+uKSPo8XldEc3r/n
AJWdPy/g/HkgTW4HUwTYufz8jbEK2luR87P2aEjyk2I1mTuXfXrUCcSyWU8/Bw2TSlRyjqSPrhml
OH2U9MCnwryEs/KGoJsD6nebAeRBK8xPikp0aEPnY9V1orrNNJm4mojOEq03zPWFmm3QEJTuIEWL
zR45I07wa6AYOfNDLLJZNDqY1KEeDx1cFHQh5NWt9Gx+rgv9iQ6o5vRSYeBel+908qBV2vQIKSWX
EQPKDMDedj3on5hzbgdf/gr1NLHLgWXASjd6Pt76Vrw3+prkVQWHxsQdwuBjkm+0vj8kcXhTRWTx
GNZan9pPRKKpNnWj6OkVlvSw6r2mYxpoLmMxhdaiCPXKZar3JHBPOKWlPEqK8EkKMZRU7ax4Iejr
fiZVRhgL4PX1WhTjrZX3HilhMPJ7V01a0THN4cIgi22Q+oZtvlxChm+VoTxa5rhtQFYxb3iu4Enl
hr60BQ9Jl7sJgnCU2nsj11dDAWPDAE0S5YTCWdFVUgrJFpeWV9DN01MU5iUFTaEHnEt4GHvBuhqq
9hvKdJ8JFzr+Ll61bZc4OsYNGVWPJEGXaZQ14Fa+JSnIPDWYnWGpUJMOdQmwnUQaHooC/LkQXQIf
sIMQg28iXGTs4gTjMZ0j4qAkvISkYfKOVFeS2DVTf8DaDxWgzogPEqoYG76wjgfzYgYabFgR/Wgp
ABONXYBYAWkV46nQBvPSN6VNkLfMIKs9ZGyq3jYVoAUM5WZKjZ0aDBfktNFvXqacDAElZ8BrGZYM
rhpOCSkBqkrmFYR20re81DXPSPBfmEdyOvVpVagb3+gfSlFgNiYedK2uvdFX93E4wCsg5fOik3sD
UA59O4M55XroZ7ekbtjQk2pcaEKbuqcKMQokveQeej1s9Q+2tg+e1EWH8fZJlUNrYpSadLhgcKI3
B+DxztgzkR5OSX2QOLG8vzb8Ok5YfKS/rAyLguPX66HgyjNWhqJ4wSnRj9fYkPLg06Bu3r/QgsP7
tTbgSotNGdu1aRjqORZ0aHArgO8g90qaaDBHeOcjX77V8L9swwKDbDL2F2UZYQfCt30wKxrtelyg
2YoZCw/8XeKohG8oI66IkDRJTezuhag4gb66SSnfOPU4bSPfjAH2/LwNVlkbfc5j9UEI0/I66JIe
jndIxI7WXWiYPCgsvEnCn0OJt85bxXiwZOumBH1BJ2XXKe02UmQkZ9NWK63TkADmZts2QEEk8pIw
LqAAMJ2xlB6ysvai1N8OpUSfeTTtVsueZnHSnHQIHivGAHj5faRsjRJ88Kn+2m/5/vW9/VBxCrz9
+hJdzaPaN8ejOX4O5y+T+YEj96O/f7ZxiEJKjRwkE9L5G/xRdqXcfXBbvH9X6Gf3X6ZniZjIwXTU
5MuIcDI+JjGcnPcvsnwKv5Slr7eeiagSrLhGus2vn9JoNEOIV2k6WrIjt8/tkFGT3EWj8cG38WpQ
/nkhNJrk7BkG+T00vyhNpbMLTXHEWHcu5SNlzDObmnubrnxX8BhROw92bj9soSvsv1xHTng/ek/Y
tb/wRDcbZfv+G5aXPtvPF/K3x/rcSW31kVVaActIu+pd0UFWcdOtsytsDJ7lpPVKWvM5ryQHU5kd
epZb9p56zJ/ffxXa717F27vzbFaZQsU3ZQxOx0/jVvYMu11Zl4Z9ashsdtcPmrMncGNtHcPVuMlv
tM0tMtL1uGHds+d1YdmNS+vMtVxh323ydXMiWAFSvntf2N1RdKa1trW2xcWwqe+y1c37L/1MB/v3
B+usghbkJkpLwlaOml3YJFG8lKvyVnIrJ3YJg3YjL19lu2J9+bz3ui2Z16MT72Lb2sVHBveO7+mJ
/dV37t9/VUvA49++1jcfqH62O0RRAS9W51WFW8sOnXmTrf3bHOQWzj0b+YQN885O1+ax2sifaaR5
719/uX3P7yokdn89R2erDUuNMDXlNB7FufCMYbiYCTTqO7K437/Osqq8d52zVcckKJ4IcDh81NR2
PzyL42bQvzChrUQUpuXq/av9fo37612dHyaFjMVfq+LuCH2Uk991GVz9zy5wduZTRpPZKCDDY6Jd
yDF9QMtw37/CB1/MuYdeyEozNwDQHIvyiAB3Vco4L8wPvpWPPqezxa2RiH3sjbg9jsu3QlSzNf5z
tsFSI/z8Ks5usA5xU5c32XQc+tGJAFwSywIb+f0P64O7yzhblXQ/ECaac+wGo+6oVu4laXtSICEZ
hNPHg3zsIaO/f8nffj8aenqUG8qCAeWGf3P+MqEe+GXUdkc1+1bHKwh5NPnW71/jt1/Pm2ucPTRp
YDVCFarjESsM/furLPugq/DRBc6WxDnJRiUuqv4osmjTjE6U9IOP6XV/fO/BXzaUN59TGDH08VPu
Y84GNhaCHdlTB44Izq52Qi84dXb2Xff9L1slS3Teu2vN8q7fXJKkGJSRcsge9YnGMJg45xBwbXt4
kvbztrcvZ6fkB7bmZY5km1eCfd16y65++VhdKjtO7Wi2PPQim9wJ1x+9vN9u5G+eCP38zonqQQQT
2B6l07KRCzYkZHWbS46drFX3Ibd3oj1dfBO/cDir76YLkrU/WL3kZXl670s5+957oQGybk3UEm7v
zu6Soqbb1kXqXuPV3yvrzn2UV76d07Fd1ety/XFuwUcv4VUC/uZLEnAxqflQtkfMTPbo0tmMv2or
yTUuupdxU3rZ3lgLa+Fb8Kg44zo5YW56ef/pej14vfMpGGf3SUJIu9rk3Jr1alzBQ7GjparbJs4t
cMLtFnSePR+xUj9AkHWzVbk2LhE8uJ0XbjE9fk6dD17PUhj/7fX8fNy1s1LAFCxmQzlLSuWpa31N
mNO4mlfzPrqQ7Gd4uKvEMbflhqbefnSMO8+kOsi9dp2sbiJ3KRL+LA7+M7pfasN3R/fICuv8qf76
2/DP5bf/mt2rf0jKIhBcwnlepYB/SQsxf5mYKHQVyMqfY/0f0kKNn6Af5EBBvrpODMHb2b0J8ovj
tEbyOhaaf2b+kn+9pzQQMDixNZ0DjIzbTBGXn795zKxRE0oL5chRSEzZ1Rb+uUmw8lbvYaL3r3j0
tmpJ4dEnAWw6hkZaNP5QNfEdQGc8y6+Q9byGt55XJMKLyFfhsAP0pL/VIViAzx6M1QytfUx7mBKc
J19J7oq+2IeTV8Q7XoAa3nv7Cn8325aEag1cgp0LhqjbWMDi26xAfqdimJSdNBGJdpRIurFlvGur
sky9uWjTZjOFtJlSrTPuc6kXoNnibb4vcZACPtDKeXLUnLG8IzRVDmquNC+VpC8flayKHwWt1DY0
pVsawn3qnwxRCkw7NePoADeEdL7Mn7PAMSPdd6xC3uaBmDkIhzsob0Z2NPS8v85kHc4jgyUV3G3e
bzrB1+j5VeZnGVX1jH3cKmaEZp1OL8mM6CzG7EXXgmQWszO3WbRJa2N+zmRBAa2rTk3uTCL6NfK1
LS0uFwprB6zY7JV2rdV8IY0bjUL/CPhVknAL0J5SYxI2cw+vBvR7SPb9vBjdB2WerY0VIKwnWbAO
1obYzldN3cefFStvriyjMVZxqkuWnTZqeJstPUqlKTHPCnyal7kQ9KIXNIspO/CLrtqGstQhH4/k
+DFJG/l2tLC2omrsgKoMuRilG1HJW8MWzNKPtxXCy3GXGZE6vOiDGbxYTJPWwHx9YL1hAZ3SopvT
CA0acgFWW2JGzadQkcr6VAmMrfS5/V52/GflUqif31+5VvSTn6Pm+XeaaH75x8IFHwqkBJw+SEw6
VSxL0F+aaOUPwFDoiJnssTgt7rAfC5fxBx0zREXWz99qiq4N//u/FFI1LEVchhEIrEFL/aOFa9l6
f26FC6oCl7LK6kfMFdom8ezUoKWiaMZ+PZ/m9qEyfbv7cYf8yypx+Qs/r2BqIn9VNAGME8vMuqie
bf4QbfRyLBXp1IwCGp6VlhLmq5Hnt3nzBVx+/4u/yJs+uM7ZEYvMxxLokoaVDYiCVO8H4+v7Fzif
nP7tnZzVkwFWJJmhnnSSR8Pu1TsDJwo0P0sgQqT38Pg5Tf9YdpsuumwL35aiFxbVgLTR4qrNQVGB
FCDbVgtgFKEBUq+6+GbIQhIOsw8+isUJ/e5nvhTubzYjJRJ88gaXz0LxWG7xED10Pe4bST0N8JgJ
drej6ZshYPbj/5p69EGFBaPs7y+AmD5NF/n62RLPKqzcZKTYi8Z0wm3KpEGy6nSfwENDfFRC33Ys
cGDw0U1zV4+NrXXDtZQOOiteAeVJFGbmVBXK1ZIx4KoNFoVFi7MqzT7JmbIbfLFBWSnE0t2oZPFa
SSzkPr7JEDqOvRrRQon4G3D0SmonFNHTOpxPvR55WUBJR5ZLp8/rerQuM/kSQOrKB6YNAiVobiFm
HRTCLmuilntwjfIA0p6BmsHYcYpLNyFdsmTgo2NKmauaD1FyOqDkhph5y5yl+tQgAJsE0CdDjv5D
vYrjQzxm6x46412mpXapMPUqrNtW1V1C53F2MznVokCFq1mZrmhisCmS9LGlqZ9lc21bDNyXINcP
DqRnNfnfHnz17HEZIquJ27GZT+Ja2fjbed8+KGvw3ycmbPt2w6TQM13LQajHAXKXUZiPj8I2WbVr
ca0folX8waB1eXjeWybOjq9qmnZGttyyRbJFsIbereYouSIw9f2n+Hd35tvl6GzBM6NsTkMU3Sch
t9Pb8Wu1RDg7eDapR96/0pnc8vvK9/YhOC8Jef+1YkXyKcRRcgmKvhuB3xHUTVnhBCfoH+9f8Ne1
/M/rQSBYGKBUyedRf8wDRsNIFfk0wNnK5y+98EH356wV87oASm8ucPbZ4ZugGgtk+dT07uLPHQQH
i8UH7+Kji5ytstZo6TO5dPLJ6i/matfqt7L++f0P6ndb0tv3cbY8TuzVNZHp8mkZlo8pHlr92oqP
Fi3y1wv9u6ujQ8Rsvim+tf97+cvPRTnVURC2/+fXfzbf/x28FO5T+/TLP0iWxhxw1b3U0/VLw/T7
hwx5+S//X3/4J+XylrTo//6vp6/kW+JZauvouZWpZs4TwPha3i+PdsVTRZ7t73/1r+JIJPaHzh7h
XKYqvTrd/yqOpD+WcRMHOmpYFXDHz+LI/EPBXSYjxoatrL3azH4WR6op/fnHFgXPPyF6fOen/lyU
WCQXxQdJsJqoKgtS7GwbIyo2G0d1qk+TQBZXSbagxLaU52YMozDMT5HKUhga4ZF5+JqDgnZVgcDh
oCVeK756ndTdSyGi0BjHkDCQ/iI0pBWz1z2qY0foiQ/Ipb2ZS+4sAwnr1RESmLKnvYrIpcuORK6t
/MDYN6GwKibhSo/DO2PKHzTgD6ZfgZFAFM30n4CrbYKAJhSExSupbDUzvCfxwhFU8WpK0mNHaA2p
IMfR6PFm6SMWiJmDDwqAKLjTEPoKvCMvrYcvVtQefNzAba18VgL4IG27y3191SrWRa9WRz8Mj1aB
yXhWnSAsjx2YdqUgvGeUH5hbb0JCN6xpsoWkOMVSfKQq8/oO8lYzu6HYP1pRcxmG3SEYJqfH+q1C
vyd25FjLmFqtbw05Kl4GEp8gk243W+aTT0R5pKsPcdxvhcZye625DoMZv2eMZmO29bK+mZoJruAY
nQLN2CQGeTaxfqc12WaemuvMbL/k8ngUzPxI/tm+17MNife7rJ42XQXoMii/GXF5pIghXsDaKoF6
bYSIP4EFbFqDrqaaDghKDMGWJpwqfvKkFOq1VepOGKGgZds6dUK7D2SEQUG/rckVJ0HiOrbGrST6
96gpMf0pnp5Hkl2RxOAvmR+hL1bOYkqJzHQg7aUilmbqfLeI9CejxyNYVuPaLDUiBsYSlxIG8WwY
v+RU8QG8LPgwXjNZAziWxqzjDRlz4bYtADCe1HkeCY8iJENZE8wLdVHC7dePzZYYA3FdVF26HCav
k6Itd7mOgrWpiHhAPKscwP33bj9JIBJHQF7AYmRwWXN8LUsyuXQilVobbOIcihq4VvLuI2l2cnme
HSnv0OuURuW1phg7nYEGgiQljfiU6SZSp8qFvYQYVtGT1dyRzU0ZBWUgaO7MuhW9RKdgi1P5KjIn
MMkxdgAfUr8g3wqy/1yYigsm7zTL2kqtk2PVJIObIDNSU/8FJOUBz/CDgLErPtQdYmf+W3gCZYeu
XQ+8KCuu5CK7HzpEbmXftKDWiG/BUITAuVS/BGRT2WKdE2HdVJ3bqNYReAL5HGP8FT00uSNqlzl9
Dwwykc2XoLQ+55N8p2n6C68f938hNs40KamrlCjasS6XrpYjIoJgS2ezlDZlWruKGZ36MNtBmLxX
x+lbZ4i72DJ3ahEiXhXIkQnC+2gmSSJLqyM4mGqV9XAK5E7QD0Xqw48PET0CDPXksFfcTsXEQPrl
p4EsPrepsq9CYcIQHYclxyTIV3Eybn0hXcciTi5r7kFngBQlA+IUicYXjNNfRrWv7XrMuG8NfaPo
+KaMMIW7CklIrojzKTFmV4q89gv5U0taC3IjzJ4NPNkA5VmnR5+mAO6eJajPkY9CT4fbYXXtF6Gr
3UYmx2/0RcLS/AclgCw6QZWd5Q4tFXkhSocgWm3rzp7r8jbEJ+mKMYHbxGmB3PH9TwpYBwyzvsH9
payAEENMtAYe0SiZGNjyWNaDSYKEonzLRKB1vR8sgD5K8iSij59VW4J5dF5bvyvN5jRmOPKnuUO8
pGyHUAQZ1t/norhrB5OgKcGy7EiYMDGK4z4JxZshaC+0PLyVJkO0yW1z8zrubVMdFFcfhX0ExpUk
xuSuDlUc7Dg73dQo0+4mDJN8VQ9NEDpC4WOGBA3oCAQub9UWC3zaq3YuongmRwylbF5GKAezYjV2
MrDHCSRTAyVIGtMrptV/Hsr+3cXI+qU4PmUvza/Fx//XtQj12/u1yL6Lmv91+hI15e+aNfz6j3oE
hxj2K0igliyalrk0K97UIwoZp1QelkgU/WIe+9GsIaPQ4ndMfmCCm7D4rR/1iPoH4YX8GpXKn2Cy
H6XZny0Nqrp/2Ur5tcBfyhGCC/kfVebv4QA9O1DUsqI1dLmDE+kmdiNfROpHkjZyI349hyFqMxWT
P0SsNk2r157U29ZBJhWiVaboFIgf28LmslYj6S/1ysjGw6gA5SCmfGrW3L+k6wglRnCpNbUbmYzB
AiqWpR+M2rCwgAR+dehqwaycrFP06qDrgjiiRiWa0BVLCet6M4heUQ4iVocwyzziS8T1SIt7XRPJ
5A3okdY8X+x0xcAhXy+hsfT6ZUxy6boEVO12RVCvI4jGxLDUBb6MPCNC4iav5/BbRsd6pXwPQDEh
ueCTeQ1GsVL+5Umliok+VDNRuWlfk1TYb6urFnRFHVWMgnDbIEkNPymldBGOIVKflBUoseDr9NUa
q/5+6HQcDK1w7ML+XkuU28pqbmpirYK8v9e1LKetUhVQkNV9VateoFZ74sO2EjnSpM1hwwlG/WJA
FE6NiSAvKABo0vQX2TNmbCfYfR/LOCZaLTVIJSyqEyadeMM+v+9GJpZ6Ml2EpWKgwMNvYaYSRJUi
RY5ueROGdRtkOdREVcEjN47aGsjTfFFN5UXvC+sxSzatEAXrLNVqN1JmkN4l4PbogDSVhpFCHCHF
3Xqe661fR9ehVrGP5FruBqhm65neVtBI27wZa68OcdrU7UWogN4QJlF/nvqE/bBGoirK+mosuVVH
KfJUZg4UHrmb9f52LKvDgPzOlmI2pQSoGhahPraDWLvR1Kmw8WKQO5fj9sh9C56Sr8I7m9pDpfeC
A0NhS0TWtC5S8UXVu68SkWFrFKzZhWKROW2HiRZdlbmZ4XRWI434LEy4hiTsLHh4axDez4kQbmdd
OOKmuWuBsaWhr9smoEs/MZ1OYXydmVd9DksyhutU+x7ySSfTQbgTdLc2h1Z2K4UPXsuNTSP2D9LC
4iyRzIOi/swk51CIrWJH9bijw3o580d7CY82BM5ZlYAwCU9yA/deGLeFOu8VX9hYxv3ofy7MeUfa
lrnS4sCrDe2uAgq8bNY91UzXmi3wgATD4nQZ+LHkKHKCcimxHmGCPiqgNEgRlvaWmgdIkU9VuMFO
GjrhDGtGm6uVEQq3uD3uVPScY0BDQguDS7UH6wBYipFBTxoj7RfOZKk999J9KYS3ppndCSVq83xY
LbWybIy7yhJ24yjCtIr1XRVb61RP2VqNxsUqAWGgU9trdYh3vL9FLvqZ3R5bgkLjlyTRcCUrZXwE
Q59skPzLj8VgGp8as4ALPk6Tf5ctDrPRNzA9jakEhcrH/Ra1oVt996SBdyGPHbaqjIdgWLxrfalF
x06d4Wakr+a27tXoFrya3qrF/2YuTrh58cSFmn4vUJ14PXY5PyzBDi8Oula1Gm5mDAn94q/DlRQ4
gaxdt6KIWaHChRf0+PEkjHnkm91ki1MvHoqSAg/3XoKNT8fNxzfvVp0wu8bi9DM52Rz8xf03zuz0
iV58UYM4hpg74RHELDio2q24uAebeErWAYbCeHEWTovFsC2+dFgOY6yHZixjAsGMCAz2UcGciEeF
QV2MX6v9ZtTDKdXoYga4DWzYto9y3K1CjI4cGe3u1fkogSL0B6LR2yYH7AO2ocEoOU2RQ3KhF1fy
14wMWc4cEHny/rEHzqUtSvY56j43rboqMWFWyUDsg/EgYc7UOg6hi1sTFdPNmE77HBtnW0HjEIb4
IQinbYTRsx/HQ4/xM1gcoGKqX7dYQjWsoSMW0SJWHRPL6IB1VBrIzzKI4+1VTjcj9lK+DS/Hbjov
vlMLAyqtUgBkiye1xZyKShnQ5OJXjfFQSouDtVm8rEFu3MJb3rWKTgJCJD6yE3Bio50oQOKmIGw3
RRw8aItHFhjBRsM0y3IDS2okU5N3n4XGnjDXTY3NVmq1R6vsSb8unNJMTgp2XJAGdrP4czM5eRJM
wdWGaNORMmpXnf8kYulVCdKIFo8v452dium3Wdy/sdrsYuzAtaZ/9rEH95zw1ba/8cmGBVczr5rF
SZxF4aWItdhfPMYTZmNRjelzYz+2sCFX2JGR20FcwqDcL05lc/EsYygDPCeT7xl91v3iQlzczfLi
c84zUcIKrA6XkHfQeC9+6ARjdC6G+E1F8yQunukhr6oF9A8Rf3FUQ7d7jhaPdbW4rYdS535ZHNgT
HCdbWVzZ4+LPll+t2sMkH1AH+9/e1Gd/lj1vJzlnHcAln0ldDFhUIdCyJP2sFSwlmpRluS8c4/gO
WnlifVG19f/sEkul9WZAMnEX60nHJcSKDEpO8OVpjD/olp51Gf98G/oibCbhRTv388tyNxEnEAUn
EWeXaTBhI1jvFsfq+29lkRD97FEtalsLZwDG/iXQaNE//PpWgiKeFCPpEXjBFKk4dzaESwrVXade
Dj05lw0HH+27tP0/RwmFT/f9o8ThCXj0b5qa/OKPQ8SSCGRKtA3pGJqiujg5/zpEgByWoe5phgUN
/JVA8eMQYfyBHEXGA7oMzTROET8PEcYyJmaIxn30b5n4YmIz4VwYwDDkc6EK/qyuyvRpOInFZR2o
Hk6+f3ZHMibgEELPVOMdwplQz9rrcPsSpTMw1TdqzMJ+L4gni7xUdSP53JKQlrw3X8Jv1gv5XHH+
tyvy2b19nGUoRRGrVEcoId4Sc1po/VNTyJldBEWDi7Ywd32rlTiDNN9u9JUeA9KsfOyXXpu17IFB
rn8eGWBvdQXqzFSR4i01hWIrZrjXCliippw4ZS1+7YXkmzUKn0hRviwkWcXRpMaw/PFQ53gVQUyE
MJtYQe0MDABh0Pq6mdJopeF5WAUcktb+NGLlGyMCf2sKMyjGpHHKEdhe0ym76NqkUYxXorCNqN8L
lc+3FEd25psL76Z11Qn3JdZgn2giqgJlUxTSZR+yUeDoy0VoWkkcXBQWrnpFuKuhPNp9/rmflcvR
CDc9eS6e1DbrqAWOWZq7MNJGO9SLYcVhriENajrgAZtvjBYtEfIhxDM3BcDEjc7YNib6d1ORp95e
za9z3C6rx+KUMp5sOU4egaQi/gH94HLmq2DlmHsd3jRx0HvgV9sxgT1t+Zhhk+M06w9SSnbRIkwh
8VVZ1XL0rGri1xTGpzdo6mEs1Z0vK26flPvWHzxS7beTEl2Kc+XkPvvsOO2Hadx3Zl247ZyJTqAN
F00vPlQEUakqgLMsn++0lBGrn03JMeryyzxpCeEBoTwnO7FIDHsEfMARBJJqNZrk8vSJCDUi9ZrY
uIOwDf5KEIOVnJVkWXRDC8JQBotLDsU+nQqssaZ8kWZ0CoeTGprXTVfjRYUCTlg0VhFydf00uuxy
4Wboc3zBfC3FQjmMLJhE7VcjhCQk6fGVTPav1WUdNg2JzO5lODxdtV3Bco6cQR/U9VD3KxEkdMuW
nEmiWxTFzZyrl5lfVc4wwshq06S/HqfwWvelbU2Ohlman9Qkd3AB17dY9xhDRvW3XOm5myz4jBAF
ZgbfpFdyROpfxCG4yEnUrlSJ/FbDIoU91h1FiTjoD2QCBJdh1B9ULSZGJ1uPoualmAW70b9omoLa
BrTD3C4B2Uf2LFeGzcRCcTVBRgP9RvNYUf1VZSn3at2QfEygZJUAjcu1dNokAwFWdZoTMotAXpmE
XdLMtwinQnLtWhqyxU3cQ5qN2dE6n/FpZ8pPVhc/xYZ5KKoUkkdM1NfQ1BN26SEDy92bm9dl5j+b
nkoP6N1ND76Sk/6ersSv/rXtSX/QNJPQUy7SWg6bv2x7oI1U2Pga6CV50UD93PbQdOqLnkl9ZWRT
vvzonen0zui0wWTiPmFe+4+C8NSzcfzSPRORWolQszWNqy0v4u0mYUiBlKa1VpxkEwCGvCD8pGHp
OcN2tuUxkPBDJ6sU4l+e5egr6bU8ZtAAORavTGBiBZRAA8lerAmnWQAgy2iHgGij2KcLWpBH636C
NWhapeiaDedpU2i9Hh7h9zztFuP7K6awiI2rMSDJwq7nuBSBFelEDJsa3TBpFI8kqPUAzNR+Hfoh
SSUai1IutiHxetBS4rrE5T+5kklytV9woha1YtPpQ+YKPpEVDBCJUwdjq0OSdcOxHd2+F+96qXWN
ePIGGTNua6kYmUU64lqtPeu8T6fM+LuVRV4z3NjXMQIqoTx+tiLGPJNfgPDJOF6mE22TXPW3acnK
wHDUK3JBXIs43i80TRj2fgTd3+8zTJ51fBdVAO2FtMUrB8eoAFerLazdYYbWpne3tNpgiCTV3dLS
LCsJaJ4y7NWR9B+l8pf2f965uYDfe1AZl1k1n2lSdYeyjIkKnIp0BR5mTZTBjvDT+yzuGeIv6qYB
Xc0MdcBQiG6bkuhrz2wryOfjLGc9sylVgRlbf0pbCI1dsSSVlfsuNEmxE2WEGUnnCDMj1iJBG9UU
HMHKNlbcVNa3catfJf6Ef3poBleeA69SM3M1CMVzJRPrzYiMqBfI2ZWwLsSMhLjoRFlyoSgcc9HA
X1Q994zfNZdVpLe2STi4I9Jw8NQFJEXXpom7dVUpB0MLGcJaheBUfVyQU4CfvRTWdSygIymaw0y2
BN8eLZPO1K85Sh1o2hZePeH9UTMVk3tCtqlSzJGdqi2Ck0QkT3Wgj4XKaSRdbtXH+SFQ/c9T1U+r
VDDXAa1lV2vFe7UifEKpgEGQ8jtVrQ7VILgKaCxJ4zLjHBnAWV9rfYA32jd8ho2+DSqmm8y/923X
nCJAA8JVURjp/DKNabIxmDFZSXkP4rsCmU6w3DK1yyFt7OLWeiwS8brV6q9mOTk1idnlHKyox9yy
GXZWK6xqUb4o0vAYFcVujJtjXqSXfQ6fCPxCx37cDVvd177Rz+uoxAZFXUcdZnW4y/18I+vzIaio
bCQwMqtgqXYGRee66pq53HpY6iHQUXC0lctae2yWeinrrLucnRrQzUUt1xRfrcbUSLGDcr7sZpnR
JkOmSeuuWOwYRLWuTIQcTQbMTz4Fm9K0e1TsdH9p2BWUdIZkOP4U3MwlJCd9qfrCpf6TazLl1MzI
11YgUQAtdaJCwQj4I9hUSw0pL9VksdSVQsedk5fMZvOl6swoP03KUEPNvxWUpdlSn6oUqjNZIpqU
LHBpalhtqWbF2jdsZtxfTITUe7I/D4Shs0yI4mVWAHolNkk6AWt+Uciq9MR5eOkagBWZPl5DqAdm
lvef6fasKlX8NEXGwUyrFRwMmDxUzHRxGhVEdPCQo11mLMsebk7M40hNL+tLK0ovRACq81LGaJV/
jAkYciM92RSEXe4MQbszmXtzZVBKlnoriZoMX6kA+A1nBJZqPHqVIB9GHoNLo7CuKUg3Y6pGQFex
9htEoctljKOkUGRbM1qobVBW26RRHSuqnsKKtKt2gjlA3rOHPvxbYD1HpXHdtMp1wmfCPiA5cpCn
VE/mZdbKKzEU+BZ7wBZMH2vMegOhIn28Diu6RlGccrJoSVjkz5kmuUCaFuxSLTiG8DCRbUf9hSpI
uccXOm00ACVjjik+KxHvF5Hkdma+IRWeHjPtmO1Y/F/2zqu5jSTLwn+lY9+LUd487EYsPL0TJVEv
FRBJlfe+fv1+SZBqGkjdvWDEYiMa8zAzpJhAJTKvPfccBJ4kUNrIc9E9AuJufYP9NTjEHE+8ntai
p/cLyS+u1cBdAosqAV2YDYpmVAkdr7qDegndM2goSsMCEF8UzF/RAwUvcN0Y/YkuV+FU0oplg7Kl
EeVnFCzjw1zpzr26v5KHbA610UDNxzrOCmeFGmQHidnQLLpGfYgcet+VZV1SFAvno+C5/TeeIvUF
KwRe6i/jKWRj3lcRxF++CKcM5ggMoOFEQHT+XoVTmgJ1NG9mM/ApxIP/DKdI80RRCP1paghiZO9F
OEUQpNoYG5no6J/hxkHCvao7PYZTwNapBxLTAYR6qyvsuBJ0Kbadn6dgRRbohpaQEcbqLO7TL0Gp
2XO6hgrFqBImt8iioWDUh4Wh/GhxjJMsSbqjDq0kpESgu6rlZuVl3hz2EAj8SvLuLIVxRTDQh1b4
vXNLKKhRKSKThbs1rtt0btHzYZ55cC6gk7wxSniKi04bOObjCdO8N8A6sqkcfHFD7RNuOD23BCNz
JriZG8HSLNOUOkogbnZ1VCMix7nEG/cTOvEPUGY3C0/lMqTcCqo8x2HeDwu5T+dS1V8RqCCAykWi
JXjWcrPo7S0NcdVa7lxilde+uITlkJ1W4lp6tbaMZMdHNq26G8TVRQmlnVviOmvcazQNr3VnWPji
wjt6OanKMjhssQWK4lukdh1TtULCYWQ07dF29GiCCGvSQzUzi0vm/KGNch8tjrA9lrBCcQCLdIJh
QuD0yBGWKsRkjZiuUNiwQFgzTNKyE/atEJZOEjZPEdavGbVFgznUhF2EOgiiN9E8wGQC8bnKqnsV
Q2qxXCMsayBsrK9Uax+W7Gkl7K+OIQ6FRabTo4DCgTdcWOtB2G0TA25jyGkgZxdFopwWwsbLwtoH
wu5TBlOXo6p+0oVPiFpnZuMk0FR3joiFwHfhP0wciSw8Cmq/CxcXU2X1RYfLqWM0BnBBmfBFihF8
cYR3SoWfcoXHcnBdIy5sKIavgIIWhAjfdOHjEq29IpghGcf98c49YhrxQys8Yyp8ZKEMUIjiNV3c
pyP8aKuV3xXhWSFOVYHEUEDypcSaFxZDRvMhrQpcKfx3FJzAjuRnXitZR7koR/WPlSnrsUql5eDR
acYT/NjdUWtoyCdaizLvV2KoZzC0bqa55a2jQ8MMlyX1pJy3AHYEvGlVdkxdNwZbbHvuUkr88UbL
M2Wiq4D/tNy6tgvzuFaGh9gvohl19avY9b1jc2znY4IooQ9UzgkZ4jZpZUJhdR+OuQOOzLoHSOxR
+4JQ3GidCnrs6hJ2Rra4PHWp6szoOuVHmUVQC0USstE0uDMgga5nwzjfD/xFj1I1hB7DIlTcH3Hu
XsAy2Mz0pJbBQTVI+zZgrt0xPi7UVJ6PslmsvAZiTHgxLTc96kKVoSwYT0MERCamWdcnvi7BEctY
w4Msu9GnTNZzuENtulxK7NPJ+Nc7bbwTvY7feKfgodxKo8xf/fRMMmq5DGOi2mA8wW9/1reVA/Js
kLnwtzDvI2oAz57JOWAG07YoATBppL0CyTgH1LWpSVvUQOljkJm/AcX8DiQDXfNbz0Q3BLCphWOC
T5mxpteJ/qj5ia9mgXwOWodQLhlBqijfMu8eac4RXd5JiSpnIOQ5g85RT7qcn5eqdW6i4dkU+YI2
8VWMtic6r4AOJNSdI/9rWhrLAuunpfZp7pB9VdatYuqMSaIXOqIbWht0rAm/YGP1mpu8Tz8x44JI
gyPH06Ig/5aD/NZFidREkdRAUSVBoXT0sTgolqq6BE4GDVPfIHYUoqbRGKwqKvWTEL1TxbNWnRBA
hQ5NlHFvIZ6/GVFIdVBKhaI6mURop0pdCl998xl2UehuUVctHWkxorYaONQ5ebJl7qDS2zkInwe1
OdFcG0Yx1FprwJ5IJtk0UPWlhZ5rWbX2ZEDhtejUnvR3sA5HIf/aufpxKMc0NDtpZXYB/gIKJeYz
wWLo8NQ8qsiaV13eXA0obt/E6MzGQnDWLOwjz5e/yIlxbIvpx1zuT70oN8CAwtdsoFtbt1I47VGy
1VG0RfIvYzbJOBqUe2Ag3zyUbwdKJPAdovMy2h3syjAAxqTKMXq5mhDOpQ138zgL28mI6koUG2sh
szt0rYm3H1ZhNSxhkpvnKPI2FXvmeYj0dhvB3gi8UHlW97Xiz10rzJa1QaoIHCIYgGzkcn2Y2ZRc
asuh9qLWdPGLTC4hjX2U6aoeJbvitugoERhqPTMfRb36R4GvRM3giYx1UgByiGmuO5D1F3gH9MFS
IRRG4UadaTpyUPRt+V8dsIaxuoP+mCQmKn6IIAxyFZJxIUJmCTkyz4CbdMyHY0uzziRftae1mrMG
U76Z5H+Ne/02tZE3a/v2Gk+BfJiQPtML4z5EC00d+oexplTaopLmmSifaYgowC9GfQVYWSkk1UIh
rqYb7UX/KLfmRCvdL2/tyKgXaDXEcwNttqEm58l14EZI7dxTCRdiKl3PyamdWSrk3WQh9BZ70pl3
G7ezFAW4FFitjiicgTicSsWDeO3YTNNlmOWXrRbS10dOLteZPzYRmAOXM0ELkhhLNr+4QrHS4Cc2
zHreWFwGiNQNulSddNVtahiAwAcpO2a8egxmLNULPd+ZRLsCBwLqWfLh0i17RAU6k7K+X1w1Q+Yd
Rr5/PJrpGUjUoz7Nf5jEYGgKt8wqguYv7/71Kxu/QoLwO79SRcGQNVtyHv7up2dRUD6EBJe8hnFR
ZlNf5DzaAbOzoCs33kMkNk+eRafdKsNrKZvw15kOo/A/cx6UFB1RbgYyqcuiKG39E8+iPHIB/dlr
J+fRScRwYYLr3+SjkHi9LCFDuwz0pjSzi76UrUXa6h0aZzrsFXq38i3QzO2ANHYjd/geEsVjOU6U
dGIGVnQYY/a+BolbnZLXkVhrWnEdNqa+go+/OusiN7/Pa0GTHmOe/NgaCM8VEDo5nSWyJEXqL6oy
qc+LEC5VSTbhsXdVw4ZzVolnY+qmZ5GXO/e25F9RczPOPQW8m+r53XJEjfamtgeDK0hy0qlGc1pX
vsXMSMrIuNVI0UIxhuwzlK20rbRKfYA7O/5qyHG68gyGLtLcrdat5shzX7aR1C6dbmmFXXkM9jG/
7IggY1RQKK55+axFNQVtFSnV27sMHLR+rKTuOMD0nEUNtN91Iz3onhP6Zyh6NAVGvkrLc8vPAT57
Su9f+6FDC7drIIIea+pC3ZmN6h8YSE8nQ0KnDrgYo3stnNozQ/Xi4NiUUpBfyNcO38NWLVAlQqMI
7vP+1uxibQ3fgpGB5jTTBdUTXErDTELdZeNaNAoYNVQDGdZM/ErgKc7SzVvvOycpmMrpOK7dyh8f
zKD/WkrFIvWCI8kiSUkUs512BnIoUt5BZW0rzbCMQI0dM/g6nERZzxAAXMUklEkGIjHovADS11qj
yt4mOZ2A4otuBeSQjnKjRSD1cgkkii937cRgJAKVyMq8tv08Oayl2rnJ5cI8Q1lXnuFNHJmqlZF9
cisZHHcbO98lq5OOtBiegLxPzlHvlWZl3YKKl0hY511cFPWsdwMmXaSsOhxyN0XV0mYkRB7Nbx4i
2LPRscKb3o3gfg318BQ6pPAWDv5s2o0CLhaN2e3Y9NIxhxf0vpV257S83a/2mHQ3aViSCmY9Leyg
zy/8FnHtFFaOeJbqeluBmNKZAoJKoZ5XvVHN6JV3MGAwzLJSW/XBgTQamcYjq++0S8oINjJvmak8
5Fk+LgrROHTyypyA1Df+jfGVjS3+/XReRsq63mKJ+aufllg9gBWFIJoY33oMyf/EsGjIZmuUpcQ0
/+OM3bMl1uwDMgIdawtFN5fnpVSKfcAgHyYd+44NlTGd/yDGZ6bvVYz/OOsKMSXmGP4EzUYx5bUl
pruBWIIcyueAyICUGjYNFk0zm7sybOatzsWTEzdaMQefglpwPrt160/ckiEegBjf6yS+tgBn0bBR
Z01dy/Sagu9oHBxWbXGCjBkCCKhoUtoA/2e2NaxjyrfO6r1lpXbVcVIUh0XLPRiDc62WDhPfOWV8
Y6KUFZ1pF5LddhjBb1T2Kg2onWKpLNRd687Mppk0XjDu5ApW+ysG4hmJsySioJRJPUmBrl76JPn0
ddw2ZP45CMB1msdx+DUOhm+dx1BMaIRXVQkJa1lUU5DPx4lcUCYb0+WQZeqpnOvnPu2Viawg+g3k
pU2bY7ty73OnOw4YpVUHM7rUeyZyvNQFhV3D/61Kt+TVcyI4ZU3dCvm5yJ6NVfk5UOV7zwJU1uVa
MaWGftNb0n0jdLKz2FlFkX06xJ4/V3gGV45OgzFfVyEE/60bBXNE82BoVwvw54ZL7cqHWh44Mfbn
HBjSN0Cn5B2WetLbxbLWIybOwP1NWsTH7coD8GicRyr9TKMbV02nQFs5Op9D01k0nXHatf5Srm3G
1+zwEqgjWrxpf2JXI8GgDeetm38NfEOb4hCI1Z3oc1HhUqOo/mqM3XFnMr1fV8mPzC5PVUXzTvyI
UplPkJ7WJlIaDRTPtbqqXGLPqvA+qXF5KOdU222rdo46s8nnkNTcp5517bnDErncfk4z5WjI1Efg
zUOv5yKqBGlUf+FnqzSjJqi3Nu0cFVCrH9YXaRXGJ06ffDJPMiWKJ47FDBXV3BnquP7MaqofpIir
0CqXZlv4UxgQvAX/8FRpinmeNclEjtp2AsfYtdKWy9CIbvVBoZUEf0xuG8cAWJxpnUF9naYJZBP+
sGBybqHX0A+OUNwMYsoRIKZNrlmS08YQ+yeCanfQlqqXHUeGjhoe+JTIKS/1qDsKfWiC/RIaL/TN
gaIc19R0wfQH1nDXeFn5xYcNEsIdh4EGM0utKzWH0s+b2GUiXcokzVdQkRPCK33AQKm8AISPULPq
/oi8/sE1HBk2/3iayoV1ZKX958osv9cRIUKeZZeWh+yLH10q1F2BpBtTDbB73sP8o1ntLIjlcmHD
xAwHvc7DMc1gUZfS+nCV1b0+910iNSe2xmnYViSfQTKrmWLVzGHdm0D5+/6b7dpz2Rlu+KLByobS
4RBIJ2nhL/1IOkxpz5qRMvXCeOZI7ipEwCiyEQHuAWUN+nik5fUXpShBlzPdokKZ3Sa4MS3AnQYF
HahIBSttLTvwTkme8IV8rstwOfTNAizStEUPDcoObxKlFqoW1cwPnK9JCN93Vfqg2x0mhIuASZzE
ZGAuooVUyGeIRN9V4IJkVOOG3mJ+VndmjCCewlV+2JVEGomK3K/adXy3yPhIEJNU5V1TtucUMmdV
qH+SAw8M91CejBFDJjqlBz3iFsqMKRQoJS+USL42GvcBERJOZ0ssAvUR063tioJEP5UKwF5acuHK
tHR9EO5hQE3eDlCD1pvTzkqPe4lBvSRCStyzEQBAttq0V1SJKY7LS8dqLgKz/SKr+aFLn8uEMGQe
hTH2r08lVAKyKw1liWkwlue6TCLvhSsxFZgH7Zlrjp8KUSJQ60tXbY7KogVWT+2lJz8fR3VhmuVc
k5RD5KvbWYV4MVZYWzhGfUxUt7CJTqcOlcMil79DtYt8jdp80xjGnRIea4fAoS8UMRHqeZfKaJ84
9tBOx1EKFubYHclmNLUyCrII5VDGkQIxNWw0CD/3F1osLaJ4uFAd+wdywoCwc2ZgCXxKW1oEAXxZ
nVSfD3V+UVv2TR+gFpQYjPn2ieHM+1CNv0bosaMl1f4Iq4bZI/lz3KRUFbIT3wHjBcz7ig70TAXI
ZXhonjRKfub30OqF402kqIyktNFnLPC8So3LUnJRxZKdW8ksv/RFfwzfTD6pmsSiPEzNQPGPVaYx
/Z58AfCXXgtIhD4cugVlYRBfBdp66A9Hn9tY6qggS6mykMa6m9q9PY/l4FA14KnKu2Sc9Zl/r7da
MxvarEeFRlk743iulEDsCRe8mQdVfQ/ghRng4odVtxEsXvBTBhbmEkDkjIbGlyxUL7JEvQKz1k3a
TEccorqj3Eh/SLSKh/PK7A9HFftVItwDciy96Qfpc95nn+KAUkSXarM8BolgA29tI4QfESIBJJeD
3mjC5rKsw2Bu0MxY6UKF0gSo0k8TRWv9v2DGVF9jv0kULZPhEgacGAskW7RE8+wFvhyiM0UfIOc6
V66TyVdj0V4UUzrqU2f96ao6Zdxhnk3rVXBiLNH1WmUL/8hgsPrUX/5bbNgEuBSWf1NsIGR7KLcE
uPzVzwCXUgOlAjFjINgEBdnTiyK2Q8QJm66Q41FF7PlnERvhYOoJdD6fkNg/26v2gUVRAL4jmLwE
ndc/CnCJY18FuOIEEXarDHnqNLw4Sm9OUKumal1IznBOQaRaQCafziv6+RHUsXA/UEQNe4Nc0pAI
Ht00P+265prq6tKwI3CYJU2TwJeNkz7tCwaYVQBclX5EkUSexoNWLVSlhoEUPZpV3xb5paqD/0Jf
DXUKlFvRA8++OiMoUMmQ71JwH/QFx8skYJLG7RgzlFBAmWgeMw123E7TrJWBxljRNMg66tm2B6aE
hhgq3OplpEnxYZuARk0AW8ulb6wkq+8nhuZWhwolCBtGitSYBnl0pSv2QxcV18w+o5rMJHspm9Jh
2Ev9kefERC21k5/LDTGsql45eO2JSzgEBr+b6Sqj+wJr4XbOqUwjlcH1eNJ77aUcjZ+TJr+hVH4c
+NU3YLDLME/4sGOnTiG+ONENUbQhphxz+350kB4bhqiY2mp7PFhZNgVoXUylBoJSHx1mB0aCiCoJ
eXq2cDG0llScghf8Ggb0pi0td6eBn5Tzzhi+j4F6RoWc/wPjQuB7MQVRrbAvKs2mZI6EPS7G5/2Y
+GmnBShmW2GkMs+WTNktZKosqlwfN8ITl+PDaFN7Maz2OO2NcsqUrU1mDRYtbaocFBFiSKUNCZXj
Eax0qv4lR2S3kTQPPG8+b3sVmoDhwUUhBXhIPVVdbz0M6Y/G8rKZFTHcWesjfXy5jgH4QIxVDubE
Mgt5Bdru0i/HtV1UkJrVDMYxampOS71iOtNERFutP4dhdtnICaSVZo74cQzgp4DpLYF6WEuXjWJC
ZOl9YdTWmdRJdeyVdTxrpYTBPJPjalc0SRHrAqM4jPLKilPsYwLVfSakH4LC+Qz54UWUgB4rKvPY
7WwK6gVSFRTp1/IwMrvUZmur10r4iKRgVknuuHJrIt+ujpAp8nQgXGrDdK0y5rNehwYMkfhry7U4
U7SpV4hvndYuaJwmjRyoREaJ1E/IpOj6MZ7v0lT82xQe6knaJ/acGbaTxFRXpm3D2uI5531aVbNY
UiEK85VD2aNkgYwYAL0ONgNULc6zXjoss5pJnC66wxN9CRPtez6gSqk3/Qz1mAeMFCQohGPQGpy1
nSHPIUdjLqBK2xNnqC60XLsPRVW8yv2VRqWrC52zXk2vgzQOCSHG2xiqAagfDY9AOAwXuUc5snYR
YswK0OV+PCGefAhH5sYG1V2ODSUYQNjmpNJFcOcF15nvgcD0gngu5dGXtMu+wDnKdFSrr0s5/Jaa
ZByopNfE424uAFenTWZ/DkvpGFW/I4bRZNosxtz08yM3MyAByRoQEQq6Ho50WxcDJcPsJCuTeNIh
KjHxPetrPaK6E3mas2pzy5lVCVR4HVCSCQhD/VyNMkbsCmMM7v91i49u0fhtb/czJE7Ntuau+LNn
v6jYB6YmuqYQszITLTgpn/0i5Aig/hlCMiDh3cw1PftF/QA5dJWCjO481nf+LMFr2oGq6KppwdbE
DJPAMf2Dwo/weq8K8CjYChAQLWaFhFB/g+HuZQhUyzJtzsYhwmCinIURCuxkUxj8JdEC41Xv38iA
kkpnco8eMg7jdQCngDEqzFDPz+TGcG5QmJXMaWLFw7gCkYX51eq00Q+ZBR2vAf7BdWsqkBTZlneb
ZyGsht7gHCuWqPRapdFf+IN2pQ1Zm83MwbOq4zYKK+1b2xemDaiiaFtgEpirFoVoEk0phsItZk4q
yPNMnWdd3AB1kRj5ngSVm36FA8WZi5KXPKvSOyPWuzNLz+NzvZFzdONyEpBF5vbaNKbHLcVCfdcK
ukw7l1sFVd42Ds/LmgHmJEchyXcuNEV+MJDyTQtvQVH5k4WRSDttaQjNX1XmKegeEsa7CyeZG31y
6A4w+mhRgqlFNTgeih++7V8xEnSmoCrcaO11LCSxOkDgt1ZEvVzoqZxKVl6CHTbMozhwSEoT8Eij
ClWdJGk/9LAC3eJCzZLWBazkLaTGQSyhU9wJTkbnrEqBXI+q3c48eHKWdWrdDIr0FfmiYoZmF9WV
uvZU+txMYHEsXNoAtP/nti6WANepRGZ5U+q11s9MO/WvKgA588bC4Tq93H/VKbCxiwzOIlAKgY0u
lcMsBFdVmDVTUhLEVi9C0m1Ta+9gChCD0LWC0UPncnCsXx+xYigLz2Ny7QzF+3VXTpRrpq4m5KRk
BunKZe5/5s1pCM3LORT6R/pCm4M8nv4l3x43+sWdAiuI7I4FY6BpMEdHiCVymRe5itEzKgSRUXbm
qt7REPv9NEL0lKxOR/XRipx50bpiOssECO3a8qlnle6RwndkRkUyHSzEIFyZaQd1/Fb3mbOoVMYI
6jpfuPb4zTKQgwxdetvu2H8p4twC9VwMU6sCUt8jQEdkCWWm4ffzQXOWMBox8g7tkA4X7Wg4q1FT
JoOqLlGEhD4LjXcojin1Jekq7PVZpgGXg2Ft3nXeiQo0iwoKuLiWWkSShEw6tMVZ1zvasvBEMUXz
bjwiXkVLTpvelild5Us54qBZToFqoRxe//4rfm1EHlGYjgnzLfbS1EzNeWNEnJFGVJ645ZncQlOK
IWDspJTTqRT4cyMDPaEXf6WRuV304MV7vvk2pZ4eXxt51VnhabeGC6cCpTlqudZKTxpGpVxCdZNg
3wKKYMSwYRl6OpyMqMYyr2KcZIH9VQ7ovQGG++FGzP4DKlYz81J2xzvDK74lHbKEBRTlm5T5/8F0
1dNH3EqV+BN4JH57kaFo/SmbvyVb/Fv/6NnpbV/oH3EvCijuq+T38YM9sj/+dp14DUtkcw+7I40a
HDK+WqSVcUbbcvNzieQWmBbtG/zVy5hq+6d+zzX5qy36wKcXH3nnp8fqOqDQYGMRLyzi601Q0RrQ
aXwp/Ib3enFC/ncP+Hc26rdfHZEbBJ+H9//5H5sGn0y/a+dNoMKhErRZ1Cx4gWV4vQnyAc1cKLt1
TMj//Sa8rOYYhvO2/vN3rgAP+OcNsA5UgxF9B0zJ44vj/urxCXZhayfMZFDw8bUPm8B39PYkqBSO
djwJ1gEjmNQobfWXW0EtzCLmlvd4KwQRxgdsBYmNzQiFtnlSPPqrUyHI/C1YNgTy5//+Tmw5DuIa
73gcyPIoi+IaxI7yemcdIebl6sBisbcuYvc7gYN0QCqDYt6+CZgHomaGbISY0V6eBCEKsONJYAAb
fmUVWZ3NJnC/Xt0GagUYR5M61976ybcFkb/jJ9i4F47CYaodL8hR2FhH8dtXEZOAH9q0m0WNYC9P
wjtSm3++CY8uwoK0Bs8rXtvsIo0SIsp9tQlCxnXH6wC6CcwRGlRPIQMx2OuTwPADw+Nwkm82afOO
+xc8KrtfCvMA+nUcof50Ht5ZBqInfoeL4KTs5aUQvEc7nwcgcpQHbfbz9UGQcQ6Pkyebk7Kvd0Le
RPabsujPFO+fJJI66aIoX6kinxKvd4ZBx3zqGgHTxh3t323QNid0h01AkQmBObDhtGofX1sMA9RR
1MadjQ/Z2/Ow+1bQBWfsy1Cf4mcRkr+7Go6woY/SQIyR7al5EKRlO5oHdLpQJCSIhDJavN4FDrgL
GVIcTYw57KeN3H0TTFARCpVl5SmLfnseRBwNpTWT7vsaPQnhkR1PAhmVIO+DtuvtbaDQBMMlh2Rf
raNgUdrt6ZnBgdRQ0ekBvn16JD2FbCb59sZ57Ok1EAOmu+2BxgkwZY0H1Te24J2HkA/4JeNLAtnO
a1/NorL5YLs4SxWyfJWeF3Hy4+vtVigGe8XgDQQXj7/f263gg+94KowDJIdEoWXzpOJbf+UsMY6i
UA0GbV+j6Cervct54Bk5C5QWf+UmVSSiDIVBk72oQ2Oo35Vgdw6j6ceg9qkCR/zFpXgUERXtGntv
HcXOm4Cj0Km3CemN7ZZBpSMhhosAV+6rp/iIAJqRC5PD8NSWeWseOQlAX0ydkv2ebsJTyr+LTdBh
kVBVDWzGJjAgDn1tGLkvBM70KTe7tLc+4iMCaLp0xIfWU/nxrY/gUsgmzcpHPkv80f4l2IJoc0dH
SYItZhEN+SmtfHseuBSGBnLFEs2KvdyEpybqLpeCM2+QOAsg3XNg9OpSsAkA4ggg96Nhu81R7n4d
YAEQ1QPoAX5hGSxGUDUZ2M2+2oSnrtkuJ8E5oNJOrc16ihbe2QQwl0CANIQz9/Q6POW7u2wCJWj0
P4kVft3AZ8jKprCwCdT3zzA+lUR32QQLJVToAckbt18HvIOYZMFPbhLPvb0UOydTVKJ1R3boOZib
rXhXbZAPKNHSz1X29Ty8Q2//8z4d1XaqCChA/wLZREYJtBu9XXlfHaW6e7FFOEqIC57vxLuehNgE
2MYccs49NY9iGm3HkMkE4bcB3f8imVIOUBqBeX1voSxPRY9dzCNftImkCuzyv9wEIfAs8Ll7ehIE
ed2OJ8E5cNBjoSXzVIInJngdN0KSRFoNWey+luC1jdva5SRoB4ysQFvyVGl7X2rDk4KEpF+9rzbB
2PkkUGChqIogFROsm9fbkwC6TWMq1hRhFa99jRa0TRFsl/NgM8oEwovZ0M1OvLsUIpwQ/6E+u9db
sXPgpIHyMsgsKTL84lSwFbIq08LZWyO5e8xAK4q4iWH9p+SabX1lJBXwwtRfwf/sq6PYPbc2CB5V
E3+IXPHTmX+1B6L+iv0E+Lm3m7B73PRYXrUMWlTvTwBShCgiP9+TfT0IOxfiwbNA6A6xFjHyr/wE
UBemMJ+QhfuXWus7O0tNP+AZRUnxF86SLMJEK1tMiD5v0n5WHnd3lqYovyo6kgGbJ317NUTlkYSK
Usy+eognWOouEQMBIg0HupS/KrUoB6LaRDKxr2G0vnOsQAQJ4B0ryHT444uz9dpFQBto40nxI3tq
Hp++nR1OgsA8Qm/OIz6D3N5vAqIYCGAK5dr9tAkbB77DJoBoAZYAQc1zLvHOJlBfEP2K/U2txcD1
bqm1gDaBzaAx9WQY32URYBdo2uMi9jWVeiqO73ISaM7ZxMZ80xubwKO+tgkyNgHRW1vMKu/ldTB2
D5lES0YBtERRcbthZGgKBIuN8fz7m/A34qqfs8dTH+3tx9Hk4KF6hHBvhk7/8h88j+a+X+AF0OVx
4vLVv/w05A+btTdwGPH//2t9j5LOLKjqMrir1cde9IvfPvemH9/p6e+fHvH9m796s+fnev7hCpWK
dXnnD4+/GJ4+6Nk6Ybb5v2P+6379FqYjGmbPPxPv/Z//8frDvrAFv189D9KH54VeDOQScP75qP/b
xZP1fVY+L/Rica7UzotPBCna8zov1saF77z2dB2vW76S6nmtF+tz3ndfP4ub6t1XSlGXxP8DFk/r
EoXTrKq3vQXR3M5vMXuI/zjLyq37j+3Zef15/McsKzk8z2u92H980s7rL8qHKt22OF5/58WX8UOa
Pq/z4oN/xHVdNcn3LL6v3y8vgM07f/TDJH8og3X8vNSfn14AZXdfPh22bLoY7Nx56eOHcsuei9bo
7ksHqbfFEIips53XPllHW2yYQKF+wNJV9bBtTz7igp5k1R//nXoP8cO2nfmIK3q6vscAP+/Di4P4
EVf0dF0G27bmI66oWDvPtll3QW2w89d6+pDeZ3fBNuslkDgfsH5593D/vNCf+y7AHbsvnvHZn9d5
sfZHXNNTVAC2LP0Rt5Sl4V99GLYs/xE39WydbznoouKw84afPbTr97GjAYPvByx+Xq4xAc8Lvfg6
P+KKXsTru22ct6JWv/O2XMRNsi24E93pnRe/Cggdq+B+y86Ixu/O61+v70pSgrTectxFJ/ED3iD9
Y/KQBlvf4COu6vVavEGZrsv7rYZM+4hLK95kFjx423bpI26tWH/BDbgLqrtt7/ER11e8x1G2Lppt
3koM+n7Id33SBNUf59+DKt/2HB9xmcVznK7rh23rf8R9Zv16/cdkXX5fb4sZRPfkI3aK95jG29/h
Yy62eIrpr5WUH0mzdkj2r/311pxQFNJ335/fKW3u/MmD38qt7bx8Fq+3RQ8CIbD7xvxOnmjnT16v
ER6M1031/En/9MNi5nv3T/877vldP/2nB3+9TblJYIN2/uSfiPEhmXte6c99EYXy3VdvsARbXLxA
gn/A4hSIkm11OVHf3nn53xMn7/ql3mbxFjsvSB53/uC3zfctkbIod//F0tvKsj9ni94Xa5/5Dbf9
2etatPgXd/HDuvyv/wEAAP//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hyperlink" Target="mailto:vipulsourabh@gmail.com" TargetMode="External"/><Relationship Id="rId12" Type="http://schemas.openxmlformats.org/officeDocument/2006/relationships/image" Target="../media/image8.png"/><Relationship Id="rId2" Type="http://schemas.openxmlformats.org/officeDocument/2006/relationships/hyperlink" Target="https://www.linkedin.com/in/vipulsourabh/" TargetMode="External"/><Relationship Id="rId1" Type="http://schemas.openxmlformats.org/officeDocument/2006/relationships/hyperlink" Target="https://github.com/vipulsourabh" TargetMode="External"/><Relationship Id="rId6" Type="http://schemas.openxmlformats.org/officeDocument/2006/relationships/image" Target="../media/image5.png"/><Relationship Id="rId11" Type="http://schemas.openxmlformats.org/officeDocument/2006/relationships/hyperlink" Target="https://github.com/vipulsourabh/sql-analytics-portfolio" TargetMode="External"/><Relationship Id="rId5" Type="http://schemas.openxmlformats.org/officeDocument/2006/relationships/hyperlink" Target="https://www.fiverr.com/s/VYjzNzB" TargetMode="Externa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hyperlink" Target="https://github.com/vipulsourabh/excel-analytics-portfolio" TargetMode="External"/><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https://chandoo.org/wp/"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95249</xdr:colOff>
      <xdr:row>0</xdr:row>
      <xdr:rowOff>0</xdr:rowOff>
    </xdr:from>
    <xdr:to>
      <xdr:col>22</xdr:col>
      <xdr:colOff>543821</xdr:colOff>
      <xdr:row>38</xdr:row>
      <xdr:rowOff>0</xdr:rowOff>
    </xdr:to>
    <xdr:sp macro="" textlink="">
      <xdr:nvSpPr>
        <xdr:cNvPr id="3" name="Rectangle 2">
          <a:extLst>
            <a:ext uri="{FF2B5EF4-FFF2-40B4-BE49-F238E27FC236}">
              <a16:creationId xmlns:a16="http://schemas.microsoft.com/office/drawing/2014/main" id="{B5993DAE-877B-6B0D-0515-1999AE08C488}"/>
            </a:ext>
          </a:extLst>
        </xdr:cNvPr>
        <xdr:cNvSpPr/>
      </xdr:nvSpPr>
      <xdr:spPr>
        <a:xfrm>
          <a:off x="2168337" y="0"/>
          <a:ext cx="11945808" cy="6813176"/>
        </a:xfrm>
        <a:prstGeom prst="rect">
          <a:avLst/>
        </a:prstGeom>
        <a:solidFill>
          <a:srgbClr val="B4DAAE"/>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130660</xdr:colOff>
      <xdr:row>38</xdr:row>
      <xdr:rowOff>0</xdr:rowOff>
    </xdr:to>
    <xdr:sp macro="" textlink="">
      <xdr:nvSpPr>
        <xdr:cNvPr id="2" name="Rectangle 1">
          <a:extLst>
            <a:ext uri="{FF2B5EF4-FFF2-40B4-BE49-F238E27FC236}">
              <a16:creationId xmlns:a16="http://schemas.microsoft.com/office/drawing/2014/main" id="{63AC8CDB-8918-A88D-EE42-0E7827EBAD73}"/>
            </a:ext>
          </a:extLst>
        </xdr:cNvPr>
        <xdr:cNvSpPr/>
      </xdr:nvSpPr>
      <xdr:spPr>
        <a:xfrm>
          <a:off x="0" y="0"/>
          <a:ext cx="2203748" cy="6813176"/>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92336</xdr:colOff>
      <xdr:row>2</xdr:row>
      <xdr:rowOff>33171</xdr:rowOff>
    </xdr:from>
    <xdr:to>
      <xdr:col>1</xdr:col>
      <xdr:colOff>986117</xdr:colOff>
      <xdr:row>4</xdr:row>
      <xdr:rowOff>63949</xdr:rowOff>
    </xdr:to>
    <xdr:sp macro="" textlink="'KPI Cards'!A6">
      <xdr:nvSpPr>
        <xdr:cNvPr id="4" name="TextBox 3">
          <a:extLst>
            <a:ext uri="{FF2B5EF4-FFF2-40B4-BE49-F238E27FC236}">
              <a16:creationId xmlns:a16="http://schemas.microsoft.com/office/drawing/2014/main" id="{27E4602A-1331-AE4F-AC95-B5F7D13902C5}"/>
            </a:ext>
          </a:extLst>
        </xdr:cNvPr>
        <xdr:cNvSpPr txBox="1"/>
      </xdr:nvSpPr>
      <xdr:spPr>
        <a:xfrm>
          <a:off x="352312" y="391759"/>
          <a:ext cx="893781"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1638B1-CE49-49E8-BF24-E209202BA02B}" type="TxLink">
            <a:rPr lang="en-US" sz="2000" b="1" i="0" u="none" strike="noStrike">
              <a:solidFill>
                <a:schemeClr val="bg1">
                  <a:lumMod val="85000"/>
                </a:schemeClr>
              </a:solidFill>
              <a:latin typeface="Aptos Narrow"/>
            </a:rPr>
            <a:pPr algn="ctr"/>
            <a:t>2,400</a:t>
          </a:fld>
          <a:endParaRPr lang="en-IN" sz="2000" b="1">
            <a:solidFill>
              <a:schemeClr val="bg1">
                <a:lumMod val="85000"/>
              </a:schemeClr>
            </a:solidFill>
          </a:endParaRPr>
        </a:p>
      </xdr:txBody>
    </xdr:sp>
    <xdr:clientData/>
  </xdr:twoCellAnchor>
  <xdr:twoCellAnchor>
    <xdr:from>
      <xdr:col>1</xdr:col>
      <xdr:colOff>92336</xdr:colOff>
      <xdr:row>6</xdr:row>
      <xdr:rowOff>45870</xdr:rowOff>
    </xdr:from>
    <xdr:to>
      <xdr:col>1</xdr:col>
      <xdr:colOff>986117</xdr:colOff>
      <xdr:row>8</xdr:row>
      <xdr:rowOff>76648</xdr:rowOff>
    </xdr:to>
    <xdr:sp macro="" textlink="'KPI Cards'!B6">
      <xdr:nvSpPr>
        <xdr:cNvPr id="5" name="TextBox 4">
          <a:extLst>
            <a:ext uri="{FF2B5EF4-FFF2-40B4-BE49-F238E27FC236}">
              <a16:creationId xmlns:a16="http://schemas.microsoft.com/office/drawing/2014/main" id="{5E5D7E53-D9C7-8EC7-AD9F-91293E56FC3F}"/>
            </a:ext>
          </a:extLst>
        </xdr:cNvPr>
        <xdr:cNvSpPr txBox="1"/>
      </xdr:nvSpPr>
      <xdr:spPr>
        <a:xfrm>
          <a:off x="352312" y="1121635"/>
          <a:ext cx="893781"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368980-95DB-475E-8113-543708FEB589}" type="TxLink">
            <a:rPr lang="en-US" sz="2000" b="1" i="0" u="none" strike="noStrike">
              <a:solidFill>
                <a:schemeClr val="bg1">
                  <a:lumMod val="85000"/>
                </a:schemeClr>
              </a:solidFill>
              <a:latin typeface="Aptos Narrow"/>
              <a:ea typeface="+mn-ea"/>
              <a:cs typeface="+mn-cs"/>
            </a:rPr>
            <a:pPr marL="0" indent="0" algn="ctr"/>
            <a:t>11,997</a:t>
          </a:fld>
          <a:endParaRPr lang="en-IN" sz="2000" b="1" i="0" u="none" strike="noStrike">
            <a:solidFill>
              <a:schemeClr val="bg1">
                <a:lumMod val="85000"/>
              </a:schemeClr>
            </a:solidFill>
            <a:latin typeface="Aptos Narrow"/>
            <a:ea typeface="+mn-ea"/>
            <a:cs typeface="+mn-cs"/>
          </a:endParaRPr>
        </a:p>
      </xdr:txBody>
    </xdr:sp>
    <xdr:clientData/>
  </xdr:twoCellAnchor>
  <xdr:twoCellAnchor>
    <xdr:from>
      <xdr:col>1</xdr:col>
      <xdr:colOff>92336</xdr:colOff>
      <xdr:row>10</xdr:row>
      <xdr:rowOff>35711</xdr:rowOff>
    </xdr:from>
    <xdr:to>
      <xdr:col>1</xdr:col>
      <xdr:colOff>1139595</xdr:colOff>
      <xdr:row>12</xdr:row>
      <xdr:rowOff>66489</xdr:rowOff>
    </xdr:to>
    <xdr:sp macro="" textlink="'KPI Cards'!C6">
      <xdr:nvSpPr>
        <xdr:cNvPr id="6" name="TextBox 5">
          <a:extLst>
            <a:ext uri="{FF2B5EF4-FFF2-40B4-BE49-F238E27FC236}">
              <a16:creationId xmlns:a16="http://schemas.microsoft.com/office/drawing/2014/main" id="{EDD2CCE7-BEC0-6997-6BF8-884E02C9CE18}"/>
            </a:ext>
          </a:extLst>
        </xdr:cNvPr>
        <xdr:cNvSpPr txBox="1"/>
      </xdr:nvSpPr>
      <xdr:spPr>
        <a:xfrm>
          <a:off x="352312" y="1828652"/>
          <a:ext cx="1047259"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250C79B-CC8C-430E-93E2-C59204160690}" type="TxLink">
            <a:rPr lang="en-US" sz="2000" b="1" i="0" u="none" strike="noStrike">
              <a:gradFill flip="none" rotWithShape="1">
                <a:gsLst>
                  <a:gs pos="0">
                    <a:srgbClr val="DEA900">
                      <a:shade val="30000"/>
                      <a:satMod val="115000"/>
                    </a:srgbClr>
                  </a:gs>
                  <a:gs pos="50000">
                    <a:srgbClr val="DEA900">
                      <a:shade val="67500"/>
                      <a:satMod val="115000"/>
                    </a:srgbClr>
                  </a:gs>
                  <a:gs pos="100000">
                    <a:srgbClr val="DEA900">
                      <a:shade val="100000"/>
                      <a:satMod val="115000"/>
                    </a:srgbClr>
                  </a:gs>
                </a:gsLst>
                <a:lin ang="13500000" scaled="1"/>
                <a:tileRect/>
              </a:gradFill>
              <a:latin typeface="Aptos Narrow"/>
              <a:ea typeface="+mn-ea"/>
              <a:cs typeface="+mn-cs"/>
            </a:rPr>
            <a:pPr marL="0" indent="0" algn="ctr"/>
            <a:t>$649.0k</a:t>
          </a:fld>
          <a:endParaRPr lang="en-IN" sz="2000" b="1" i="0" u="none" strike="noStrike">
            <a:gradFill flip="none" rotWithShape="1">
              <a:gsLst>
                <a:gs pos="0">
                  <a:srgbClr val="DEA900">
                    <a:shade val="30000"/>
                    <a:satMod val="115000"/>
                  </a:srgbClr>
                </a:gs>
                <a:gs pos="50000">
                  <a:srgbClr val="DEA900">
                    <a:shade val="67500"/>
                    <a:satMod val="115000"/>
                  </a:srgbClr>
                </a:gs>
                <a:gs pos="100000">
                  <a:srgbClr val="DEA900">
                    <a:shade val="100000"/>
                    <a:satMod val="115000"/>
                  </a:srgbClr>
                </a:gs>
              </a:gsLst>
              <a:lin ang="13500000" scaled="1"/>
              <a:tileRect/>
            </a:gradFill>
            <a:latin typeface="Aptos Narrow"/>
            <a:ea typeface="+mn-ea"/>
            <a:cs typeface="+mn-cs"/>
          </a:endParaRPr>
        </a:p>
      </xdr:txBody>
    </xdr:sp>
    <xdr:clientData/>
  </xdr:twoCellAnchor>
  <xdr:twoCellAnchor>
    <xdr:from>
      <xdr:col>1</xdr:col>
      <xdr:colOff>92336</xdr:colOff>
      <xdr:row>14</xdr:row>
      <xdr:rowOff>17930</xdr:rowOff>
    </xdr:from>
    <xdr:to>
      <xdr:col>1</xdr:col>
      <xdr:colOff>986117</xdr:colOff>
      <xdr:row>16</xdr:row>
      <xdr:rowOff>48708</xdr:rowOff>
    </xdr:to>
    <xdr:sp macro="" textlink="'KPI Cards'!D6">
      <xdr:nvSpPr>
        <xdr:cNvPr id="7" name="TextBox 6">
          <a:extLst>
            <a:ext uri="{FF2B5EF4-FFF2-40B4-BE49-F238E27FC236}">
              <a16:creationId xmlns:a16="http://schemas.microsoft.com/office/drawing/2014/main" id="{8368225B-1335-402B-5800-B6A742845E8A}"/>
            </a:ext>
          </a:extLst>
        </xdr:cNvPr>
        <xdr:cNvSpPr txBox="1"/>
      </xdr:nvSpPr>
      <xdr:spPr>
        <a:xfrm>
          <a:off x="352312" y="2528048"/>
          <a:ext cx="893781"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4A4C88-C395-42BA-ADE1-F75C9EB7D8CE}" type="TxLink">
            <a:rPr lang="en-US" sz="2000" b="1" i="0" u="none" strike="noStrike">
              <a:solidFill>
                <a:schemeClr val="bg1">
                  <a:lumMod val="85000"/>
                </a:schemeClr>
              </a:solidFill>
              <a:latin typeface="Aptos Narrow"/>
              <a:ea typeface="+mn-ea"/>
              <a:cs typeface="+mn-cs"/>
            </a:rPr>
            <a:pPr marL="0" indent="0" algn="ctr"/>
            <a:t>4</a:t>
          </a:fld>
          <a:endParaRPr lang="en-IN" sz="2000" b="1" i="0" u="none" strike="noStrike">
            <a:solidFill>
              <a:schemeClr val="bg1">
                <a:lumMod val="85000"/>
              </a:schemeClr>
            </a:solidFill>
            <a:latin typeface="Aptos Narrow"/>
            <a:ea typeface="+mn-ea"/>
            <a:cs typeface="+mn-cs"/>
          </a:endParaRPr>
        </a:p>
      </xdr:txBody>
    </xdr:sp>
    <xdr:clientData/>
  </xdr:twoCellAnchor>
  <xdr:twoCellAnchor>
    <xdr:from>
      <xdr:col>1</xdr:col>
      <xdr:colOff>92336</xdr:colOff>
      <xdr:row>18</xdr:row>
      <xdr:rowOff>23010</xdr:rowOff>
    </xdr:from>
    <xdr:to>
      <xdr:col>1</xdr:col>
      <xdr:colOff>986117</xdr:colOff>
      <xdr:row>20</xdr:row>
      <xdr:rowOff>53789</xdr:rowOff>
    </xdr:to>
    <xdr:sp macro="" textlink="'KPI Cards'!E6">
      <xdr:nvSpPr>
        <xdr:cNvPr id="8" name="TextBox 7">
          <a:extLst>
            <a:ext uri="{FF2B5EF4-FFF2-40B4-BE49-F238E27FC236}">
              <a16:creationId xmlns:a16="http://schemas.microsoft.com/office/drawing/2014/main" id="{716BB605-4371-4336-5E1B-B0E5445D20EE}"/>
            </a:ext>
          </a:extLst>
        </xdr:cNvPr>
        <xdr:cNvSpPr txBox="1"/>
      </xdr:nvSpPr>
      <xdr:spPr>
        <a:xfrm>
          <a:off x="352312" y="3250304"/>
          <a:ext cx="893781" cy="38936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D713EC1-3C8E-430D-921D-F2BDA9D3E4B3}" type="TxLink">
            <a:rPr lang="en-US" sz="2000" b="1" i="0" u="none" strike="noStrike">
              <a:solidFill>
                <a:schemeClr val="bg1">
                  <a:lumMod val="85000"/>
                </a:schemeClr>
              </a:solidFill>
              <a:latin typeface="Aptos Narrow"/>
              <a:ea typeface="+mn-ea"/>
              <a:cs typeface="+mn-cs"/>
            </a:rPr>
            <a:pPr marL="0" indent="0" algn="ctr"/>
            <a:t>2</a:t>
          </a:fld>
          <a:endParaRPr lang="en-IN" sz="2000" b="1" i="0" u="none" strike="noStrike">
            <a:solidFill>
              <a:schemeClr val="bg1">
                <a:lumMod val="85000"/>
              </a:schemeClr>
            </a:solidFill>
            <a:latin typeface="Aptos Narrow"/>
            <a:ea typeface="+mn-ea"/>
            <a:cs typeface="+mn-cs"/>
          </a:endParaRPr>
        </a:p>
      </xdr:txBody>
    </xdr:sp>
    <xdr:clientData/>
  </xdr:twoCellAnchor>
  <xdr:twoCellAnchor>
    <xdr:from>
      <xdr:col>1</xdr:col>
      <xdr:colOff>65442</xdr:colOff>
      <xdr:row>1</xdr:row>
      <xdr:rowOff>11654</xdr:rowOff>
    </xdr:from>
    <xdr:to>
      <xdr:col>1</xdr:col>
      <xdr:colOff>1194098</xdr:colOff>
      <xdr:row>2</xdr:row>
      <xdr:rowOff>160469</xdr:rowOff>
    </xdr:to>
    <xdr:sp macro="" textlink="">
      <xdr:nvSpPr>
        <xdr:cNvPr id="9" name="TextBox 8">
          <a:extLst>
            <a:ext uri="{FF2B5EF4-FFF2-40B4-BE49-F238E27FC236}">
              <a16:creationId xmlns:a16="http://schemas.microsoft.com/office/drawing/2014/main" id="{E5D53457-3C87-32D9-2B60-987595CDA5E3}"/>
            </a:ext>
          </a:extLst>
        </xdr:cNvPr>
        <xdr:cNvSpPr txBox="1"/>
      </xdr:nvSpPr>
      <xdr:spPr>
        <a:xfrm>
          <a:off x="325418" y="190948"/>
          <a:ext cx="1128656" cy="328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 </a:t>
          </a:r>
          <a:r>
            <a:rPr lang="en-IN" sz="1400" b="1">
              <a:solidFill>
                <a:schemeClr val="bg1">
                  <a:lumMod val="95000"/>
                </a:schemeClr>
              </a:solidFill>
            </a:rPr>
            <a:t>Orders</a:t>
          </a:r>
          <a:endParaRPr lang="en-IN" sz="1100" b="1">
            <a:solidFill>
              <a:schemeClr val="bg1">
                <a:lumMod val="95000"/>
              </a:schemeClr>
            </a:solidFill>
          </a:endParaRPr>
        </a:p>
      </xdr:txBody>
    </xdr:sp>
    <xdr:clientData/>
  </xdr:twoCellAnchor>
  <xdr:twoCellAnchor>
    <xdr:from>
      <xdr:col>1</xdr:col>
      <xdr:colOff>65442</xdr:colOff>
      <xdr:row>5</xdr:row>
      <xdr:rowOff>1494</xdr:rowOff>
    </xdr:from>
    <xdr:to>
      <xdr:col>2</xdr:col>
      <xdr:colOff>167639</xdr:colOff>
      <xdr:row>6</xdr:row>
      <xdr:rowOff>157928</xdr:rowOff>
    </xdr:to>
    <xdr:sp macro="" textlink="">
      <xdr:nvSpPr>
        <xdr:cNvPr id="10" name="TextBox 9">
          <a:extLst>
            <a:ext uri="{FF2B5EF4-FFF2-40B4-BE49-F238E27FC236}">
              <a16:creationId xmlns:a16="http://schemas.microsoft.com/office/drawing/2014/main" id="{68362E49-1984-D59D-D188-DCD3066BD51D}"/>
            </a:ext>
          </a:extLst>
        </xdr:cNvPr>
        <xdr:cNvSpPr txBox="1"/>
      </xdr:nvSpPr>
      <xdr:spPr>
        <a:xfrm>
          <a:off x="325418" y="897965"/>
          <a:ext cx="1662056"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95000"/>
                </a:schemeClr>
              </a:solidFill>
              <a:latin typeface="+mn-lt"/>
              <a:ea typeface="+mn-ea"/>
              <a:cs typeface="+mn-cs"/>
            </a:rPr>
            <a:t>👕 </a:t>
          </a:r>
          <a:r>
            <a:rPr lang="en-IN" sz="1400" b="1">
              <a:solidFill>
                <a:schemeClr val="bg1">
                  <a:lumMod val="95000"/>
                </a:schemeClr>
              </a:solidFill>
              <a:latin typeface="+mn-lt"/>
              <a:ea typeface="+mn-ea"/>
              <a:cs typeface="+mn-cs"/>
            </a:rPr>
            <a:t>Quantity</a:t>
          </a:r>
        </a:p>
      </xdr:txBody>
    </xdr:sp>
    <xdr:clientData/>
  </xdr:twoCellAnchor>
  <xdr:twoCellAnchor>
    <xdr:from>
      <xdr:col>1</xdr:col>
      <xdr:colOff>65442</xdr:colOff>
      <xdr:row>8</xdr:row>
      <xdr:rowOff>178248</xdr:rowOff>
    </xdr:from>
    <xdr:to>
      <xdr:col>1</xdr:col>
      <xdr:colOff>1247438</xdr:colOff>
      <xdr:row>10</xdr:row>
      <xdr:rowOff>155389</xdr:rowOff>
    </xdr:to>
    <xdr:sp macro="" textlink="">
      <xdr:nvSpPr>
        <xdr:cNvPr id="11" name="TextBox 10">
          <a:extLst>
            <a:ext uri="{FF2B5EF4-FFF2-40B4-BE49-F238E27FC236}">
              <a16:creationId xmlns:a16="http://schemas.microsoft.com/office/drawing/2014/main" id="{C38AEAE5-5C77-23E3-89D8-74FB46B96693}"/>
            </a:ext>
          </a:extLst>
        </xdr:cNvPr>
        <xdr:cNvSpPr txBox="1"/>
      </xdr:nvSpPr>
      <xdr:spPr>
        <a:xfrm>
          <a:off x="325418" y="1612601"/>
          <a:ext cx="1181996" cy="33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95000"/>
                </a:schemeClr>
              </a:solidFill>
              <a:latin typeface="+mn-lt"/>
              <a:ea typeface="+mn-ea"/>
              <a:cs typeface="+mn-cs"/>
            </a:rPr>
            <a:t>💰 </a:t>
          </a:r>
          <a:r>
            <a:rPr lang="en-IN" sz="1400" b="1">
              <a:solidFill>
                <a:schemeClr val="bg1">
                  <a:lumMod val="95000"/>
                </a:schemeClr>
              </a:solidFill>
              <a:latin typeface="+mn-lt"/>
              <a:ea typeface="+mn-ea"/>
              <a:cs typeface="+mn-cs"/>
            </a:rPr>
            <a:t>Amount</a:t>
          </a:r>
        </a:p>
      </xdr:txBody>
    </xdr:sp>
    <xdr:clientData/>
  </xdr:twoCellAnchor>
  <xdr:twoCellAnchor>
    <xdr:from>
      <xdr:col>1</xdr:col>
      <xdr:colOff>65442</xdr:colOff>
      <xdr:row>12</xdr:row>
      <xdr:rowOff>175709</xdr:rowOff>
    </xdr:from>
    <xdr:to>
      <xdr:col>2</xdr:col>
      <xdr:colOff>114299</xdr:colOff>
      <xdr:row>14</xdr:row>
      <xdr:rowOff>152848</xdr:rowOff>
    </xdr:to>
    <xdr:sp macro="" textlink="">
      <xdr:nvSpPr>
        <xdr:cNvPr id="12" name="TextBox 11">
          <a:extLst>
            <a:ext uri="{FF2B5EF4-FFF2-40B4-BE49-F238E27FC236}">
              <a16:creationId xmlns:a16="http://schemas.microsoft.com/office/drawing/2014/main" id="{8C2049DB-6F08-956A-B59C-1A07CFE7D219}"/>
            </a:ext>
          </a:extLst>
        </xdr:cNvPr>
        <xdr:cNvSpPr txBox="1"/>
      </xdr:nvSpPr>
      <xdr:spPr>
        <a:xfrm>
          <a:off x="325418" y="2327238"/>
          <a:ext cx="1608716"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95000"/>
                </a:schemeClr>
              </a:solidFill>
              <a:latin typeface="+mn-lt"/>
              <a:ea typeface="+mn-ea"/>
              <a:cs typeface="+mn-cs"/>
            </a:rPr>
            <a:t>⭐ </a:t>
          </a:r>
          <a:r>
            <a:rPr lang="en-IN" sz="1400" b="1">
              <a:solidFill>
                <a:schemeClr val="bg1">
                  <a:lumMod val="95000"/>
                </a:schemeClr>
              </a:solidFill>
              <a:latin typeface="+mn-lt"/>
              <a:ea typeface="+mn-ea"/>
              <a:cs typeface="+mn-cs"/>
            </a:rPr>
            <a:t>Avg. Rating</a:t>
          </a:r>
        </a:p>
      </xdr:txBody>
    </xdr:sp>
    <xdr:clientData/>
  </xdr:twoCellAnchor>
  <xdr:twoCellAnchor>
    <xdr:from>
      <xdr:col>1</xdr:col>
      <xdr:colOff>65442</xdr:colOff>
      <xdr:row>16</xdr:row>
      <xdr:rowOff>173168</xdr:rowOff>
    </xdr:from>
    <xdr:to>
      <xdr:col>2</xdr:col>
      <xdr:colOff>256838</xdr:colOff>
      <xdr:row>18</xdr:row>
      <xdr:rowOff>150308</xdr:rowOff>
    </xdr:to>
    <xdr:sp macro="" textlink="">
      <xdr:nvSpPr>
        <xdr:cNvPr id="15" name="TextBox 14">
          <a:extLst>
            <a:ext uri="{FF2B5EF4-FFF2-40B4-BE49-F238E27FC236}">
              <a16:creationId xmlns:a16="http://schemas.microsoft.com/office/drawing/2014/main" id="{A49FD337-4FBD-D6A9-07EE-4DDFF6722A4F}"/>
            </a:ext>
          </a:extLst>
        </xdr:cNvPr>
        <xdr:cNvSpPr txBox="1"/>
      </xdr:nvSpPr>
      <xdr:spPr>
        <a:xfrm>
          <a:off x="325418" y="3041874"/>
          <a:ext cx="1751255"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95000"/>
                </a:schemeClr>
              </a:solidFill>
              <a:latin typeface="+mn-lt"/>
              <a:ea typeface="+mn-ea"/>
              <a:cs typeface="+mn-cs"/>
            </a:rPr>
            <a:t>📅  </a:t>
          </a:r>
          <a:r>
            <a:rPr lang="en-IN" sz="1400" b="1">
              <a:solidFill>
                <a:schemeClr val="bg1">
                  <a:lumMod val="95000"/>
                </a:schemeClr>
              </a:solidFill>
              <a:latin typeface="+mn-lt"/>
              <a:ea typeface="+mn-ea"/>
              <a:cs typeface="+mn-cs"/>
            </a:rPr>
            <a:t>Days to Deliver</a:t>
          </a:r>
        </a:p>
      </xdr:txBody>
    </xdr:sp>
    <xdr:clientData/>
  </xdr:twoCellAnchor>
  <xdr:twoCellAnchor>
    <xdr:from>
      <xdr:col>3</xdr:col>
      <xdr:colOff>348616</xdr:colOff>
      <xdr:row>4</xdr:row>
      <xdr:rowOff>90320</xdr:rowOff>
    </xdr:from>
    <xdr:to>
      <xdr:col>10</xdr:col>
      <xdr:colOff>417308</xdr:colOff>
      <xdr:row>15</xdr:row>
      <xdr:rowOff>30036</xdr:rowOff>
    </xdr:to>
    <xdr:graphicFrame macro="">
      <xdr:nvGraphicFramePr>
        <xdr:cNvPr id="20" name="Trends">
          <a:extLst>
            <a:ext uri="{FF2B5EF4-FFF2-40B4-BE49-F238E27FC236}">
              <a16:creationId xmlns:a16="http://schemas.microsoft.com/office/drawing/2014/main" id="{9F7BE874-6CBE-41A1-A28D-24440FBCA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571183</xdr:colOff>
      <xdr:row>4</xdr:row>
      <xdr:rowOff>94130</xdr:rowOff>
    </xdr:from>
    <xdr:to>
      <xdr:col>16</xdr:col>
      <xdr:colOff>322153</xdr:colOff>
      <xdr:row>15</xdr:row>
      <xdr:rowOff>22416</xdr:rowOff>
    </xdr:to>
    <xdr:grpSp>
      <xdr:nvGrpSpPr>
        <xdr:cNvPr id="23" name="Group 22">
          <a:extLst>
            <a:ext uri="{FF2B5EF4-FFF2-40B4-BE49-F238E27FC236}">
              <a16:creationId xmlns:a16="http://schemas.microsoft.com/office/drawing/2014/main" id="{F8C99534-C4F0-B9F3-B659-7D37A52AC3F6}"/>
            </a:ext>
          </a:extLst>
        </xdr:cNvPr>
        <xdr:cNvGrpSpPr/>
      </xdr:nvGrpSpPr>
      <xdr:grpSpPr>
        <a:xfrm>
          <a:off x="6880095" y="815116"/>
          <a:ext cx="3385486" cy="1892902"/>
          <a:chOff x="6530340" y="236220"/>
          <a:chExt cx="3420000" cy="1944000"/>
        </a:xfrm>
      </xdr:grpSpPr>
      <xdr:sp macro="" textlink="">
        <xdr:nvSpPr>
          <xdr:cNvPr id="21" name="Rectangle: Rounded Corners 20">
            <a:extLst>
              <a:ext uri="{FF2B5EF4-FFF2-40B4-BE49-F238E27FC236}">
                <a16:creationId xmlns:a16="http://schemas.microsoft.com/office/drawing/2014/main" id="{E6707625-95A4-DF43-4311-F20AA3050A61}"/>
              </a:ext>
            </a:extLst>
          </xdr:cNvPr>
          <xdr:cNvSpPr/>
        </xdr:nvSpPr>
        <xdr:spPr>
          <a:xfrm>
            <a:off x="6530340" y="236220"/>
            <a:ext cx="3420000" cy="1944000"/>
          </a:xfrm>
          <a:prstGeom prst="roundRect">
            <a:avLst>
              <a:gd name="adj" fmla="val 49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pic>
            <xdr:nvPicPr>
              <xdr:cNvPr id="19" name="Picture 18">
                <a:extLst>
                  <a:ext uri="{FF2B5EF4-FFF2-40B4-BE49-F238E27FC236}">
                    <a16:creationId xmlns:a16="http://schemas.microsoft.com/office/drawing/2014/main" id="{89A2C67B-737C-0F99-7B40-179AF45FBB60}"/>
                  </a:ext>
                </a:extLst>
              </xdr:cNvPr>
              <xdr:cNvPicPr>
                <a:picLocks noChangeAspect="1" noChangeArrowheads="1"/>
                <a:extLst>
                  <a:ext uri="{84589F7E-364E-4C9E-8A38-B11213B215E9}">
                    <a14:cameraTool cellRange="'Customer preference'!$H$5:$L$10" spid="_x0000_s6155"/>
                  </a:ext>
                </a:extLst>
              </xdr:cNvPicPr>
            </xdr:nvPicPr>
            <xdr:blipFill>
              <a:blip xmlns:r="http://schemas.openxmlformats.org/officeDocument/2006/relationships" r:embed="rId2"/>
              <a:srcRect/>
              <a:stretch>
                <a:fillRect/>
              </a:stretch>
            </xdr:blipFill>
            <xdr:spPr bwMode="auto">
              <a:xfrm>
                <a:off x="6743699" y="650507"/>
                <a:ext cx="3064279" cy="134885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16</xdr:col>
      <xdr:colOff>448798</xdr:colOff>
      <xdr:row>4</xdr:row>
      <xdr:rowOff>90320</xdr:rowOff>
    </xdr:from>
    <xdr:to>
      <xdr:col>22</xdr:col>
      <xdr:colOff>265469</xdr:colOff>
      <xdr:row>15</xdr:row>
      <xdr:rowOff>30036</xdr:rowOff>
    </xdr:to>
    <xdr:graphicFrame macro="">
      <xdr:nvGraphicFramePr>
        <xdr:cNvPr id="22" name="Chart 21">
          <a:extLst>
            <a:ext uri="{FF2B5EF4-FFF2-40B4-BE49-F238E27FC236}">
              <a16:creationId xmlns:a16="http://schemas.microsoft.com/office/drawing/2014/main" id="{DF5A4875-4F0D-42D0-87A6-D836442A4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379097</xdr:colOff>
      <xdr:row>15</xdr:row>
      <xdr:rowOff>110004</xdr:rowOff>
    </xdr:from>
    <xdr:to>
      <xdr:col>9</xdr:col>
      <xdr:colOff>67349</xdr:colOff>
      <xdr:row>34</xdr:row>
      <xdr:rowOff>143341</xdr:rowOff>
    </xdr:to>
    <xdr:graphicFrame macro="">
      <xdr:nvGraphicFramePr>
        <xdr:cNvPr id="24" name="Chart 23">
          <a:extLst>
            <a:ext uri="{FF2B5EF4-FFF2-40B4-BE49-F238E27FC236}">
              <a16:creationId xmlns:a16="http://schemas.microsoft.com/office/drawing/2014/main" id="{A7B8F49D-B700-4DAF-933F-FA5759D5C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97472</xdr:colOff>
      <xdr:row>24</xdr:row>
      <xdr:rowOff>166687</xdr:rowOff>
    </xdr:from>
    <xdr:to>
      <xdr:col>7</xdr:col>
      <xdr:colOff>205740</xdr:colOff>
      <xdr:row>32</xdr:row>
      <xdr:rowOff>37465</xdr:rowOff>
    </xdr:to>
    <xdr:graphicFrame macro="">
      <xdr:nvGraphicFramePr>
        <xdr:cNvPr id="25" name="Chart 24">
          <a:extLst>
            <a:ext uri="{FF2B5EF4-FFF2-40B4-BE49-F238E27FC236}">
              <a16:creationId xmlns:a16="http://schemas.microsoft.com/office/drawing/2014/main" id="{78DF9B22-F534-426A-A01C-A49103CDD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361484</xdr:colOff>
      <xdr:row>19</xdr:row>
      <xdr:rowOff>140074</xdr:rowOff>
    </xdr:from>
    <xdr:to>
      <xdr:col>14</xdr:col>
      <xdr:colOff>345609</xdr:colOff>
      <xdr:row>27</xdr:row>
      <xdr:rowOff>16342</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C72F8FBC-1B73-4EC8-BDF2-91CB13EE0C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28144" y="3574789"/>
              <a:ext cx="1199515" cy="13316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220011</xdr:colOff>
      <xdr:row>25</xdr:row>
      <xdr:rowOff>66692</xdr:rowOff>
    </xdr:from>
    <xdr:to>
      <xdr:col>22</xdr:col>
      <xdr:colOff>265469</xdr:colOff>
      <xdr:row>34</xdr:row>
      <xdr:rowOff>143341</xdr:rowOff>
    </xdr:to>
    <xdr:graphicFrame macro="">
      <xdr:nvGraphicFramePr>
        <xdr:cNvPr id="28" name="Chart 27">
          <a:extLst>
            <a:ext uri="{FF2B5EF4-FFF2-40B4-BE49-F238E27FC236}">
              <a16:creationId xmlns:a16="http://schemas.microsoft.com/office/drawing/2014/main" id="{6BBAC1AF-5FF3-498A-AD80-6FEF5DDC5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272417</xdr:colOff>
      <xdr:row>15</xdr:row>
      <xdr:rowOff>142990</xdr:rowOff>
    </xdr:from>
    <xdr:to>
      <xdr:col>22</xdr:col>
      <xdr:colOff>265469</xdr:colOff>
      <xdr:row>24</xdr:row>
      <xdr:rowOff>104667</xdr:rowOff>
    </xdr:to>
    <xdr:graphicFrame macro="">
      <xdr:nvGraphicFramePr>
        <xdr:cNvPr id="29" name="Chart 28">
          <a:extLst>
            <a:ext uri="{FF2B5EF4-FFF2-40B4-BE49-F238E27FC236}">
              <a16:creationId xmlns:a16="http://schemas.microsoft.com/office/drawing/2014/main" id="{C4AE4479-E90D-468A-B10D-03533A828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57599</xdr:colOff>
      <xdr:row>30</xdr:row>
      <xdr:rowOff>71380</xdr:rowOff>
    </xdr:from>
    <xdr:to>
      <xdr:col>3</xdr:col>
      <xdr:colOff>82591</xdr:colOff>
      <xdr:row>37</xdr:row>
      <xdr:rowOff>37428</xdr:rowOff>
    </xdr:to>
    <mc:AlternateContent xmlns:mc="http://schemas.openxmlformats.org/markup-compatibility/2006" xmlns:a14="http://schemas.microsoft.com/office/drawing/2010/main">
      <mc:Choice Requires="a14">
        <xdr:graphicFrame macro="">
          <xdr:nvGraphicFramePr>
            <xdr:cNvPr id="30" name="Order Mode">
              <a:extLst>
                <a:ext uri="{FF2B5EF4-FFF2-40B4-BE49-F238E27FC236}">
                  <a16:creationId xmlns:a16="http://schemas.microsoft.com/office/drawing/2014/main" id="{74848891-A6DA-929D-5EDB-328BC136DEE9}"/>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3789" y="5448299"/>
              <a:ext cx="2103795" cy="1223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xdr:colOff>
      <xdr:row>20</xdr:row>
      <xdr:rowOff>107575</xdr:rowOff>
    </xdr:from>
    <xdr:to>
      <xdr:col>3</xdr:col>
      <xdr:colOff>107575</xdr:colOff>
      <xdr:row>29</xdr:row>
      <xdr:rowOff>26893</xdr:rowOff>
    </xdr:to>
    <mc:AlternateContent xmlns:mc="http://schemas.openxmlformats.org/markup-compatibility/2006" xmlns:a14="http://schemas.microsoft.com/office/drawing/2010/main">
      <mc:Choice Requires="a14">
        <xdr:graphicFrame macro="">
          <xdr:nvGraphicFramePr>
            <xdr:cNvPr id="31" name="Gender Value">
              <a:extLst>
                <a:ext uri="{FF2B5EF4-FFF2-40B4-BE49-F238E27FC236}">
                  <a16:creationId xmlns:a16="http://schemas.microsoft.com/office/drawing/2014/main" id="{8513C8C7-24DC-E41B-3E39-40117CC5524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4989" y="3691552"/>
              <a:ext cx="2153769" cy="153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436021</xdr:colOff>
      <xdr:row>4</xdr:row>
      <xdr:rowOff>154642</xdr:rowOff>
    </xdr:from>
    <xdr:to>
      <xdr:col>15</xdr:col>
      <xdr:colOff>251012</xdr:colOff>
      <xdr:row>6</xdr:row>
      <xdr:rowOff>73959</xdr:rowOff>
    </xdr:to>
    <xdr:sp macro="" textlink="">
      <xdr:nvSpPr>
        <xdr:cNvPr id="32" name="TextBox 31">
          <a:extLst>
            <a:ext uri="{FF2B5EF4-FFF2-40B4-BE49-F238E27FC236}">
              <a16:creationId xmlns:a16="http://schemas.microsoft.com/office/drawing/2014/main" id="{F27B4453-FED1-A271-EC06-EB9921C0B7DE}"/>
            </a:ext>
          </a:extLst>
        </xdr:cNvPr>
        <xdr:cNvSpPr txBox="1"/>
      </xdr:nvSpPr>
      <xdr:spPr>
        <a:xfrm>
          <a:off x="7350050" y="871818"/>
          <a:ext cx="2235462"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lumMod val="50000"/>
                </a:schemeClr>
              </a:solidFill>
              <a:latin typeface="Cambria" panose="02040503050406030204" pitchFamily="18" charset="0"/>
              <a:ea typeface="Cambria" panose="02040503050406030204" pitchFamily="18" charset="0"/>
            </a:rPr>
            <a:t>How they like to buy?</a:t>
          </a:r>
        </a:p>
      </xdr:txBody>
    </xdr:sp>
    <xdr:clientData/>
  </xdr:twoCellAnchor>
  <xdr:twoCellAnchor>
    <xdr:from>
      <xdr:col>1</xdr:col>
      <xdr:colOff>861691</xdr:colOff>
      <xdr:row>2</xdr:row>
      <xdr:rowOff>107577</xdr:rowOff>
    </xdr:from>
    <xdr:to>
      <xdr:col>2</xdr:col>
      <xdr:colOff>252090</xdr:colOff>
      <xdr:row>4</xdr:row>
      <xdr:rowOff>90843</xdr:rowOff>
    </xdr:to>
    <xdr:sp macro="" textlink="'KPI 2'!A6">
      <xdr:nvSpPr>
        <xdr:cNvPr id="34" name="TextBox 33">
          <a:extLst>
            <a:ext uri="{FF2B5EF4-FFF2-40B4-BE49-F238E27FC236}">
              <a16:creationId xmlns:a16="http://schemas.microsoft.com/office/drawing/2014/main" id="{3C2322D0-A661-DBC2-AD16-327278D6131F}"/>
            </a:ext>
          </a:extLst>
        </xdr:cNvPr>
        <xdr:cNvSpPr txBox="1"/>
      </xdr:nvSpPr>
      <xdr:spPr>
        <a:xfrm>
          <a:off x="1121667" y="466165"/>
          <a:ext cx="950258" cy="341854"/>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DDB3FE1-CE3D-4629-A3F5-CEF3150AC03F}" type="TxLink">
            <a:rPr lang="en-US" sz="1200" b="1" i="0" u="none" strike="noStrike">
              <a:solidFill>
                <a:schemeClr val="tx1"/>
              </a:solidFill>
              <a:latin typeface="Aptos Narrow"/>
              <a:ea typeface="+mn-ea"/>
              <a:cs typeface="+mn-cs"/>
            </a:rPr>
            <a:pPr marL="0" indent="0" algn="r"/>
            <a:t>2,400</a:t>
          </a:fld>
          <a:endParaRPr lang="en-IN" sz="1400" b="1" i="0" u="none" strike="noStrike">
            <a:solidFill>
              <a:schemeClr val="tx1"/>
            </a:solidFill>
            <a:latin typeface="Aptos Narrow"/>
            <a:ea typeface="+mn-ea"/>
            <a:cs typeface="+mn-cs"/>
          </a:endParaRPr>
        </a:p>
      </xdr:txBody>
    </xdr:sp>
    <xdr:clientData/>
  </xdr:twoCellAnchor>
  <xdr:twoCellAnchor>
    <xdr:from>
      <xdr:col>1</xdr:col>
      <xdr:colOff>918168</xdr:colOff>
      <xdr:row>6</xdr:row>
      <xdr:rowOff>135517</xdr:rowOff>
    </xdr:from>
    <xdr:to>
      <xdr:col>2</xdr:col>
      <xdr:colOff>252090</xdr:colOff>
      <xdr:row>8</xdr:row>
      <xdr:rowOff>166295</xdr:rowOff>
    </xdr:to>
    <xdr:sp macro="" textlink="'KPI 2'!B6">
      <xdr:nvSpPr>
        <xdr:cNvPr id="35" name="TextBox 34">
          <a:extLst>
            <a:ext uri="{FF2B5EF4-FFF2-40B4-BE49-F238E27FC236}">
              <a16:creationId xmlns:a16="http://schemas.microsoft.com/office/drawing/2014/main" id="{B4882F65-BFEC-3A76-48F9-E8D2378A61A4}"/>
            </a:ext>
          </a:extLst>
        </xdr:cNvPr>
        <xdr:cNvSpPr txBox="1"/>
      </xdr:nvSpPr>
      <xdr:spPr>
        <a:xfrm>
          <a:off x="1178144" y="1211282"/>
          <a:ext cx="893781"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60F11F9-029B-4A30-9755-9FB407A02A63}" type="TxLink">
            <a:rPr lang="en-US" sz="1200" b="1" i="0" u="none" strike="noStrike">
              <a:solidFill>
                <a:schemeClr val="tx1"/>
              </a:solidFill>
              <a:latin typeface="Aptos Narrow"/>
              <a:ea typeface="+mn-ea"/>
              <a:cs typeface="+mn-cs"/>
            </a:rPr>
            <a:pPr marL="0" indent="0" algn="r"/>
            <a:t>11,997</a:t>
          </a:fld>
          <a:endParaRPr lang="en-IN" sz="1200" b="1" i="0" u="none" strike="noStrike">
            <a:solidFill>
              <a:schemeClr val="tx1"/>
            </a:solidFill>
            <a:latin typeface="Aptos Narrow"/>
            <a:ea typeface="+mn-ea"/>
            <a:cs typeface="+mn-cs"/>
          </a:endParaRPr>
        </a:p>
      </xdr:txBody>
    </xdr:sp>
    <xdr:clientData/>
  </xdr:twoCellAnchor>
  <xdr:twoCellAnchor>
    <xdr:from>
      <xdr:col>1</xdr:col>
      <xdr:colOff>773655</xdr:colOff>
      <xdr:row>10</xdr:row>
      <xdr:rowOff>161218</xdr:rowOff>
    </xdr:from>
    <xdr:to>
      <xdr:col>3</xdr:col>
      <xdr:colOff>1078</xdr:colOff>
      <xdr:row>13</xdr:row>
      <xdr:rowOff>12701</xdr:rowOff>
    </xdr:to>
    <xdr:sp macro="" textlink="'KPI 2'!C6">
      <xdr:nvSpPr>
        <xdr:cNvPr id="37" name="TextBox 36">
          <a:extLst>
            <a:ext uri="{FF2B5EF4-FFF2-40B4-BE49-F238E27FC236}">
              <a16:creationId xmlns:a16="http://schemas.microsoft.com/office/drawing/2014/main" id="{C6443086-5A9A-68E8-C13E-8E0D216D58F6}"/>
            </a:ext>
          </a:extLst>
        </xdr:cNvPr>
        <xdr:cNvSpPr txBox="1"/>
      </xdr:nvSpPr>
      <xdr:spPr>
        <a:xfrm>
          <a:off x="1033631" y="1954159"/>
          <a:ext cx="1047259"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EEE5F37-EB32-4A9E-AA67-52657141E5B3}" type="TxLink">
            <a:rPr lang="en-US" sz="1200" b="1" i="0" u="none" strike="noStrike">
              <a:solidFill>
                <a:schemeClr val="tx1"/>
              </a:solidFill>
              <a:latin typeface="Aptos Narrow"/>
              <a:ea typeface="+mn-ea"/>
              <a:cs typeface="+mn-cs"/>
            </a:rPr>
            <a:pPr marL="0" indent="0" algn="r"/>
            <a:t>$649.0k</a:t>
          </a:fld>
          <a:endParaRPr lang="en-IN" sz="1200" b="1" i="0" u="none" strike="noStrike">
            <a:solidFill>
              <a:schemeClr val="tx1"/>
            </a:solidFill>
            <a:latin typeface="Aptos Narrow"/>
            <a:ea typeface="+mn-ea"/>
            <a:cs typeface="+mn-cs"/>
          </a:endParaRPr>
        </a:p>
      </xdr:txBody>
    </xdr:sp>
    <xdr:clientData/>
  </xdr:twoCellAnchor>
  <xdr:twoCellAnchor>
    <xdr:from>
      <xdr:col>1</xdr:col>
      <xdr:colOff>900239</xdr:colOff>
      <xdr:row>14</xdr:row>
      <xdr:rowOff>98613</xdr:rowOff>
    </xdr:from>
    <xdr:to>
      <xdr:col>2</xdr:col>
      <xdr:colOff>234161</xdr:colOff>
      <xdr:row>16</xdr:row>
      <xdr:rowOff>129391</xdr:rowOff>
    </xdr:to>
    <xdr:sp macro="" textlink="'KPI 2'!D6">
      <xdr:nvSpPr>
        <xdr:cNvPr id="38" name="TextBox 37">
          <a:extLst>
            <a:ext uri="{FF2B5EF4-FFF2-40B4-BE49-F238E27FC236}">
              <a16:creationId xmlns:a16="http://schemas.microsoft.com/office/drawing/2014/main" id="{85353239-4456-5FF9-5870-3FC576B7FB80}"/>
            </a:ext>
          </a:extLst>
        </xdr:cNvPr>
        <xdr:cNvSpPr txBox="1"/>
      </xdr:nvSpPr>
      <xdr:spPr>
        <a:xfrm>
          <a:off x="1160215" y="2608731"/>
          <a:ext cx="893781" cy="38936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5393BF5-4F34-48EC-B038-418EE9FA1CAB}" type="TxLink">
            <a:rPr lang="en-US" sz="1200" b="1" i="0" u="none" strike="noStrike">
              <a:solidFill>
                <a:schemeClr val="tx1"/>
              </a:solidFill>
              <a:latin typeface="Aptos Narrow"/>
              <a:ea typeface="+mn-ea"/>
              <a:cs typeface="+mn-cs"/>
            </a:rPr>
            <a:pPr marL="0" indent="0" algn="r"/>
            <a:t>4</a:t>
          </a:fld>
          <a:endParaRPr lang="en-IN" sz="1200" b="1" i="0" u="none" strike="noStrike">
            <a:solidFill>
              <a:schemeClr val="tx1"/>
            </a:solidFill>
            <a:latin typeface="Aptos Narrow"/>
            <a:ea typeface="+mn-ea"/>
            <a:cs typeface="+mn-cs"/>
          </a:endParaRPr>
        </a:p>
      </xdr:txBody>
    </xdr:sp>
    <xdr:clientData/>
  </xdr:twoCellAnchor>
  <xdr:twoCellAnchor>
    <xdr:from>
      <xdr:col>1</xdr:col>
      <xdr:colOff>873344</xdr:colOff>
      <xdr:row>18</xdr:row>
      <xdr:rowOff>94728</xdr:rowOff>
    </xdr:from>
    <xdr:to>
      <xdr:col>2</xdr:col>
      <xdr:colOff>207266</xdr:colOff>
      <xdr:row>20</xdr:row>
      <xdr:rowOff>125507</xdr:rowOff>
    </xdr:to>
    <xdr:sp macro="" textlink="'KPI 2'!E6">
      <xdr:nvSpPr>
        <xdr:cNvPr id="39" name="TextBox 38">
          <a:extLst>
            <a:ext uri="{FF2B5EF4-FFF2-40B4-BE49-F238E27FC236}">
              <a16:creationId xmlns:a16="http://schemas.microsoft.com/office/drawing/2014/main" id="{18A6A614-779C-C2A2-0D6B-A4EC34096A9B}"/>
            </a:ext>
          </a:extLst>
        </xdr:cNvPr>
        <xdr:cNvSpPr txBox="1"/>
      </xdr:nvSpPr>
      <xdr:spPr>
        <a:xfrm>
          <a:off x="1133320" y="3322022"/>
          <a:ext cx="893781" cy="38936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FFD30CE-7177-428B-A589-AF4DEEA833F8}" type="TxLink">
            <a:rPr lang="en-US" sz="1200" b="1" i="0" u="none" strike="noStrike">
              <a:solidFill>
                <a:schemeClr val="tx1"/>
              </a:solidFill>
              <a:latin typeface="Aptos Narrow"/>
              <a:ea typeface="+mn-ea"/>
              <a:cs typeface="+mn-cs"/>
            </a:rPr>
            <a:pPr marL="0" indent="0" algn="r"/>
            <a:t>2</a:t>
          </a:fld>
          <a:endParaRPr lang="en-IN" sz="1200" b="1" i="0" u="none" strike="noStrike">
            <a:solidFill>
              <a:schemeClr val="tx1"/>
            </a:solidFill>
            <a:latin typeface="Aptos Narrow"/>
            <a:ea typeface="+mn-ea"/>
            <a:cs typeface="+mn-cs"/>
          </a:endParaRPr>
        </a:p>
      </xdr:txBody>
    </xdr:sp>
    <xdr:clientData/>
  </xdr:twoCellAnchor>
  <xdr:twoCellAnchor>
    <xdr:from>
      <xdr:col>0</xdr:col>
      <xdr:colOff>197224</xdr:colOff>
      <xdr:row>4</xdr:row>
      <xdr:rowOff>98612</xdr:rowOff>
    </xdr:from>
    <xdr:to>
      <xdr:col>2</xdr:col>
      <xdr:colOff>107577</xdr:colOff>
      <xdr:row>4</xdr:row>
      <xdr:rowOff>98612</xdr:rowOff>
    </xdr:to>
    <xdr:cxnSp macro="">
      <xdr:nvCxnSpPr>
        <xdr:cNvPr id="41" name="Straight Connector 40">
          <a:extLst>
            <a:ext uri="{FF2B5EF4-FFF2-40B4-BE49-F238E27FC236}">
              <a16:creationId xmlns:a16="http://schemas.microsoft.com/office/drawing/2014/main" id="{925724D0-D194-A764-7E67-64CEC910382D}"/>
            </a:ext>
          </a:extLst>
        </xdr:cNvPr>
        <xdr:cNvCxnSpPr/>
      </xdr:nvCxnSpPr>
      <xdr:spPr>
        <a:xfrm>
          <a:off x="197224" y="815788"/>
          <a:ext cx="1730188" cy="0"/>
        </a:xfrm>
        <a:prstGeom prst="line">
          <a:avLst/>
        </a:prstGeom>
        <a:ln w="127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197224</xdr:colOff>
      <xdr:row>8</xdr:row>
      <xdr:rowOff>152400</xdr:rowOff>
    </xdr:from>
    <xdr:to>
      <xdr:col>2</xdr:col>
      <xdr:colOff>107577</xdr:colOff>
      <xdr:row>8</xdr:row>
      <xdr:rowOff>152400</xdr:rowOff>
    </xdr:to>
    <xdr:cxnSp macro="">
      <xdr:nvCxnSpPr>
        <xdr:cNvPr id="43" name="Straight Connector 42">
          <a:extLst>
            <a:ext uri="{FF2B5EF4-FFF2-40B4-BE49-F238E27FC236}">
              <a16:creationId xmlns:a16="http://schemas.microsoft.com/office/drawing/2014/main" id="{723CA0BD-2437-B7B2-9BC3-ED7156CC26AB}"/>
            </a:ext>
          </a:extLst>
        </xdr:cNvPr>
        <xdr:cNvCxnSpPr/>
      </xdr:nvCxnSpPr>
      <xdr:spPr>
        <a:xfrm>
          <a:off x="197224" y="1586753"/>
          <a:ext cx="1730188" cy="0"/>
        </a:xfrm>
        <a:prstGeom prst="line">
          <a:avLst/>
        </a:prstGeom>
        <a:ln w="127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197224</xdr:colOff>
      <xdr:row>16</xdr:row>
      <xdr:rowOff>125505</xdr:rowOff>
    </xdr:from>
    <xdr:to>
      <xdr:col>2</xdr:col>
      <xdr:colOff>107577</xdr:colOff>
      <xdr:row>16</xdr:row>
      <xdr:rowOff>125505</xdr:rowOff>
    </xdr:to>
    <xdr:cxnSp macro="">
      <xdr:nvCxnSpPr>
        <xdr:cNvPr id="44" name="Straight Connector 43">
          <a:extLst>
            <a:ext uri="{FF2B5EF4-FFF2-40B4-BE49-F238E27FC236}">
              <a16:creationId xmlns:a16="http://schemas.microsoft.com/office/drawing/2014/main" id="{CC0A24A4-1B93-61BF-C939-3E2E73D65429}"/>
            </a:ext>
          </a:extLst>
        </xdr:cNvPr>
        <xdr:cNvCxnSpPr/>
      </xdr:nvCxnSpPr>
      <xdr:spPr>
        <a:xfrm>
          <a:off x="197224" y="2994211"/>
          <a:ext cx="1730188" cy="0"/>
        </a:xfrm>
        <a:prstGeom prst="line">
          <a:avLst/>
        </a:prstGeom>
        <a:ln w="127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555812</xdr:colOff>
      <xdr:row>1</xdr:row>
      <xdr:rowOff>8965</xdr:rowOff>
    </xdr:from>
    <xdr:to>
      <xdr:col>21</xdr:col>
      <xdr:colOff>233082</xdr:colOff>
      <xdr:row>3</xdr:row>
      <xdr:rowOff>80683</xdr:rowOff>
    </xdr:to>
    <xdr:sp macro="" textlink="">
      <xdr:nvSpPr>
        <xdr:cNvPr id="45" name="TextBox 44">
          <a:extLst>
            <a:ext uri="{FF2B5EF4-FFF2-40B4-BE49-F238E27FC236}">
              <a16:creationId xmlns:a16="http://schemas.microsoft.com/office/drawing/2014/main" id="{F1AB8F7C-2A46-4A17-EA38-06F6FA2CD9A2}"/>
            </a:ext>
          </a:extLst>
        </xdr:cNvPr>
        <xdr:cNvSpPr txBox="1"/>
      </xdr:nvSpPr>
      <xdr:spPr>
        <a:xfrm>
          <a:off x="2635624" y="188259"/>
          <a:ext cx="10650070" cy="430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1">
                  <a:lumMod val="75000"/>
                  <a:lumOff val="25000"/>
                </a:schemeClr>
              </a:solidFill>
              <a:latin typeface="Cambria" panose="02040503050406030204" pitchFamily="18" charset="0"/>
              <a:ea typeface="Cambria" panose="02040503050406030204" pitchFamily="18" charset="0"/>
            </a:rPr>
            <a:t>Retail Clothing Sales Performance Dashboard</a:t>
          </a:r>
        </a:p>
      </xdr:txBody>
    </xdr:sp>
    <xdr:clientData/>
  </xdr:twoCellAnchor>
  <xdr:twoCellAnchor>
    <xdr:from>
      <xdr:col>9</xdr:col>
      <xdr:colOff>246530</xdr:colOff>
      <xdr:row>15</xdr:row>
      <xdr:rowOff>136377</xdr:rowOff>
    </xdr:from>
    <xdr:to>
      <xdr:col>15</xdr:col>
      <xdr:colOff>102534</xdr:colOff>
      <xdr:row>34</xdr:row>
      <xdr:rowOff>80347</xdr:rowOff>
    </xdr:to>
    <xdr:grpSp>
      <xdr:nvGrpSpPr>
        <xdr:cNvPr id="50" name="Group 49">
          <a:extLst>
            <a:ext uri="{FF2B5EF4-FFF2-40B4-BE49-F238E27FC236}">
              <a16:creationId xmlns:a16="http://schemas.microsoft.com/office/drawing/2014/main" id="{E39BFBA1-E959-3019-ACA6-7DE8167CEB38}"/>
            </a:ext>
          </a:extLst>
        </xdr:cNvPr>
        <xdr:cNvGrpSpPr/>
      </xdr:nvGrpSpPr>
      <xdr:grpSpPr>
        <a:xfrm>
          <a:off x="5954134" y="2821979"/>
          <a:ext cx="3479090" cy="3356273"/>
          <a:chOff x="5950324" y="3126442"/>
          <a:chExt cx="3490520" cy="3344843"/>
        </a:xfrm>
      </xdr:grpSpPr>
      <xdr:sp macro="" textlink="">
        <xdr:nvSpPr>
          <xdr:cNvPr id="49" name="Rectangle: Rounded Corners 48">
            <a:extLst>
              <a:ext uri="{FF2B5EF4-FFF2-40B4-BE49-F238E27FC236}">
                <a16:creationId xmlns:a16="http://schemas.microsoft.com/office/drawing/2014/main" id="{BA87FFB4-5439-0411-2091-793D4C3D609E}"/>
              </a:ext>
            </a:extLst>
          </xdr:cNvPr>
          <xdr:cNvSpPr/>
        </xdr:nvSpPr>
        <xdr:spPr>
          <a:xfrm>
            <a:off x="5950324" y="3126442"/>
            <a:ext cx="3490520" cy="3344843"/>
          </a:xfrm>
          <a:prstGeom prst="roundRect">
            <a:avLst>
              <a:gd name="adj" fmla="val 4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3BCB8CB2-90EE-4271-8495-8AA5330983E4}"/>
                  </a:ext>
                </a:extLst>
              </xdr:cNvPr>
              <xdr:cNvGraphicFramePr/>
            </xdr:nvGraphicFramePr>
            <xdr:xfrm>
              <a:off x="6029709" y="3227294"/>
              <a:ext cx="3341090" cy="3161964"/>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029709" y="3227294"/>
                <a:ext cx="3341090" cy="31619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199129</xdr:colOff>
      <xdr:row>12</xdr:row>
      <xdr:rowOff>152401</xdr:rowOff>
    </xdr:from>
    <xdr:to>
      <xdr:col>2</xdr:col>
      <xdr:colOff>105672</xdr:colOff>
      <xdr:row>12</xdr:row>
      <xdr:rowOff>152401</xdr:rowOff>
    </xdr:to>
    <xdr:cxnSp macro="">
      <xdr:nvCxnSpPr>
        <xdr:cNvPr id="54" name="Straight Connector 53">
          <a:extLst>
            <a:ext uri="{FF2B5EF4-FFF2-40B4-BE49-F238E27FC236}">
              <a16:creationId xmlns:a16="http://schemas.microsoft.com/office/drawing/2014/main" id="{2667BA4F-0F2B-FEE2-032E-D33ABB968198}"/>
            </a:ext>
          </a:extLst>
        </xdr:cNvPr>
        <xdr:cNvCxnSpPr/>
      </xdr:nvCxnSpPr>
      <xdr:spPr>
        <a:xfrm>
          <a:off x="199129" y="2303930"/>
          <a:ext cx="1721896" cy="0"/>
        </a:xfrm>
        <a:prstGeom prst="line">
          <a:avLst/>
        </a:prstGeom>
        <a:ln w="127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131044</xdr:colOff>
      <xdr:row>20</xdr:row>
      <xdr:rowOff>14910</xdr:rowOff>
    </xdr:from>
    <xdr:to>
      <xdr:col>5</xdr:col>
      <xdr:colOff>489748</xdr:colOff>
      <xdr:row>29</xdr:row>
      <xdr:rowOff>167640</xdr:rowOff>
    </xdr:to>
    <xdr:sp macro="" textlink="">
      <xdr:nvSpPr>
        <xdr:cNvPr id="2" name="Rectangle: Rounded Corners 3">
          <a:extLst>
            <a:ext uri="{FF2B5EF4-FFF2-40B4-BE49-F238E27FC236}">
              <a16:creationId xmlns:a16="http://schemas.microsoft.com/office/drawing/2014/main" id="{6FD52822-C6F0-4D84-A832-21A4F0F6E9F6}"/>
            </a:ext>
          </a:extLst>
        </xdr:cNvPr>
        <xdr:cNvSpPr/>
      </xdr:nvSpPr>
      <xdr:spPr>
        <a:xfrm>
          <a:off x="134854" y="3638220"/>
          <a:ext cx="3400989" cy="178150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233082</xdr:colOff>
      <xdr:row>26</xdr:row>
      <xdr:rowOff>165848</xdr:rowOff>
    </xdr:from>
    <xdr:to>
      <xdr:col>1</xdr:col>
      <xdr:colOff>412377</xdr:colOff>
      <xdr:row>28</xdr:row>
      <xdr:rowOff>129988</xdr:rowOff>
    </xdr:to>
    <xdr:sp macro="" textlink="">
      <xdr:nvSpPr>
        <xdr:cNvPr id="3" name="TextBox 2">
          <a:extLst>
            <a:ext uri="{FF2B5EF4-FFF2-40B4-BE49-F238E27FC236}">
              <a16:creationId xmlns:a16="http://schemas.microsoft.com/office/drawing/2014/main" id="{21979AC4-F33A-4AD4-BB91-B66606610B59}"/>
            </a:ext>
          </a:extLst>
        </xdr:cNvPr>
        <xdr:cNvSpPr txBox="1"/>
      </xdr:nvSpPr>
      <xdr:spPr>
        <a:xfrm>
          <a:off x="234987" y="4875008"/>
          <a:ext cx="785085" cy="326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LinkedIn</a:t>
          </a:r>
        </a:p>
      </xdr:txBody>
    </xdr:sp>
    <xdr:clientData/>
  </xdr:twoCellAnchor>
  <xdr:twoCellAnchor>
    <xdr:from>
      <xdr:col>6</xdr:col>
      <xdr:colOff>275865</xdr:colOff>
      <xdr:row>15</xdr:row>
      <xdr:rowOff>163986</xdr:rowOff>
    </xdr:from>
    <xdr:to>
      <xdr:col>18</xdr:col>
      <xdr:colOff>514797</xdr:colOff>
      <xdr:row>30</xdr:row>
      <xdr:rowOff>93457</xdr:rowOff>
    </xdr:to>
    <xdr:grpSp>
      <xdr:nvGrpSpPr>
        <xdr:cNvPr id="4" name="Group 3">
          <a:extLst>
            <a:ext uri="{FF2B5EF4-FFF2-40B4-BE49-F238E27FC236}">
              <a16:creationId xmlns:a16="http://schemas.microsoft.com/office/drawing/2014/main" id="{864F4142-AA74-46EA-B453-22AAE0787DB9}"/>
            </a:ext>
          </a:extLst>
        </xdr:cNvPr>
        <xdr:cNvGrpSpPr/>
      </xdr:nvGrpSpPr>
      <xdr:grpSpPr>
        <a:xfrm>
          <a:off x="3908476" y="2857208"/>
          <a:ext cx="7494629" cy="2618883"/>
          <a:chOff x="3931561" y="2851493"/>
          <a:chExt cx="6001332" cy="2616978"/>
        </a:xfrm>
      </xdr:grpSpPr>
      <xdr:sp macro="" textlink="">
        <xdr:nvSpPr>
          <xdr:cNvPr id="5" name="Rectangle: Rounded Corners 3">
            <a:extLst>
              <a:ext uri="{FF2B5EF4-FFF2-40B4-BE49-F238E27FC236}">
                <a16:creationId xmlns:a16="http://schemas.microsoft.com/office/drawing/2014/main" id="{47D1EF60-8E1C-79AD-599C-244A5362A148}"/>
              </a:ext>
            </a:extLst>
          </xdr:cNvPr>
          <xdr:cNvSpPr/>
        </xdr:nvSpPr>
        <xdr:spPr>
          <a:xfrm>
            <a:off x="3948171" y="2859216"/>
            <a:ext cx="5967615"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0284DCFE-16C0-017E-5C9D-ADAF6068FAE1}"/>
              </a:ext>
            </a:extLst>
          </xdr:cNvPr>
          <xdr:cNvSpPr/>
        </xdr:nvSpPr>
        <xdr:spPr>
          <a:xfrm>
            <a:off x="3931561" y="2851493"/>
            <a:ext cx="6001332"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Explore My Portfolio (GitHub)</a:t>
            </a:r>
          </a:p>
        </xdr:txBody>
      </xdr:sp>
    </xdr:grpSp>
    <xdr:clientData/>
  </xdr:twoCellAnchor>
  <xdr:twoCellAnchor>
    <xdr:from>
      <xdr:col>0</xdr:col>
      <xdr:colOff>105494</xdr:colOff>
      <xdr:row>0</xdr:row>
      <xdr:rowOff>99060</xdr:rowOff>
    </xdr:from>
    <xdr:to>
      <xdr:col>5</xdr:col>
      <xdr:colOff>464198</xdr:colOff>
      <xdr:row>8</xdr:row>
      <xdr:rowOff>60960</xdr:rowOff>
    </xdr:to>
    <xdr:sp macro="" textlink="">
      <xdr:nvSpPr>
        <xdr:cNvPr id="7" name="Rectangle: Rounded Corners 3">
          <a:extLst>
            <a:ext uri="{FF2B5EF4-FFF2-40B4-BE49-F238E27FC236}">
              <a16:creationId xmlns:a16="http://schemas.microsoft.com/office/drawing/2014/main" id="{CBA76CE3-2D4C-4AE4-99DD-8B605EDD78BA}"/>
            </a:ext>
          </a:extLst>
        </xdr:cNvPr>
        <xdr:cNvSpPr/>
      </xdr:nvSpPr>
      <xdr:spPr>
        <a:xfrm>
          <a:off x="103589" y="95250"/>
          <a:ext cx="3410514" cy="140970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99060</xdr:rowOff>
    </xdr:from>
    <xdr:to>
      <xdr:col>5</xdr:col>
      <xdr:colOff>464820</xdr:colOff>
      <xdr:row>2</xdr:row>
      <xdr:rowOff>160020</xdr:rowOff>
    </xdr:to>
    <xdr:sp macro="" textlink="">
      <xdr:nvSpPr>
        <xdr:cNvPr id="8" name="Rectangle: Rounded Corners 7">
          <a:extLst>
            <a:ext uri="{FF2B5EF4-FFF2-40B4-BE49-F238E27FC236}">
              <a16:creationId xmlns:a16="http://schemas.microsoft.com/office/drawing/2014/main" id="{D1E47E53-EEEF-4EE5-8292-E854160B6EF0}"/>
            </a:ext>
          </a:extLst>
        </xdr:cNvPr>
        <xdr:cNvSpPr/>
      </xdr:nvSpPr>
      <xdr:spPr>
        <a:xfrm>
          <a:off x="114300" y="95250"/>
          <a:ext cx="3400425" cy="42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latin typeface="Cambria" panose="02040503050406030204" pitchFamily="18" charset="0"/>
              <a:ea typeface="Cambria" panose="02040503050406030204" pitchFamily="18" charset="0"/>
            </a:rPr>
            <a:t>About this Project</a:t>
          </a:r>
        </a:p>
      </xdr:txBody>
    </xdr:sp>
    <xdr:clientData/>
  </xdr:twoCellAnchor>
  <xdr:twoCellAnchor>
    <xdr:from>
      <xdr:col>0</xdr:col>
      <xdr:colOff>101727</xdr:colOff>
      <xdr:row>9</xdr:row>
      <xdr:rowOff>36576</xdr:rowOff>
    </xdr:from>
    <xdr:to>
      <xdr:col>5</xdr:col>
      <xdr:colOff>477774</xdr:colOff>
      <xdr:row>19</xdr:row>
      <xdr:rowOff>19050</xdr:rowOff>
    </xdr:to>
    <xdr:grpSp>
      <xdr:nvGrpSpPr>
        <xdr:cNvPr id="9" name="Group 8">
          <a:extLst>
            <a:ext uri="{FF2B5EF4-FFF2-40B4-BE49-F238E27FC236}">
              <a16:creationId xmlns:a16="http://schemas.microsoft.com/office/drawing/2014/main" id="{E800F145-4883-4A18-83F5-9BFC216EBDD6}"/>
            </a:ext>
          </a:extLst>
        </xdr:cNvPr>
        <xdr:cNvGrpSpPr/>
      </xdr:nvGrpSpPr>
      <xdr:grpSpPr>
        <a:xfrm>
          <a:off x="97917" y="1650223"/>
          <a:ext cx="3401635" cy="1771605"/>
          <a:chOff x="103632" y="1650223"/>
          <a:chExt cx="3425952" cy="1771605"/>
        </a:xfrm>
      </xdr:grpSpPr>
      <xdr:sp macro="" textlink="">
        <xdr:nvSpPr>
          <xdr:cNvPr id="10" name="Rectangle: Rounded Corners 3">
            <a:extLst>
              <a:ext uri="{FF2B5EF4-FFF2-40B4-BE49-F238E27FC236}">
                <a16:creationId xmlns:a16="http://schemas.microsoft.com/office/drawing/2014/main" id="{742FB9A9-1C3C-BC1F-5053-9C1F2398007F}"/>
              </a:ext>
            </a:extLst>
          </xdr:cNvPr>
          <xdr:cNvSpPr/>
        </xdr:nvSpPr>
        <xdr:spPr>
          <a:xfrm>
            <a:off x="113114" y="1655451"/>
            <a:ext cx="3406704" cy="1766377"/>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6B21E7A-77F1-6869-960F-14DBEB164D68}"/>
              </a:ext>
            </a:extLst>
          </xdr:cNvPr>
          <xdr:cNvSpPr/>
        </xdr:nvSpPr>
        <xdr:spPr>
          <a:xfrm>
            <a:off x="103632" y="1650223"/>
            <a:ext cx="3425952" cy="370454"/>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About Me</a:t>
            </a:r>
          </a:p>
        </xdr:txBody>
      </xdr:sp>
    </xdr:grpSp>
    <xdr:clientData/>
  </xdr:twoCellAnchor>
  <xdr:twoCellAnchor>
    <xdr:from>
      <xdr:col>0</xdr:col>
      <xdr:colOff>251011</xdr:colOff>
      <xdr:row>11</xdr:row>
      <xdr:rowOff>71719</xdr:rowOff>
    </xdr:from>
    <xdr:to>
      <xdr:col>5</xdr:col>
      <xdr:colOff>295834</xdr:colOff>
      <xdr:row>13</xdr:row>
      <xdr:rowOff>44823</xdr:rowOff>
    </xdr:to>
    <xdr:sp macro="" textlink="">
      <xdr:nvSpPr>
        <xdr:cNvPr id="12" name="TextBox 11">
          <a:extLst>
            <a:ext uri="{FF2B5EF4-FFF2-40B4-BE49-F238E27FC236}">
              <a16:creationId xmlns:a16="http://schemas.microsoft.com/office/drawing/2014/main" id="{BA9540EC-5D35-402A-A86A-E1F9B7ABCD6A}"/>
            </a:ext>
          </a:extLst>
        </xdr:cNvPr>
        <xdr:cNvSpPr txBox="1"/>
      </xdr:nvSpPr>
      <xdr:spPr>
        <a:xfrm>
          <a:off x="247201" y="2060539"/>
          <a:ext cx="3094728" cy="3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mbria" panose="02040503050406030204" pitchFamily="18" charset="0"/>
              <a:ea typeface="Cambria" panose="02040503050406030204" pitchFamily="18" charset="0"/>
            </a:rPr>
            <a:t>Vipul</a:t>
          </a:r>
          <a:r>
            <a:rPr lang="en-IN" sz="1600" b="1" baseline="0">
              <a:latin typeface="Cambria" panose="02040503050406030204" pitchFamily="18" charset="0"/>
              <a:ea typeface="Cambria" panose="02040503050406030204" pitchFamily="18" charset="0"/>
            </a:rPr>
            <a:t> Sourabh</a:t>
          </a:r>
          <a:br>
            <a:rPr lang="en-IN" sz="1200" b="1">
              <a:latin typeface="Cambria" panose="02040503050406030204" pitchFamily="18" charset="0"/>
              <a:ea typeface="Cambria" panose="02040503050406030204" pitchFamily="18" charset="0"/>
            </a:rPr>
          </a:br>
          <a:endParaRPr lang="en-IN" sz="1100">
            <a:latin typeface="Cambria" panose="02040503050406030204" pitchFamily="18" charset="0"/>
            <a:ea typeface="Cambria" panose="02040503050406030204" pitchFamily="18" charset="0"/>
          </a:endParaRPr>
        </a:p>
      </xdr:txBody>
    </xdr:sp>
    <xdr:clientData/>
  </xdr:twoCellAnchor>
  <xdr:oneCellAnchor>
    <xdr:from>
      <xdr:col>0</xdr:col>
      <xdr:colOff>251010</xdr:colOff>
      <xdr:row>13</xdr:row>
      <xdr:rowOff>49307</xdr:rowOff>
    </xdr:from>
    <xdr:ext cx="2671483" cy="349622"/>
    <xdr:sp macro="" textlink="">
      <xdr:nvSpPr>
        <xdr:cNvPr id="13" name="TextBox 12">
          <a:extLst>
            <a:ext uri="{FF2B5EF4-FFF2-40B4-BE49-F238E27FC236}">
              <a16:creationId xmlns:a16="http://schemas.microsoft.com/office/drawing/2014/main" id="{10D0ED59-80D9-4C2E-AB63-6D1414542637}"/>
            </a:ext>
          </a:extLst>
        </xdr:cNvPr>
        <xdr:cNvSpPr txBox="1"/>
      </xdr:nvSpPr>
      <xdr:spPr>
        <a:xfrm>
          <a:off x="247200" y="2403887"/>
          <a:ext cx="2671483" cy="3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300" b="1">
              <a:solidFill>
                <a:schemeClr val="tx1"/>
              </a:solidFill>
              <a:effectLst/>
              <a:latin typeface="Cambria" panose="02040503050406030204" pitchFamily="18" charset="0"/>
              <a:ea typeface="Cambria" panose="02040503050406030204" pitchFamily="18" charset="0"/>
              <a:cs typeface="+mn-cs"/>
            </a:rPr>
            <a:t>Data &amp; Analytics Professional </a:t>
          </a:r>
          <a:endParaRPr lang="en-IN" sz="1300">
            <a:effectLst/>
            <a:latin typeface="Cambria" panose="02040503050406030204" pitchFamily="18" charset="0"/>
            <a:ea typeface="Cambria" panose="02040503050406030204" pitchFamily="18" charset="0"/>
          </a:endParaRPr>
        </a:p>
        <a:p>
          <a:endParaRPr lang="en-IN" sz="1300">
            <a:latin typeface="Cambria" panose="02040503050406030204" pitchFamily="18" charset="0"/>
            <a:ea typeface="Cambria" panose="02040503050406030204" pitchFamily="18" charset="0"/>
          </a:endParaRPr>
        </a:p>
      </xdr:txBody>
    </xdr:sp>
    <xdr:clientData/>
  </xdr:oneCellAnchor>
  <xdr:oneCellAnchor>
    <xdr:from>
      <xdr:col>0</xdr:col>
      <xdr:colOff>251011</xdr:colOff>
      <xdr:row>14</xdr:row>
      <xdr:rowOff>143435</xdr:rowOff>
    </xdr:from>
    <xdr:ext cx="3173506" cy="633443"/>
    <xdr:sp macro="" textlink="">
      <xdr:nvSpPr>
        <xdr:cNvPr id="14" name="TextBox 13">
          <a:extLst>
            <a:ext uri="{FF2B5EF4-FFF2-40B4-BE49-F238E27FC236}">
              <a16:creationId xmlns:a16="http://schemas.microsoft.com/office/drawing/2014/main" id="{5123116E-B7CD-4A4B-A023-713EE0D12017}"/>
            </a:ext>
          </a:extLst>
        </xdr:cNvPr>
        <xdr:cNvSpPr txBox="1"/>
      </xdr:nvSpPr>
      <xdr:spPr>
        <a:xfrm>
          <a:off x="247201" y="2675180"/>
          <a:ext cx="3173506"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Building practical business analytics solutions using Excel, SQL, Power BI, Looker Studio, and GA4.</a:t>
          </a:r>
          <a:endParaRPr lang="en-IN" sz="1100">
            <a:latin typeface="Cambria" panose="02040503050406030204" pitchFamily="18" charset="0"/>
            <a:ea typeface="Cambria" panose="02040503050406030204" pitchFamily="18" charset="0"/>
          </a:endParaRPr>
        </a:p>
      </xdr:txBody>
    </xdr:sp>
    <xdr:clientData/>
  </xdr:oneCellAnchor>
  <xdr:twoCellAnchor>
    <xdr:from>
      <xdr:col>0</xdr:col>
      <xdr:colOff>121562</xdr:colOff>
      <xdr:row>20</xdr:row>
      <xdr:rowOff>9682</xdr:rowOff>
    </xdr:from>
    <xdr:to>
      <xdr:col>5</xdr:col>
      <xdr:colOff>499514</xdr:colOff>
      <xdr:row>22</xdr:row>
      <xdr:rowOff>21547</xdr:rowOff>
    </xdr:to>
    <xdr:sp macro="" textlink="">
      <xdr:nvSpPr>
        <xdr:cNvPr id="15" name="Rectangle: Rounded Corners 14">
          <a:extLst>
            <a:ext uri="{FF2B5EF4-FFF2-40B4-BE49-F238E27FC236}">
              <a16:creationId xmlns:a16="http://schemas.microsoft.com/office/drawing/2014/main" id="{EC12D3D9-A75C-4FD9-8792-915B1C110575}"/>
            </a:ext>
          </a:extLst>
        </xdr:cNvPr>
        <xdr:cNvSpPr/>
      </xdr:nvSpPr>
      <xdr:spPr>
        <a:xfrm>
          <a:off x="123467" y="3631087"/>
          <a:ext cx="3425952" cy="368100"/>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Connect with Me</a:t>
          </a:r>
        </a:p>
      </xdr:txBody>
    </xdr:sp>
    <xdr:clientData/>
  </xdr:twoCellAnchor>
  <xdr:twoCellAnchor>
    <xdr:from>
      <xdr:col>6</xdr:col>
      <xdr:colOff>206053</xdr:colOff>
      <xdr:row>0</xdr:row>
      <xdr:rowOff>95518</xdr:rowOff>
    </xdr:from>
    <xdr:to>
      <xdr:col>18</xdr:col>
      <xdr:colOff>493058</xdr:colOff>
      <xdr:row>15</xdr:row>
      <xdr:rowOff>24989</xdr:rowOff>
    </xdr:to>
    <xdr:grpSp>
      <xdr:nvGrpSpPr>
        <xdr:cNvPr id="16" name="Group 15">
          <a:extLst>
            <a:ext uri="{FF2B5EF4-FFF2-40B4-BE49-F238E27FC236}">
              <a16:creationId xmlns:a16="http://schemas.microsoft.com/office/drawing/2014/main" id="{06D7FDF7-62D5-4660-A487-64BD52035495}"/>
            </a:ext>
          </a:extLst>
        </xdr:cNvPr>
        <xdr:cNvGrpSpPr/>
      </xdr:nvGrpSpPr>
      <xdr:grpSpPr>
        <a:xfrm>
          <a:off x="3840569" y="91708"/>
          <a:ext cx="7544607" cy="2618883"/>
          <a:chOff x="3859843" y="99328"/>
          <a:chExt cx="7606015" cy="2616978"/>
        </a:xfrm>
      </xdr:grpSpPr>
      <xdr:sp macro="" textlink="">
        <xdr:nvSpPr>
          <xdr:cNvPr id="17" name="Rectangle: Rounded Corners 3">
            <a:extLst>
              <a:ext uri="{FF2B5EF4-FFF2-40B4-BE49-F238E27FC236}">
                <a16:creationId xmlns:a16="http://schemas.microsoft.com/office/drawing/2014/main" id="{CE4194EE-4E3B-210E-A7FF-70F4470D8938}"/>
              </a:ext>
            </a:extLst>
          </xdr:cNvPr>
          <xdr:cNvSpPr/>
        </xdr:nvSpPr>
        <xdr:spPr>
          <a:xfrm>
            <a:off x="3880894" y="107051"/>
            <a:ext cx="7563282"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57DF4D40-8CBF-8720-EB1F-3EC7A06E8A83}"/>
              </a:ext>
            </a:extLst>
          </xdr:cNvPr>
          <xdr:cNvSpPr/>
        </xdr:nvSpPr>
        <xdr:spPr>
          <a:xfrm>
            <a:off x="3859843" y="99328"/>
            <a:ext cx="7606015"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Project Summary</a:t>
            </a:r>
          </a:p>
        </xdr:txBody>
      </xdr:sp>
    </xdr:grpSp>
    <xdr:clientData/>
  </xdr:twoCellAnchor>
  <xdr:oneCellAnchor>
    <xdr:from>
      <xdr:col>0</xdr:col>
      <xdr:colOff>242048</xdr:colOff>
      <xdr:row>3</xdr:row>
      <xdr:rowOff>19007</xdr:rowOff>
    </xdr:from>
    <xdr:ext cx="3254187" cy="633443"/>
    <xdr:sp macro="" textlink="">
      <xdr:nvSpPr>
        <xdr:cNvPr id="19" name="TextBox 18">
          <a:extLst>
            <a:ext uri="{FF2B5EF4-FFF2-40B4-BE49-F238E27FC236}">
              <a16:creationId xmlns:a16="http://schemas.microsoft.com/office/drawing/2014/main" id="{FAC5B32D-8E42-4403-B5EF-824F2BF7E854}"/>
            </a:ext>
          </a:extLst>
        </xdr:cNvPr>
        <xdr:cNvSpPr txBox="1"/>
      </xdr:nvSpPr>
      <xdr:spPr>
        <a:xfrm>
          <a:off x="245858" y="565742"/>
          <a:ext cx="3254187"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An interactive Excel dashboard for analyzing retail sales performance using Pivot Tables, KPI reporting, and dynamic visualizations.</a:t>
          </a:r>
        </a:p>
      </xdr:txBody>
    </xdr:sp>
    <xdr:clientData/>
  </xdr:oneCellAnchor>
  <xdr:oneCellAnchor>
    <xdr:from>
      <xdr:col>0</xdr:col>
      <xdr:colOff>358589</xdr:colOff>
      <xdr:row>24</xdr:row>
      <xdr:rowOff>9036</xdr:rowOff>
    </xdr:from>
    <xdr:ext cx="488576" cy="489248"/>
    <xdr:pic>
      <xdr:nvPicPr>
        <xdr:cNvPr id="20" name="Picture 19">
          <a:hlinkClick xmlns:r="http://schemas.openxmlformats.org/officeDocument/2006/relationships" r:id="rId2"/>
          <a:extLst>
            <a:ext uri="{FF2B5EF4-FFF2-40B4-BE49-F238E27FC236}">
              <a16:creationId xmlns:a16="http://schemas.microsoft.com/office/drawing/2014/main" id="{BE02C6AF-514A-4FA3-A5C4-51AD8C10AA24}"/>
            </a:ext>
          </a:extLst>
        </xdr:cNvPr>
        <xdr:cNvPicPr>
          <a:picLocks noChangeAspect="1"/>
        </xdr:cNvPicPr>
      </xdr:nvPicPr>
      <xdr:blipFill>
        <a:blip xmlns:r="http://schemas.openxmlformats.org/officeDocument/2006/relationships" r:embed="rId3"/>
        <a:stretch>
          <a:fillRect/>
        </a:stretch>
      </xdr:blipFill>
      <xdr:spPr>
        <a:xfrm>
          <a:off x="362399" y="4354341"/>
          <a:ext cx="488576" cy="489248"/>
        </a:xfrm>
        <a:prstGeom prst="rect">
          <a:avLst/>
        </a:prstGeom>
      </xdr:spPr>
    </xdr:pic>
    <xdr:clientData/>
  </xdr:oneCellAnchor>
  <xdr:oneCellAnchor>
    <xdr:from>
      <xdr:col>1</xdr:col>
      <xdr:colOff>531812</xdr:colOff>
      <xdr:row>24</xdr:row>
      <xdr:rowOff>8965</xdr:rowOff>
    </xdr:from>
    <xdr:ext cx="488717" cy="489390"/>
    <xdr:pic>
      <xdr:nvPicPr>
        <xdr:cNvPr id="21" name="Picture 20">
          <a:hlinkClick xmlns:r="http://schemas.openxmlformats.org/officeDocument/2006/relationships" r:id="rId1"/>
          <a:extLst>
            <a:ext uri="{FF2B5EF4-FFF2-40B4-BE49-F238E27FC236}">
              <a16:creationId xmlns:a16="http://schemas.microsoft.com/office/drawing/2014/main" id="{057D7094-690E-41C7-A22C-ECC5BE4AC865}"/>
            </a:ext>
          </a:extLst>
        </xdr:cNvPr>
        <xdr:cNvPicPr>
          <a:picLocks noChangeAspect="1"/>
        </xdr:cNvPicPr>
      </xdr:nvPicPr>
      <xdr:blipFill>
        <a:blip xmlns:r="http://schemas.openxmlformats.org/officeDocument/2006/relationships" r:embed="rId4"/>
        <a:stretch>
          <a:fillRect/>
        </a:stretch>
      </xdr:blipFill>
      <xdr:spPr>
        <a:xfrm>
          <a:off x="1141412" y="4354270"/>
          <a:ext cx="488717" cy="489390"/>
        </a:xfrm>
        <a:prstGeom prst="rect">
          <a:avLst/>
        </a:prstGeom>
      </xdr:spPr>
    </xdr:pic>
    <xdr:clientData/>
  </xdr:oneCellAnchor>
  <xdr:oneCellAnchor>
    <xdr:from>
      <xdr:col>3</xdr:col>
      <xdr:colOff>95577</xdr:colOff>
      <xdr:row>24</xdr:row>
      <xdr:rowOff>8965</xdr:rowOff>
    </xdr:from>
    <xdr:ext cx="500820" cy="489390"/>
    <xdr:pic>
      <xdr:nvPicPr>
        <xdr:cNvPr id="22" name="Picture 21">
          <a:hlinkClick xmlns:r="http://schemas.openxmlformats.org/officeDocument/2006/relationships" r:id="rId5"/>
          <a:extLst>
            <a:ext uri="{FF2B5EF4-FFF2-40B4-BE49-F238E27FC236}">
              <a16:creationId xmlns:a16="http://schemas.microsoft.com/office/drawing/2014/main" id="{91ECA91E-D147-4B36-9ABB-5EFE168658BE}"/>
            </a:ext>
          </a:extLst>
        </xdr:cNvPr>
        <xdr:cNvPicPr>
          <a:picLocks noChangeAspect="1"/>
        </xdr:cNvPicPr>
      </xdr:nvPicPr>
      <xdr:blipFill>
        <a:blip xmlns:r="http://schemas.openxmlformats.org/officeDocument/2006/relationships" r:embed="rId6"/>
        <a:stretch>
          <a:fillRect/>
        </a:stretch>
      </xdr:blipFill>
      <xdr:spPr>
        <a:xfrm>
          <a:off x="1920567" y="4354270"/>
          <a:ext cx="500820" cy="489390"/>
        </a:xfrm>
        <a:prstGeom prst="rect">
          <a:avLst/>
        </a:prstGeom>
      </xdr:spPr>
    </xdr:pic>
    <xdr:clientData/>
  </xdr:oneCellAnchor>
  <xdr:oneCellAnchor>
    <xdr:from>
      <xdr:col>4</xdr:col>
      <xdr:colOff>268942</xdr:colOff>
      <xdr:row>24</xdr:row>
      <xdr:rowOff>8965</xdr:rowOff>
    </xdr:from>
    <xdr:ext cx="488717" cy="489390"/>
    <xdr:pic>
      <xdr:nvPicPr>
        <xdr:cNvPr id="23" name="Picture 22">
          <a:hlinkClick xmlns:r="http://schemas.openxmlformats.org/officeDocument/2006/relationships" r:id="rId7"/>
          <a:extLst>
            <a:ext uri="{FF2B5EF4-FFF2-40B4-BE49-F238E27FC236}">
              <a16:creationId xmlns:a16="http://schemas.microsoft.com/office/drawing/2014/main" id="{9377B4ED-E9CD-4FAC-953C-A225795CFB11}"/>
            </a:ext>
          </a:extLst>
        </xdr:cNvPr>
        <xdr:cNvPicPr>
          <a:picLocks noChangeAspect="1"/>
        </xdr:cNvPicPr>
      </xdr:nvPicPr>
      <xdr:blipFill>
        <a:blip xmlns:r="http://schemas.openxmlformats.org/officeDocument/2006/relationships" r:embed="rId8"/>
        <a:stretch>
          <a:fillRect/>
        </a:stretch>
      </xdr:blipFill>
      <xdr:spPr>
        <a:xfrm>
          <a:off x="2707342" y="4354270"/>
          <a:ext cx="488717" cy="489390"/>
        </a:xfrm>
        <a:prstGeom prst="rect">
          <a:avLst/>
        </a:prstGeom>
      </xdr:spPr>
    </xdr:pic>
    <xdr:clientData/>
  </xdr:oneCellAnchor>
  <xdr:twoCellAnchor>
    <xdr:from>
      <xdr:col>6</xdr:col>
      <xdr:colOff>277906</xdr:colOff>
      <xdr:row>3</xdr:row>
      <xdr:rowOff>116541</xdr:rowOff>
    </xdr:from>
    <xdr:to>
      <xdr:col>14</xdr:col>
      <xdr:colOff>197224</xdr:colOff>
      <xdr:row>14</xdr:row>
      <xdr:rowOff>98610</xdr:rowOff>
    </xdr:to>
    <xdr:sp macro="" textlink="">
      <xdr:nvSpPr>
        <xdr:cNvPr id="24" name="TextBox 23">
          <a:extLst>
            <a:ext uri="{FF2B5EF4-FFF2-40B4-BE49-F238E27FC236}">
              <a16:creationId xmlns:a16="http://schemas.microsoft.com/office/drawing/2014/main" id="{F74B03B2-C00F-4FE8-9140-E870A166BB8E}"/>
            </a:ext>
          </a:extLst>
        </xdr:cNvPr>
        <xdr:cNvSpPr txBox="1"/>
      </xdr:nvSpPr>
      <xdr:spPr>
        <a:xfrm>
          <a:off x="3937411" y="659466"/>
          <a:ext cx="4796118" cy="196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mbria" panose="02040503050406030204" pitchFamily="18" charset="0"/>
              <a:ea typeface="Cambria" panose="02040503050406030204" pitchFamily="18" charset="0"/>
            </a:rPr>
            <a:t>Project</a:t>
          </a:r>
          <a:r>
            <a:rPr lang="en-IN" sz="1400" b="1" baseline="0">
              <a:latin typeface="Cambria" panose="02040503050406030204" pitchFamily="18" charset="0"/>
              <a:ea typeface="Cambria" panose="02040503050406030204" pitchFamily="18" charset="0"/>
            </a:rPr>
            <a:t> Name:       </a:t>
          </a:r>
          <a:r>
            <a:rPr lang="en-IN" sz="1400" baseline="0">
              <a:latin typeface="Cambria" panose="02040503050406030204" pitchFamily="18" charset="0"/>
              <a:ea typeface="Cambria" panose="02040503050406030204" pitchFamily="18" charset="0"/>
            </a:rPr>
            <a:t>Retail Sales Performance Dashboard</a:t>
          </a:r>
        </a:p>
        <a:p>
          <a:r>
            <a:rPr lang="en-IN" sz="1400" b="1" baseline="0">
              <a:latin typeface="Cambria" panose="02040503050406030204" pitchFamily="18" charset="0"/>
              <a:ea typeface="Cambria" panose="02040503050406030204" pitchFamily="18" charset="0"/>
            </a:rPr>
            <a:t>Dataset:                   </a:t>
          </a:r>
          <a:r>
            <a:rPr lang="en-IN" sz="1400" baseline="0">
              <a:latin typeface="Cambria" panose="02040503050406030204" pitchFamily="18" charset="0"/>
              <a:ea typeface="Cambria" panose="02040503050406030204" pitchFamily="18" charset="0"/>
            </a:rPr>
            <a:t>Pre-cleaned Retail Sales dataset</a:t>
          </a:r>
        </a:p>
        <a:p>
          <a:r>
            <a:rPr lang="en-IN" sz="1400" b="1" baseline="0">
              <a:latin typeface="Cambria" panose="02040503050406030204" pitchFamily="18" charset="0"/>
              <a:ea typeface="Cambria" panose="02040503050406030204" pitchFamily="18" charset="0"/>
            </a:rPr>
            <a:t>Focus:                       </a:t>
          </a:r>
          <a:r>
            <a:rPr lang="en-IN" sz="1400" baseline="0">
              <a:latin typeface="Cambria" panose="02040503050406030204" pitchFamily="18" charset="0"/>
              <a:ea typeface="Cambria" panose="02040503050406030204" pitchFamily="18" charset="0"/>
            </a:rPr>
            <a:t>Dashboard Development</a:t>
          </a:r>
        </a:p>
        <a:p>
          <a:r>
            <a:rPr lang="en-IN" sz="1400" b="1" baseline="0">
              <a:latin typeface="Cambria" panose="02040503050406030204" pitchFamily="18" charset="0"/>
              <a:ea typeface="Cambria" panose="02040503050406030204" pitchFamily="18" charset="0"/>
            </a:rPr>
            <a:t>Techniques:           </a:t>
          </a:r>
          <a:r>
            <a:rPr lang="en-IN" sz="1400" baseline="0">
              <a:latin typeface="Cambria" panose="02040503050406030204" pitchFamily="18" charset="0"/>
              <a:ea typeface="Cambria" panose="02040503050406030204" pitchFamily="18" charset="0"/>
            </a:rPr>
            <a:t>Pivot Tables, Pivot Charts, KPI Reporting</a:t>
          </a:r>
        </a:p>
        <a:p>
          <a:r>
            <a:rPr lang="en-IN" sz="1400" b="1" baseline="0">
              <a:latin typeface="Cambria" panose="02040503050406030204" pitchFamily="18" charset="0"/>
              <a:ea typeface="Cambria" panose="02040503050406030204" pitchFamily="18" charset="0"/>
            </a:rPr>
            <a:t>Dashboard Type: </a:t>
          </a:r>
          <a:r>
            <a:rPr lang="en-IN" sz="1400" baseline="0">
              <a:latin typeface="Cambria" panose="02040503050406030204" pitchFamily="18" charset="0"/>
              <a:ea typeface="Cambria" panose="02040503050406030204" pitchFamily="18" charset="0"/>
            </a:rPr>
            <a:t>Interactive Business Dashboard</a:t>
          </a:r>
        </a:p>
        <a:p>
          <a:r>
            <a:rPr lang="en-IN" sz="1400" b="1" baseline="0">
              <a:latin typeface="Cambria" panose="02040503050406030204" pitchFamily="18" charset="0"/>
              <a:ea typeface="Cambria" panose="02040503050406030204" pitchFamily="18" charset="0"/>
            </a:rPr>
            <a:t>Level:                         </a:t>
          </a:r>
          <a:r>
            <a:rPr lang="en-IN" sz="1400" baseline="0">
              <a:latin typeface="Cambria" panose="02040503050406030204" pitchFamily="18" charset="0"/>
              <a:ea typeface="Cambria" panose="02040503050406030204" pitchFamily="18" charset="0"/>
            </a:rPr>
            <a:t>Intermediate</a:t>
          </a:r>
          <a:endParaRPr lang="en-IN" sz="1400">
            <a:latin typeface="Cambria" panose="02040503050406030204" pitchFamily="18" charset="0"/>
            <a:ea typeface="Cambria" panose="02040503050406030204" pitchFamily="18" charset="0"/>
          </a:endParaRPr>
        </a:p>
      </xdr:txBody>
    </xdr:sp>
    <xdr:clientData/>
  </xdr:twoCellAnchor>
  <xdr:twoCellAnchor>
    <xdr:from>
      <xdr:col>14</xdr:col>
      <xdr:colOff>152401</xdr:colOff>
      <xdr:row>3</xdr:row>
      <xdr:rowOff>449</xdr:rowOff>
    </xdr:from>
    <xdr:to>
      <xdr:col>18</xdr:col>
      <xdr:colOff>373300</xdr:colOff>
      <xdr:row>14</xdr:row>
      <xdr:rowOff>89647</xdr:rowOff>
    </xdr:to>
    <xdr:sp macro="" textlink="">
      <xdr:nvSpPr>
        <xdr:cNvPr id="25" name="Rectangle: Rounded Corners 3">
          <a:extLst>
            <a:ext uri="{FF2B5EF4-FFF2-40B4-BE49-F238E27FC236}">
              <a16:creationId xmlns:a16="http://schemas.microsoft.com/office/drawing/2014/main" id="{59FB63A4-2B42-43DE-8064-6E07B8ECFE00}"/>
            </a:ext>
          </a:extLst>
        </xdr:cNvPr>
        <xdr:cNvSpPr/>
      </xdr:nvSpPr>
      <xdr:spPr>
        <a:xfrm>
          <a:off x="8686801" y="543374"/>
          <a:ext cx="2657394" cy="2083733"/>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gradFill flip="none" rotWithShape="1">
          <a:gsLst>
            <a:gs pos="0">
              <a:schemeClr val="accent6">
                <a:lumMod val="5000"/>
                <a:lumOff val="95000"/>
                <a:alpha val="54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3175">
          <a:solidFill>
            <a:srgbClr val="00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161366</xdr:colOff>
      <xdr:row>3</xdr:row>
      <xdr:rowOff>12553</xdr:rowOff>
    </xdr:from>
    <xdr:ext cx="2716305" cy="1715662"/>
    <xdr:sp macro="" textlink="">
      <xdr:nvSpPr>
        <xdr:cNvPr id="26" name="TextBox 25">
          <a:extLst>
            <a:ext uri="{FF2B5EF4-FFF2-40B4-BE49-F238E27FC236}">
              <a16:creationId xmlns:a16="http://schemas.microsoft.com/office/drawing/2014/main" id="{0B06E2B0-C06C-450F-9C98-673E18E2E28F}"/>
            </a:ext>
          </a:extLst>
        </xdr:cNvPr>
        <xdr:cNvSpPr txBox="1"/>
      </xdr:nvSpPr>
      <xdr:spPr>
        <a:xfrm>
          <a:off x="8697671" y="559288"/>
          <a:ext cx="2716305" cy="171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IN" sz="1200" b="1">
              <a:solidFill>
                <a:schemeClr val="tx1"/>
              </a:solidFill>
              <a:effectLst/>
              <a:latin typeface="Cambria" panose="02040503050406030204" pitchFamily="18" charset="0"/>
              <a:ea typeface="Cambria" panose="02040503050406030204" pitchFamily="18" charset="0"/>
              <a:cs typeface="+mn-cs"/>
            </a:rPr>
            <a:t>DASHBOARD</a:t>
          </a:r>
          <a:r>
            <a:rPr lang="en-IN" sz="1200" b="1" baseline="0">
              <a:solidFill>
                <a:schemeClr val="tx1"/>
              </a:solidFill>
              <a:effectLst/>
              <a:latin typeface="Cambria" panose="02040503050406030204" pitchFamily="18" charset="0"/>
              <a:ea typeface="Cambria" panose="02040503050406030204" pitchFamily="18" charset="0"/>
              <a:cs typeface="+mn-cs"/>
            </a:rPr>
            <a:t> FEATURES</a:t>
          </a:r>
        </a:p>
        <a:p>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KPI Summary Cards</a:t>
          </a:r>
        </a:p>
        <a:p>
          <a:r>
            <a:rPr lang="en-IN" sz="1200" b="0" baseline="0">
              <a:solidFill>
                <a:schemeClr val="tx1"/>
              </a:solidFill>
              <a:effectLst/>
              <a:latin typeface="Cambria" panose="02040503050406030204" pitchFamily="18" charset="0"/>
              <a:ea typeface="Cambria" panose="02040503050406030204" pitchFamily="18" charset="0"/>
              <a:cs typeface="+mn-cs"/>
            </a:rPr>
            <a:t>- Sales by Brand, Retailer, Region </a:t>
          </a:r>
          <a:endParaRPr lang="en-IN" sz="14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Quarterly Sales &amp; Operating Margin   Trends  </a:t>
          </a:r>
        </a:p>
        <a:p>
          <a:pPr marL="0" marR="0" lvl="0" indent="0" defTabSz="914400" eaLnBrk="1" fontAlgn="auto" latinLnBrk="0" hangingPunct="1">
            <a:lnSpc>
              <a:spcPct val="100000"/>
            </a:lnSpc>
            <a:spcBef>
              <a:spcPts val="0"/>
            </a:spcBef>
            <a:spcAft>
              <a:spcPts val="0"/>
            </a:spcAft>
            <a:buClrTx/>
            <a:buSzTx/>
            <a:buFontTx/>
            <a:buNone/>
            <a:tabLst/>
            <a:defRPr/>
          </a:pPr>
          <a:r>
            <a:rPr lang="en-IN" sz="1200" b="0" baseline="0">
              <a:solidFill>
                <a:schemeClr val="tx1"/>
              </a:solidFill>
              <a:effectLst/>
              <a:latin typeface="Cambria" panose="02040503050406030204" pitchFamily="18" charset="0"/>
              <a:ea typeface="Cambria" panose="02040503050406030204" pitchFamily="18" charset="0"/>
              <a:cs typeface="+mn-cs"/>
            </a:rPr>
            <a:t>- Interactive Slicers &amp; Dynamic filtering</a:t>
          </a:r>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Professional Dashboard Layout                                                                                                                                                                      </a:t>
          </a:r>
          <a:endParaRPr lang="en-IN" sz="1400">
            <a:effectLst/>
            <a:latin typeface="Cambria" panose="02040503050406030204" pitchFamily="18" charset="0"/>
            <a:ea typeface="Cambria" panose="02040503050406030204" pitchFamily="18" charset="0"/>
          </a:endParaRPr>
        </a:p>
      </xdr:txBody>
    </xdr:sp>
    <xdr:clientData/>
  </xdr:oneCellAnchor>
  <xdr:twoCellAnchor>
    <xdr:from>
      <xdr:col>6</xdr:col>
      <xdr:colOff>502023</xdr:colOff>
      <xdr:row>18</xdr:row>
      <xdr:rowOff>80681</xdr:rowOff>
    </xdr:from>
    <xdr:to>
      <xdr:col>10</xdr:col>
      <xdr:colOff>242047</xdr:colOff>
      <xdr:row>29</xdr:row>
      <xdr:rowOff>134470</xdr:rowOff>
    </xdr:to>
    <xdr:sp macro="" textlink="">
      <xdr:nvSpPr>
        <xdr:cNvPr id="27" name="Rectangle: Rounded Corners 26">
          <a:extLst>
            <a:ext uri="{FF2B5EF4-FFF2-40B4-BE49-F238E27FC236}">
              <a16:creationId xmlns:a16="http://schemas.microsoft.com/office/drawing/2014/main" id="{6D17A877-DC59-4A12-94F2-8CCC369789F1}"/>
            </a:ext>
          </a:extLst>
        </xdr:cNvPr>
        <xdr:cNvSpPr/>
      </xdr:nvSpPr>
      <xdr:spPr>
        <a:xfrm>
          <a:off x="4161528" y="3340136"/>
          <a:ext cx="2180329" cy="203879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u="sng">
              <a:solidFill>
                <a:schemeClr val="accent6">
                  <a:lumMod val="50000"/>
                </a:schemeClr>
              </a:solidFill>
              <a:latin typeface="Cambria" panose="02040503050406030204" pitchFamily="18" charset="0"/>
              <a:ea typeface="Cambria" panose="02040503050406030204" pitchFamily="18" charset="0"/>
            </a:rPr>
            <a:t>Excel Analytics</a:t>
          </a:r>
          <a:r>
            <a:rPr lang="en-IN" sz="1200" b="1" u="sng" baseline="0">
              <a:solidFill>
                <a:schemeClr val="accent6">
                  <a:lumMod val="50000"/>
                </a:schemeClr>
              </a:solidFill>
              <a:latin typeface="Cambria" panose="02040503050406030204" pitchFamily="18" charset="0"/>
              <a:ea typeface="Cambria" panose="02040503050406030204" pitchFamily="18" charset="0"/>
            </a:rPr>
            <a:t>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528917</xdr:colOff>
      <xdr:row>18</xdr:row>
      <xdr:rowOff>80681</xdr:rowOff>
    </xdr:from>
    <xdr:to>
      <xdr:col>14</xdr:col>
      <xdr:colOff>268941</xdr:colOff>
      <xdr:row>29</xdr:row>
      <xdr:rowOff>134470</xdr:rowOff>
    </xdr:to>
    <xdr:sp macro="" textlink="">
      <xdr:nvSpPr>
        <xdr:cNvPr id="28" name="Rectangle: Rounded Corners 27">
          <a:extLst>
            <a:ext uri="{FF2B5EF4-FFF2-40B4-BE49-F238E27FC236}">
              <a16:creationId xmlns:a16="http://schemas.microsoft.com/office/drawing/2014/main" id="{0D08FC91-5942-436D-ABEE-7D376586AACB}"/>
            </a:ext>
          </a:extLst>
        </xdr:cNvPr>
        <xdr:cNvSpPr/>
      </xdr:nvSpPr>
      <xdr:spPr>
        <a:xfrm>
          <a:off x="6623012" y="3340136"/>
          <a:ext cx="2180329" cy="203879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u="sng">
              <a:solidFill>
                <a:schemeClr val="accent6">
                  <a:lumMod val="50000"/>
                </a:schemeClr>
              </a:solidFill>
              <a:latin typeface="Cambria" panose="02040503050406030204" pitchFamily="18" charset="0"/>
              <a:ea typeface="Cambria" panose="02040503050406030204" pitchFamily="18" charset="0"/>
            </a:rPr>
            <a:t>SQL</a:t>
          </a:r>
          <a:r>
            <a:rPr lang="en-IN" sz="1200" b="1" u="sng" baseline="0">
              <a:solidFill>
                <a:schemeClr val="accent6">
                  <a:lumMod val="50000"/>
                </a:schemeClr>
              </a:solidFill>
              <a:latin typeface="Cambria" panose="02040503050406030204" pitchFamily="18" charset="0"/>
              <a:ea typeface="Cambria" panose="02040503050406030204" pitchFamily="18" charset="0"/>
            </a:rPr>
            <a:t> Analytics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14</xdr:col>
      <xdr:colOff>555811</xdr:colOff>
      <xdr:row>18</xdr:row>
      <xdr:rowOff>80681</xdr:rowOff>
    </xdr:from>
    <xdr:to>
      <xdr:col>18</xdr:col>
      <xdr:colOff>295835</xdr:colOff>
      <xdr:row>29</xdr:row>
      <xdr:rowOff>134470</xdr:rowOff>
    </xdr:to>
    <xdr:sp macro="" textlink="">
      <xdr:nvSpPr>
        <xdr:cNvPr id="29" name="Rectangle: Rounded Corners 28">
          <a:extLst>
            <a:ext uri="{FF2B5EF4-FFF2-40B4-BE49-F238E27FC236}">
              <a16:creationId xmlns:a16="http://schemas.microsoft.com/office/drawing/2014/main" id="{61F55437-5BAB-4FFE-87A6-D01D21DD305E}"/>
            </a:ext>
          </a:extLst>
        </xdr:cNvPr>
        <xdr:cNvSpPr/>
      </xdr:nvSpPr>
      <xdr:spPr>
        <a:xfrm>
          <a:off x="9086401" y="3340136"/>
          <a:ext cx="2180329" cy="203879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6">
                  <a:lumMod val="50000"/>
                </a:schemeClr>
              </a:solidFill>
              <a:latin typeface="Cambria" panose="02040503050406030204" pitchFamily="18" charset="0"/>
              <a:ea typeface="Cambria" panose="02040503050406030204" pitchFamily="18" charset="0"/>
            </a:rPr>
            <a:t>Power BI Portfolio</a:t>
          </a:r>
        </a:p>
      </xdr:txBody>
    </xdr:sp>
    <xdr:clientData/>
  </xdr:twoCellAnchor>
  <xdr:twoCellAnchor>
    <xdr:from>
      <xdr:col>6</xdr:col>
      <xdr:colOff>555811</xdr:colOff>
      <xdr:row>26</xdr:row>
      <xdr:rowOff>35861</xdr:rowOff>
    </xdr:from>
    <xdr:to>
      <xdr:col>10</xdr:col>
      <xdr:colOff>259975</xdr:colOff>
      <xdr:row>28</xdr:row>
      <xdr:rowOff>152401</xdr:rowOff>
    </xdr:to>
    <xdr:sp macro="" textlink="">
      <xdr:nvSpPr>
        <xdr:cNvPr id="30" name="TextBox 29">
          <a:extLst>
            <a:ext uri="{FF2B5EF4-FFF2-40B4-BE49-F238E27FC236}">
              <a16:creationId xmlns:a16="http://schemas.microsoft.com/office/drawing/2014/main" id="{1905E1B1-140A-45C4-AE9A-82E4428647AF}"/>
            </a:ext>
          </a:extLst>
        </xdr:cNvPr>
        <xdr:cNvSpPr txBox="1"/>
      </xdr:nvSpPr>
      <xdr:spPr>
        <a:xfrm>
          <a:off x="4209601" y="4741211"/>
          <a:ext cx="2144469" cy="47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Retail Sales Performance Dashboard</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6</xdr:col>
      <xdr:colOff>555811</xdr:colOff>
      <xdr:row>23</xdr:row>
      <xdr:rowOff>89649</xdr:rowOff>
    </xdr:from>
    <xdr:to>
      <xdr:col>10</xdr:col>
      <xdr:colOff>259975</xdr:colOff>
      <xdr:row>26</xdr:row>
      <xdr:rowOff>26895</xdr:rowOff>
    </xdr:to>
    <xdr:sp macro="" textlink="">
      <xdr:nvSpPr>
        <xdr:cNvPr id="31" name="TextBox 30">
          <a:extLst>
            <a:ext uri="{FF2B5EF4-FFF2-40B4-BE49-F238E27FC236}">
              <a16:creationId xmlns:a16="http://schemas.microsoft.com/office/drawing/2014/main" id="{8A4EDD3A-9B4B-410D-A46A-79C01E53C55E}"/>
            </a:ext>
          </a:extLst>
        </xdr:cNvPr>
        <xdr:cNvSpPr txBox="1"/>
      </xdr:nvSpPr>
      <xdr:spPr>
        <a:xfrm>
          <a:off x="4209601" y="4255884"/>
          <a:ext cx="2144469" cy="474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Interactive Coffee Sales Dashboard</a:t>
          </a:r>
          <a:endParaRPr lang="en-IN" sz="1200">
            <a:effectLst/>
            <a:latin typeface="Cambria" panose="02040503050406030204" pitchFamily="18" charset="0"/>
            <a:ea typeface="Cambria" panose="02040503050406030204" pitchFamily="18" charset="0"/>
          </a:endParaRPr>
        </a:p>
      </xdr:txBody>
    </xdr:sp>
    <xdr:clientData/>
  </xdr:twoCellAnchor>
  <xdr:oneCellAnchor>
    <xdr:from>
      <xdr:col>6</xdr:col>
      <xdr:colOff>403412</xdr:colOff>
      <xdr:row>18</xdr:row>
      <xdr:rowOff>107575</xdr:rowOff>
    </xdr:from>
    <xdr:ext cx="357917" cy="358589"/>
    <xdr:pic>
      <xdr:nvPicPr>
        <xdr:cNvPr id="32" name="Picture 31">
          <a:hlinkClick xmlns:r="http://schemas.openxmlformats.org/officeDocument/2006/relationships" r:id="rId9"/>
          <a:extLst>
            <a:ext uri="{FF2B5EF4-FFF2-40B4-BE49-F238E27FC236}">
              <a16:creationId xmlns:a16="http://schemas.microsoft.com/office/drawing/2014/main" id="{3E0A380E-A212-4B8B-B78F-64985036F33D}"/>
            </a:ext>
          </a:extLst>
        </xdr:cNvPr>
        <xdr:cNvPicPr>
          <a:picLocks noChangeAspect="1"/>
        </xdr:cNvPicPr>
      </xdr:nvPicPr>
      <xdr:blipFill>
        <a:blip xmlns:r="http://schemas.openxmlformats.org/officeDocument/2006/relationships" r:embed="rId10"/>
        <a:stretch>
          <a:fillRect/>
        </a:stretch>
      </xdr:blipFill>
      <xdr:spPr>
        <a:xfrm>
          <a:off x="4057202" y="3363220"/>
          <a:ext cx="357917" cy="358589"/>
        </a:xfrm>
        <a:prstGeom prst="rect">
          <a:avLst/>
        </a:prstGeom>
      </xdr:spPr>
    </xdr:pic>
    <xdr:clientData/>
  </xdr:oneCellAnchor>
  <xdr:oneCellAnchor>
    <xdr:from>
      <xdr:col>10</xdr:col>
      <xdr:colOff>385483</xdr:colOff>
      <xdr:row>18</xdr:row>
      <xdr:rowOff>107577</xdr:rowOff>
    </xdr:from>
    <xdr:ext cx="349803" cy="360000"/>
    <xdr:pic>
      <xdr:nvPicPr>
        <xdr:cNvPr id="33" name="Picture 32">
          <a:hlinkClick xmlns:r="http://schemas.openxmlformats.org/officeDocument/2006/relationships" r:id="rId11"/>
          <a:extLst>
            <a:ext uri="{FF2B5EF4-FFF2-40B4-BE49-F238E27FC236}">
              <a16:creationId xmlns:a16="http://schemas.microsoft.com/office/drawing/2014/main" id="{D2884465-E4B2-4284-932E-35310510FCC5}"/>
            </a:ext>
          </a:extLst>
        </xdr:cNvPr>
        <xdr:cNvPicPr>
          <a:picLocks noChangeAspect="1"/>
        </xdr:cNvPicPr>
      </xdr:nvPicPr>
      <xdr:blipFill>
        <a:blip xmlns:r="http://schemas.openxmlformats.org/officeDocument/2006/relationships" r:embed="rId12"/>
        <a:stretch>
          <a:fillRect/>
        </a:stretch>
      </xdr:blipFill>
      <xdr:spPr>
        <a:xfrm>
          <a:off x="6483388" y="3363222"/>
          <a:ext cx="349803" cy="360000"/>
        </a:xfrm>
        <a:prstGeom prst="rect">
          <a:avLst/>
        </a:prstGeom>
      </xdr:spPr>
    </xdr:pic>
    <xdr:clientData/>
  </xdr:oneCellAnchor>
  <xdr:oneCellAnchor>
    <xdr:from>
      <xdr:col>14</xdr:col>
      <xdr:colOff>430306</xdr:colOff>
      <xdr:row>18</xdr:row>
      <xdr:rowOff>89647</xdr:rowOff>
    </xdr:from>
    <xdr:ext cx="351708" cy="360000"/>
    <xdr:pic>
      <xdr:nvPicPr>
        <xdr:cNvPr id="34" name="Graphic 33" descr="Bar chart with solid fill">
          <a:extLst>
            <a:ext uri="{FF2B5EF4-FFF2-40B4-BE49-F238E27FC236}">
              <a16:creationId xmlns:a16="http://schemas.microsoft.com/office/drawing/2014/main" id="{061D025F-B162-4A7D-82D6-F303217D094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966611" y="3351007"/>
          <a:ext cx="351708" cy="360000"/>
        </a:xfrm>
        <a:prstGeom prst="rect">
          <a:avLst/>
        </a:prstGeom>
      </xdr:spPr>
    </xdr:pic>
    <xdr:clientData/>
  </xdr:oneCellAnchor>
  <xdr:twoCellAnchor>
    <xdr:from>
      <xdr:col>10</xdr:col>
      <xdr:colOff>600634</xdr:colOff>
      <xdr:row>21</xdr:row>
      <xdr:rowOff>44825</xdr:rowOff>
    </xdr:from>
    <xdr:to>
      <xdr:col>14</xdr:col>
      <xdr:colOff>304798</xdr:colOff>
      <xdr:row>22</xdr:row>
      <xdr:rowOff>143435</xdr:rowOff>
    </xdr:to>
    <xdr:sp macro="" textlink="">
      <xdr:nvSpPr>
        <xdr:cNvPr id="35" name="TextBox 34">
          <a:extLst>
            <a:ext uri="{FF2B5EF4-FFF2-40B4-BE49-F238E27FC236}">
              <a16:creationId xmlns:a16="http://schemas.microsoft.com/office/drawing/2014/main" id="{B087600C-3EF4-4045-820F-E431B8659333}"/>
            </a:ext>
          </a:extLst>
        </xdr:cNvPr>
        <xdr:cNvSpPr txBox="1"/>
      </xdr:nvSpPr>
      <xdr:spPr>
        <a:xfrm>
          <a:off x="6694729" y="3847205"/>
          <a:ext cx="2144469" cy="27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latin typeface="Cambria" panose="02040503050406030204" pitchFamily="18" charset="0"/>
              <a:ea typeface="Cambria" panose="02040503050406030204" pitchFamily="18" charset="0"/>
              <a:cs typeface="+mn-cs"/>
            </a:rPr>
            <a:t>Data</a:t>
          </a:r>
          <a:r>
            <a:rPr lang="en-IN" sz="1200" baseline="0">
              <a:solidFill>
                <a:schemeClr val="dk1"/>
              </a:solidFill>
              <a:latin typeface="Cambria" panose="02040503050406030204" pitchFamily="18" charset="0"/>
              <a:ea typeface="Cambria" panose="02040503050406030204" pitchFamily="18" charset="0"/>
              <a:cs typeface="+mn-cs"/>
            </a:rPr>
            <a:t> Warehouse</a:t>
          </a:r>
          <a:endParaRPr lang="en-IN" sz="1200">
            <a:solidFill>
              <a:schemeClr val="dk1"/>
            </a:solidFill>
            <a:latin typeface="Cambria" panose="02040503050406030204" pitchFamily="18" charset="0"/>
            <a:ea typeface="Cambria" panose="02040503050406030204" pitchFamily="18" charset="0"/>
            <a:cs typeface="+mn-cs"/>
          </a:endParaRPr>
        </a:p>
      </xdr:txBody>
    </xdr:sp>
    <xdr:clientData/>
  </xdr:twoCellAnchor>
  <xdr:twoCellAnchor>
    <xdr:from>
      <xdr:col>10</xdr:col>
      <xdr:colOff>573740</xdr:colOff>
      <xdr:row>25</xdr:row>
      <xdr:rowOff>44826</xdr:rowOff>
    </xdr:from>
    <xdr:to>
      <xdr:col>14</xdr:col>
      <xdr:colOff>277904</xdr:colOff>
      <xdr:row>27</xdr:row>
      <xdr:rowOff>161366</xdr:rowOff>
    </xdr:to>
    <xdr:sp macro="" textlink="">
      <xdr:nvSpPr>
        <xdr:cNvPr id="36" name="TextBox 35">
          <a:extLst>
            <a:ext uri="{FF2B5EF4-FFF2-40B4-BE49-F238E27FC236}">
              <a16:creationId xmlns:a16="http://schemas.microsoft.com/office/drawing/2014/main" id="{719442F1-B605-4194-85AB-266E38853FA1}"/>
            </a:ext>
          </a:extLst>
        </xdr:cNvPr>
        <xdr:cNvSpPr txBox="1"/>
      </xdr:nvSpPr>
      <xdr:spPr>
        <a:xfrm>
          <a:off x="6669740" y="4571106"/>
          <a:ext cx="2144469" cy="47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 Analytics</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10</xdr:col>
      <xdr:colOff>591669</xdr:colOff>
      <xdr:row>23</xdr:row>
      <xdr:rowOff>26896</xdr:rowOff>
    </xdr:from>
    <xdr:to>
      <xdr:col>14</xdr:col>
      <xdr:colOff>295833</xdr:colOff>
      <xdr:row>24</xdr:row>
      <xdr:rowOff>152400</xdr:rowOff>
    </xdr:to>
    <xdr:sp macro="" textlink="">
      <xdr:nvSpPr>
        <xdr:cNvPr id="37" name="TextBox 36">
          <a:extLst>
            <a:ext uri="{FF2B5EF4-FFF2-40B4-BE49-F238E27FC236}">
              <a16:creationId xmlns:a16="http://schemas.microsoft.com/office/drawing/2014/main" id="{23E696D3-2A20-4F1E-BE60-9787805237D0}"/>
            </a:ext>
          </a:extLst>
        </xdr:cNvPr>
        <xdr:cNvSpPr txBox="1"/>
      </xdr:nvSpPr>
      <xdr:spPr>
        <a:xfrm>
          <a:off x="6683859" y="4187416"/>
          <a:ext cx="2144469" cy="30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Exploratory Data Analysis</a:t>
          </a:r>
          <a:endParaRPr lang="en-IN" sz="1200">
            <a:effectLst/>
            <a:latin typeface="Cambria" panose="02040503050406030204" pitchFamily="18" charset="0"/>
            <a:ea typeface="Cambria" panose="02040503050406030204" pitchFamily="18" charset="0"/>
          </a:endParaRPr>
        </a:p>
      </xdr:txBody>
    </xdr:sp>
    <xdr:clientData/>
  </xdr:twoCellAnchor>
  <xdr:twoCellAnchor>
    <xdr:from>
      <xdr:col>1</xdr:col>
      <xdr:colOff>457200</xdr:colOff>
      <xdr:row>26</xdr:row>
      <xdr:rowOff>165848</xdr:rowOff>
    </xdr:from>
    <xdr:to>
      <xdr:col>2</xdr:col>
      <xdr:colOff>537881</xdr:colOff>
      <xdr:row>28</xdr:row>
      <xdr:rowOff>129988</xdr:rowOff>
    </xdr:to>
    <xdr:sp macro="" textlink="">
      <xdr:nvSpPr>
        <xdr:cNvPr id="38" name="TextBox 37">
          <a:extLst>
            <a:ext uri="{FF2B5EF4-FFF2-40B4-BE49-F238E27FC236}">
              <a16:creationId xmlns:a16="http://schemas.microsoft.com/office/drawing/2014/main" id="{4EA23BE6-E7F3-4755-9885-C20D2DDB0E63}"/>
            </a:ext>
          </a:extLst>
        </xdr:cNvPr>
        <xdr:cNvSpPr txBox="1"/>
      </xdr:nvSpPr>
      <xdr:spPr>
        <a:xfrm>
          <a:off x="1066800" y="4875008"/>
          <a:ext cx="692186" cy="326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GitHub</a:t>
          </a:r>
        </a:p>
      </xdr:txBody>
    </xdr:sp>
    <xdr:clientData/>
  </xdr:twoCellAnchor>
  <xdr:twoCellAnchor>
    <xdr:from>
      <xdr:col>3</xdr:col>
      <xdr:colOff>44825</xdr:colOff>
      <xdr:row>26</xdr:row>
      <xdr:rowOff>165848</xdr:rowOff>
    </xdr:from>
    <xdr:to>
      <xdr:col>4</xdr:col>
      <xdr:colOff>71719</xdr:colOff>
      <xdr:row>28</xdr:row>
      <xdr:rowOff>129988</xdr:rowOff>
    </xdr:to>
    <xdr:sp macro="" textlink="">
      <xdr:nvSpPr>
        <xdr:cNvPr id="39" name="TextBox 38">
          <a:extLst>
            <a:ext uri="{FF2B5EF4-FFF2-40B4-BE49-F238E27FC236}">
              <a16:creationId xmlns:a16="http://schemas.microsoft.com/office/drawing/2014/main" id="{FE6657A9-F970-43B2-869B-A134E85AEE02}"/>
            </a:ext>
          </a:extLst>
        </xdr:cNvPr>
        <xdr:cNvSpPr txBox="1"/>
      </xdr:nvSpPr>
      <xdr:spPr>
        <a:xfrm>
          <a:off x="1875530" y="4875008"/>
          <a:ext cx="632684" cy="326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Fiverr</a:t>
          </a:r>
        </a:p>
      </xdr:txBody>
    </xdr:sp>
    <xdr:clientData/>
  </xdr:twoCellAnchor>
  <xdr:twoCellAnchor>
    <xdr:from>
      <xdr:col>4</xdr:col>
      <xdr:colOff>268943</xdr:colOff>
      <xdr:row>26</xdr:row>
      <xdr:rowOff>165848</xdr:rowOff>
    </xdr:from>
    <xdr:to>
      <xdr:col>5</xdr:col>
      <xdr:colOff>179295</xdr:colOff>
      <xdr:row>28</xdr:row>
      <xdr:rowOff>129988</xdr:rowOff>
    </xdr:to>
    <xdr:sp macro="" textlink="">
      <xdr:nvSpPr>
        <xdr:cNvPr id="40" name="TextBox 39">
          <a:extLst>
            <a:ext uri="{FF2B5EF4-FFF2-40B4-BE49-F238E27FC236}">
              <a16:creationId xmlns:a16="http://schemas.microsoft.com/office/drawing/2014/main" id="{54D9CE70-D094-4F6A-A796-E00E2211EF6B}"/>
            </a:ext>
          </a:extLst>
        </xdr:cNvPr>
        <xdr:cNvSpPr txBox="1"/>
      </xdr:nvSpPr>
      <xdr:spPr>
        <a:xfrm>
          <a:off x="2707343" y="4875008"/>
          <a:ext cx="518047" cy="326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Mail</a:t>
          </a:r>
        </a:p>
      </xdr:txBody>
    </xdr:sp>
    <xdr:clientData/>
  </xdr:twoCellAnchor>
  <xdr:twoCellAnchor>
    <xdr:from>
      <xdr:col>6</xdr:col>
      <xdr:colOff>555811</xdr:colOff>
      <xdr:row>21</xdr:row>
      <xdr:rowOff>80685</xdr:rowOff>
    </xdr:from>
    <xdr:to>
      <xdr:col>10</xdr:col>
      <xdr:colOff>259975</xdr:colOff>
      <xdr:row>24</xdr:row>
      <xdr:rowOff>17930</xdr:rowOff>
    </xdr:to>
    <xdr:sp macro="" textlink="">
      <xdr:nvSpPr>
        <xdr:cNvPr id="41" name="TextBox 40">
          <a:extLst>
            <a:ext uri="{FF2B5EF4-FFF2-40B4-BE49-F238E27FC236}">
              <a16:creationId xmlns:a16="http://schemas.microsoft.com/office/drawing/2014/main" id="{6E643E59-F67E-4F16-BB77-93FBF96D9D0A}"/>
            </a:ext>
          </a:extLst>
        </xdr:cNvPr>
        <xdr:cNvSpPr txBox="1"/>
      </xdr:nvSpPr>
      <xdr:spPr>
        <a:xfrm>
          <a:off x="4209601" y="3883065"/>
          <a:ext cx="2144469" cy="48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a:t>
          </a:r>
          <a:r>
            <a:rPr lang="en-IN" sz="1200" baseline="0">
              <a:solidFill>
                <a:schemeClr val="dk1"/>
              </a:solidFill>
              <a:effectLst/>
              <a:latin typeface="Cambria" panose="02040503050406030204" pitchFamily="18" charset="0"/>
              <a:ea typeface="Cambria" panose="02040503050406030204" pitchFamily="18" charset="0"/>
              <a:cs typeface="+mn-cs"/>
            </a:rPr>
            <a:t> Data Cleaning</a:t>
          </a:r>
          <a:endParaRPr lang="en-IN" sz="1200">
            <a:effectLst/>
            <a:latin typeface="Cambria" panose="02040503050406030204" pitchFamily="18" charset="0"/>
            <a:ea typeface="Cambria" panose="020405030504060302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434340</xdr:colOff>
      <xdr:row>6</xdr:row>
      <xdr:rowOff>41910</xdr:rowOff>
    </xdr:from>
    <xdr:to>
      <xdr:col>8</xdr:col>
      <xdr:colOff>114300</xdr:colOff>
      <xdr:row>16</xdr:row>
      <xdr:rowOff>167640</xdr:rowOff>
    </xdr:to>
    <xdr:graphicFrame macro="">
      <xdr:nvGraphicFramePr>
        <xdr:cNvPr id="2" name="Chart 1">
          <a:extLst>
            <a:ext uri="{FF2B5EF4-FFF2-40B4-BE49-F238E27FC236}">
              <a16:creationId xmlns:a16="http://schemas.microsoft.com/office/drawing/2014/main" id="{6D429472-9C5A-0CBE-0D32-E4B9BDFF0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5</xdr:row>
      <xdr:rowOff>224790</xdr:rowOff>
    </xdr:from>
    <xdr:to>
      <xdr:col>9</xdr:col>
      <xdr:colOff>449580</xdr:colOff>
      <xdr:row>19</xdr:row>
      <xdr:rowOff>179070</xdr:rowOff>
    </xdr:to>
    <xdr:graphicFrame macro="">
      <xdr:nvGraphicFramePr>
        <xdr:cNvPr id="2" name="Chart 1">
          <a:extLst>
            <a:ext uri="{FF2B5EF4-FFF2-40B4-BE49-F238E27FC236}">
              <a16:creationId xmlns:a16="http://schemas.microsoft.com/office/drawing/2014/main" id="{92C0343B-71E1-2C85-4DD6-AE94EFA70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586740</xdr:colOff>
      <xdr:row>5</xdr:row>
      <xdr:rowOff>224790</xdr:rowOff>
    </xdr:from>
    <xdr:to>
      <xdr:col>7</xdr:col>
      <xdr:colOff>350520</xdr:colOff>
      <xdr:row>19</xdr:row>
      <xdr:rowOff>179070</xdr:rowOff>
    </xdr:to>
    <xdr:graphicFrame macro="">
      <xdr:nvGraphicFramePr>
        <xdr:cNvPr id="2" name="Chart 1">
          <a:extLst>
            <a:ext uri="{FF2B5EF4-FFF2-40B4-BE49-F238E27FC236}">
              <a16:creationId xmlns:a16="http://schemas.microsoft.com/office/drawing/2014/main" id="{C93A5A6C-3D36-4CD2-A9C7-E8F7EFF90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5</xdr:row>
      <xdr:rowOff>224790</xdr:rowOff>
    </xdr:from>
    <xdr:to>
      <xdr:col>7</xdr:col>
      <xdr:colOff>525780</xdr:colOff>
      <xdr:row>19</xdr:row>
      <xdr:rowOff>179070</xdr:rowOff>
    </xdr:to>
    <xdr:graphicFrame macro="">
      <xdr:nvGraphicFramePr>
        <xdr:cNvPr id="3" name="Chart 2">
          <a:extLst>
            <a:ext uri="{FF2B5EF4-FFF2-40B4-BE49-F238E27FC236}">
              <a16:creationId xmlns:a16="http://schemas.microsoft.com/office/drawing/2014/main" id="{177C628B-DF39-519B-1EB8-E81D2D44A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350520</xdr:colOff>
      <xdr:row>11</xdr:row>
      <xdr:rowOff>125730</xdr:rowOff>
    </xdr:from>
    <xdr:to>
      <xdr:col>4</xdr:col>
      <xdr:colOff>967740</xdr:colOff>
      <xdr:row>26</xdr:row>
      <xdr:rowOff>125730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ACB8947-B753-6BCE-E06A-C24D215DD2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2425" y="2358390"/>
              <a:ext cx="4600575" cy="2714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99060</xdr:colOff>
      <xdr:row>17</xdr:row>
      <xdr:rowOff>121920</xdr:rowOff>
    </xdr:from>
    <xdr:to>
      <xdr:col>10</xdr:col>
      <xdr:colOff>22860</xdr:colOff>
      <xdr:row>26</xdr:row>
      <xdr:rowOff>34290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CA2F712C-2FB7-1BD1-7FFD-20E0FF860C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81675" y="3438525"/>
              <a:ext cx="2952750" cy="1539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388620</xdr:colOff>
      <xdr:row>5</xdr:row>
      <xdr:rowOff>224790</xdr:rowOff>
    </xdr:from>
    <xdr:to>
      <xdr:col>9</xdr:col>
      <xdr:colOff>251460</xdr:colOff>
      <xdr:row>19</xdr:row>
      <xdr:rowOff>179070</xdr:rowOff>
    </xdr:to>
    <xdr:graphicFrame macro="">
      <xdr:nvGraphicFramePr>
        <xdr:cNvPr id="3" name="Chart 2">
          <a:extLst>
            <a:ext uri="{FF2B5EF4-FFF2-40B4-BE49-F238E27FC236}">
              <a16:creationId xmlns:a16="http://schemas.microsoft.com/office/drawing/2014/main" id="{91F7528C-4CCE-D45B-2498-EB0EF0905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388620</xdr:colOff>
      <xdr:row>5</xdr:row>
      <xdr:rowOff>224790</xdr:rowOff>
    </xdr:from>
    <xdr:to>
      <xdr:col>9</xdr:col>
      <xdr:colOff>251460</xdr:colOff>
      <xdr:row>19</xdr:row>
      <xdr:rowOff>179070</xdr:rowOff>
    </xdr:to>
    <xdr:graphicFrame macro="">
      <xdr:nvGraphicFramePr>
        <xdr:cNvPr id="2" name="Chart 1">
          <a:extLst>
            <a:ext uri="{FF2B5EF4-FFF2-40B4-BE49-F238E27FC236}">
              <a16:creationId xmlns:a16="http://schemas.microsoft.com/office/drawing/2014/main" id="{782D2051-6E24-43C5-9025-1E20D0A6B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1"/>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refreshedDate="46231.830033333332" createdVersion="8" refreshedVersion="8" minRefreshableVersion="3" recordCount="2400" xr:uid="{F9D4A742-493C-44E9-9177-C71F6E3348C7}">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0415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689E6-BE9F-4E93-BDE3-665397CE085D}" name="KPI card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4" firstHeaderRow="0" firstDataRow="1" firstDataCol="0"/>
  <pivotFields count="18">
    <pivotField dataField="1"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h="1" x="3"/>
        <item h="1" x="4"/>
        <item h="1" x="2"/>
        <item h="1" x="1"/>
        <item t="default"/>
      </items>
    </pivotField>
    <pivotField dataField="1" compact="0" outline="0" showAll="0"/>
    <pivotField compact="0" outline="0" showAll="0"/>
    <pivotField compact="0" outline="0" showAll="0"/>
    <pivotField dataField="1" compact="0" outline="0" showAll="0"/>
    <pivotField compact="0" outline="0" showAll="0"/>
    <pivotField compact="0" outline="0" showAll="0">
      <items count="5">
        <item x="2"/>
        <item x="1"/>
        <item x="3"/>
        <item x="0"/>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numFmtId="2"/>
    <dataField name="Average of Days to Deliver" fld="12"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DA21F-4004-41CB-8F3A-61BB39F11A9B}" name="KPI card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4" firstHeaderRow="0" firstDataRow="1" firstDataCol="0"/>
  <pivotFields count="18">
    <pivotField dataField="1"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dataField="1" compact="0" outline="0" showAll="0"/>
    <pivotField compact="0" outline="0" showAll="0"/>
    <pivotField compact="0" outline="0" showAll="0"/>
    <pivotField dataField="1" compact="0" outline="0" showAll="0"/>
    <pivotField compact="0" outline="0" showAll="0"/>
    <pivotField compact="0" outline="0" showAll="0">
      <items count="5">
        <item x="2"/>
        <item x="1"/>
        <item x="3"/>
        <item x="0"/>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numFmtId="2"/>
    <dataField name="Average of Days to Deliver" fld="12"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FE80B8-42B3-4461-8AC6-6EB9E1C9CAAA}" name="Trend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C17" firstHeaderRow="0" firstDataRow="1" firstDataCol="1"/>
  <pivotFields count="18">
    <pivotField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A6F03-283C-41E3-A517-9BF260F26376}" name="Customer preferan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F10" firstHeaderRow="1" firstDataRow="2" firstDataCol="1"/>
  <pivotFields count="18">
    <pivotField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axis="axisRow"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axis="axisCol" compact="0" outline="0" showAll="0">
      <items count="5">
        <item x="2"/>
        <item x="1"/>
        <item x="3"/>
        <item x="0"/>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Quantity" fld="2"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81D4B-9AB8-499C-9C7A-A3DC9971A0E5}" name="How many bough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11" firstHeaderRow="1" firstDataRow="1" firstDataCol="1"/>
  <pivotFields count="18">
    <pivotField dataField="1"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axis="axisRow" compact="0" outline="0" subtotalTop="0" showAll="0">
      <items count="8">
        <item x="0"/>
        <item x="1"/>
        <item x="2"/>
        <item x="4"/>
        <item x="3"/>
        <item n="6 To 10" sd="0" x="5"/>
        <item n="More than 10"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5F682-0AAF-4B51-98AB-A4ED9C4A9042}" name="Popular prod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3:F25" firstHeaderRow="1" firstDataRow="2" firstDataCol="1"/>
  <pivotFields count="18">
    <pivotField compact="0" outline="0" showAll="0"/>
    <pivotField axis="axisRow"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axis="axisCol" compact="0" outline="0" showAll="0">
      <items count="5">
        <item x="2"/>
        <item x="1"/>
        <item x="3"/>
        <item x="0"/>
        <item t="default"/>
      </items>
    </pivotField>
    <pivotField compact="0" outline="0" subtotalTop="0" showAll="0">
      <items count="8">
        <item x="0"/>
        <item x="1"/>
        <item x="2"/>
        <item x="4"/>
        <item x="3"/>
        <item n="6 To 10" sd="0" x="5"/>
        <item n="More than 10"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4"/>
    </i>
    <i>
      <x v="4"/>
    </i>
    <i>
      <x v="12"/>
    </i>
    <i>
      <x v="11"/>
    </i>
    <i>
      <x v="5"/>
    </i>
    <i>
      <x v="2"/>
    </i>
    <i>
      <x v="8"/>
    </i>
    <i>
      <x v="9"/>
    </i>
    <i>
      <x v="3"/>
    </i>
    <i>
      <x v="19"/>
    </i>
    <i>
      <x v="10"/>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2">
          <reference field="4294967294" count="1" selected="0">
            <x v="0"/>
          </reference>
          <reference field="14" count="1" selected="0">
            <x v="1"/>
          </reference>
        </references>
      </pivotArea>
    </chartFormat>
    <chartFormat chart="14" format="4" series="1">
      <pivotArea type="data" outline="0" fieldPosition="0">
        <references count="2">
          <reference field="4294967294" count="1" selected="0">
            <x v="0"/>
          </reference>
          <reference field="14" count="1" selected="0">
            <x v="2"/>
          </reference>
        </references>
      </pivotArea>
    </chartFormat>
    <chartFormat chart="14" format="5" series="1">
      <pivotArea type="data" outline="0" fieldPosition="0">
        <references count="2">
          <reference field="4294967294" count="1" selected="0">
            <x v="0"/>
          </reference>
          <reference field="14" count="1" selected="0">
            <x v="3"/>
          </reference>
        </references>
      </pivotArea>
    </chartFormat>
    <chartFormat chart="19" format="10" series="1">
      <pivotArea type="data" outline="0" fieldPosition="0">
        <references count="2">
          <reference field="4294967294" count="1" selected="0">
            <x v="0"/>
          </reference>
          <reference field="14" count="1" selected="0">
            <x v="0"/>
          </reference>
        </references>
      </pivotArea>
    </chartFormat>
    <chartFormat chart="19" format="11" series="1">
      <pivotArea type="data" outline="0" fieldPosition="0">
        <references count="2">
          <reference field="4294967294" count="1" selected="0">
            <x v="0"/>
          </reference>
          <reference field="14" count="1" selected="0">
            <x v="1"/>
          </reference>
        </references>
      </pivotArea>
    </chartFormat>
    <chartFormat chart="19" format="12" series="1">
      <pivotArea type="data" outline="0" fieldPosition="0">
        <references count="2">
          <reference field="4294967294" count="1" selected="0">
            <x v="0"/>
          </reference>
          <reference field="14" count="1" selected="0">
            <x v="2"/>
          </reference>
        </references>
      </pivotArea>
    </chartFormat>
    <chartFormat chart="19" format="1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F715C-BB65-41F4-90CC-495E2A5FCF80}" name="Gender spli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3:B8" firstHeaderRow="1" firstDataRow="1" firstDataCol="1"/>
  <pivotFields count="18">
    <pivotField compact="0" outline="0" showAll="0"/>
    <pivotField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axis="axisRow" compact="0" outline="0" showAll="0">
      <items count="5">
        <item x="2"/>
        <item x="1"/>
        <item x="3"/>
        <item x="0"/>
        <item t="default"/>
      </items>
    </pivotField>
    <pivotField compact="0" outline="0" subtotalTop="0" showAll="0">
      <items count="8">
        <item x="0"/>
        <item x="1"/>
        <item x="2"/>
        <item x="4"/>
        <item x="3"/>
        <item n="6 To 10" sd="0" x="5"/>
        <item n="More than 10"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6">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2">
          <reference field="4294967294" count="1" selected="0">
            <x v="0"/>
          </reference>
          <reference field="14" count="1" selected="0">
            <x v="1"/>
          </reference>
        </references>
      </pivotArea>
    </chartFormat>
    <chartFormat chart="14" format="4" series="1">
      <pivotArea type="data" outline="0" fieldPosition="0">
        <references count="2">
          <reference field="4294967294" count="1" selected="0">
            <x v="0"/>
          </reference>
          <reference field="14" count="1" selected="0">
            <x v="2"/>
          </reference>
        </references>
      </pivotArea>
    </chartFormat>
    <chartFormat chart="14" format="5" series="1">
      <pivotArea type="data" outline="0" fieldPosition="0">
        <references count="2">
          <reference field="4294967294" count="1" selected="0">
            <x v="0"/>
          </reference>
          <reference field="14" count="1" selected="0">
            <x v="3"/>
          </reference>
        </references>
      </pivotArea>
    </chartFormat>
    <chartFormat chart="18" format="6" series="1">
      <pivotArea type="data" outline="0" fieldPosition="0">
        <references count="2">
          <reference field="4294967294" count="1" selected="0">
            <x v="0"/>
          </reference>
          <reference field="14" count="1" selected="0">
            <x v="0"/>
          </reference>
        </references>
      </pivotArea>
    </chartFormat>
    <chartFormat chart="18" format="7" series="1">
      <pivotArea type="data" outline="0" fieldPosition="0">
        <references count="2">
          <reference field="4294967294" count="1" selected="0">
            <x v="0"/>
          </reference>
          <reference field="14" count="1" selected="0">
            <x v="1"/>
          </reference>
        </references>
      </pivotArea>
    </chartFormat>
    <chartFormat chart="18" format="8" series="1">
      <pivotArea type="data" outline="0" fieldPosition="0">
        <references count="2">
          <reference field="4294967294" count="1" selected="0">
            <x v="0"/>
          </reference>
          <reference field="14" count="1" selected="0">
            <x v="2"/>
          </reference>
        </references>
      </pivotArea>
    </chartFormat>
    <chartFormat chart="18" format="9" series="1">
      <pivotArea type="data" outline="0" fieldPosition="0">
        <references count="2">
          <reference field="4294967294" count="1" selected="0">
            <x v="0"/>
          </reference>
          <reference field="14" count="1" selected="0">
            <x v="3"/>
          </reference>
        </references>
      </pivotArea>
    </chartFormat>
    <chartFormat chart="19" format="10" series="1">
      <pivotArea type="data" outline="0" fieldPosition="0">
        <references count="2">
          <reference field="4294967294" count="1" selected="0">
            <x v="0"/>
          </reference>
          <reference field="14" count="1" selected="0">
            <x v="0"/>
          </reference>
        </references>
      </pivotArea>
    </chartFormat>
    <chartFormat chart="19" format="11" series="1">
      <pivotArea type="data" outline="0" fieldPosition="0">
        <references count="2">
          <reference field="4294967294" count="1" selected="0">
            <x v="0"/>
          </reference>
          <reference field="14" count="1" selected="0">
            <x v="1"/>
          </reference>
        </references>
      </pivotArea>
    </chartFormat>
    <chartFormat chart="19" format="12" series="1">
      <pivotArea type="data" outline="0" fieldPosition="0">
        <references count="2">
          <reference field="4294967294" count="1" selected="0">
            <x v="0"/>
          </reference>
          <reference field="14" count="1" selected="0">
            <x v="2"/>
          </reference>
        </references>
      </pivotArea>
    </chartFormat>
    <chartFormat chart="19" format="13" series="1">
      <pivotArea type="data" outline="0" fieldPosition="0">
        <references count="2">
          <reference field="4294967294" count="1" selected="0">
            <x v="0"/>
          </reference>
          <reference field="14" count="1" selected="0">
            <x v="3"/>
          </reference>
        </references>
      </pivotArea>
    </chartFormat>
    <chartFormat chart="22" format="0" series="1">
      <pivotArea type="data" outline="0" fieldPosition="0">
        <references count="2">
          <reference field="4294967294" count="1" selected="0">
            <x v="0"/>
          </reference>
          <reference field="14" count="1" selected="0">
            <x v="0"/>
          </reference>
        </references>
      </pivotArea>
    </chartFormat>
    <chartFormat chart="22" format="1" series="1">
      <pivotArea type="data" outline="0" fieldPosition="0">
        <references count="2">
          <reference field="4294967294" count="1" selected="0">
            <x v="0"/>
          </reference>
          <reference field="14" count="1" selected="0">
            <x v="1"/>
          </reference>
        </references>
      </pivotArea>
    </chartFormat>
    <chartFormat chart="22" format="2" series="1">
      <pivotArea type="data" outline="0" fieldPosition="0">
        <references count="2">
          <reference field="4294967294" count="1" selected="0">
            <x v="0"/>
          </reference>
          <reference field="14" count="1" selected="0">
            <x v="2"/>
          </reference>
        </references>
      </pivotArea>
    </chartFormat>
    <chartFormat chart="22" format="3" series="1">
      <pivotArea type="data" outline="0" fieldPosition="0">
        <references count="2">
          <reference field="4294967294" count="1" selected="0">
            <x v="0"/>
          </reference>
          <reference field="14" count="1" selected="0">
            <x v="3"/>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14" count="1" selected="0">
            <x v="0"/>
          </reference>
        </references>
      </pivotArea>
    </chartFormat>
    <chartFormat chart="27" format="2">
      <pivotArea type="data" outline="0" fieldPosition="0">
        <references count="2">
          <reference field="4294967294" count="1" selected="0">
            <x v="0"/>
          </reference>
          <reference field="14" count="1" selected="0">
            <x v="3"/>
          </reference>
        </references>
      </pivotArea>
    </chartFormat>
    <chartFormat chart="27" format="3">
      <pivotArea type="data" outline="0" fieldPosition="0">
        <references count="2">
          <reference field="4294967294" count="1" selected="0">
            <x v="0"/>
          </reference>
          <reference field="14" count="1" selected="0">
            <x v="2"/>
          </reference>
        </references>
      </pivotArea>
    </chartFormat>
    <chartFormat chart="27" format="4">
      <pivotArea type="data" outline="0" fieldPosition="0">
        <references count="2">
          <reference field="4294967294" count="1" selected="0">
            <x v="0"/>
          </reference>
          <reference field="14" count="1" selected="0">
            <x v="1"/>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14" count="1" selected="0">
            <x v="0"/>
          </reference>
        </references>
      </pivotArea>
    </chartFormat>
    <chartFormat chart="29" format="12">
      <pivotArea type="data" outline="0" fieldPosition="0">
        <references count="2">
          <reference field="4294967294" count="1" selected="0">
            <x v="0"/>
          </reference>
          <reference field="14" count="1" selected="0">
            <x v="1"/>
          </reference>
        </references>
      </pivotArea>
    </chartFormat>
    <chartFormat chart="29" format="13">
      <pivotArea type="data" outline="0" fieldPosition="0">
        <references count="2">
          <reference field="4294967294" count="1" selected="0">
            <x v="0"/>
          </reference>
          <reference field="14" count="1" selected="0">
            <x v="2"/>
          </reference>
        </references>
      </pivotArea>
    </chartFormat>
    <chartFormat chart="29"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F8EBDF-916D-4C12-9B87-BE3690AAA76E}" name="Map Q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2">
            <reference field="4294967294" count="1" selected="0">
              <x v="0"/>
            </reference>
            <reference field="1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7">
        <item x="0"/>
        <item x="1"/>
        <item x="2"/>
        <item x="4"/>
        <item x="3"/>
        <item n="6 To 10" sd="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4">
    <chartFormat chart="1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20B222-D82D-4BDD-AAA8-601D52AF2CE8}" name="Time to shi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location ref="A3:B19" firstHeaderRow="1" firstDataRow="1" firstDataCol="1"/>
  <pivotFields count="18">
    <pivotField dataField="1" compact="0" outline="0" showAll="0"/>
    <pivotField compact="0" outline="0" showAll="0">
      <items count="21">
        <item x="14"/>
        <item x="10"/>
        <item x="12"/>
        <item x="15"/>
        <item x="4"/>
        <item x="7"/>
        <item x="6"/>
        <item x="19"/>
        <item x="18"/>
        <item x="11"/>
        <item x="17"/>
        <item x="5"/>
        <item x="0"/>
        <item x="2"/>
        <item x="9"/>
        <item x="16"/>
        <item x="1"/>
        <item x="13"/>
        <item x="8"/>
        <item x="3"/>
        <item t="default"/>
      </items>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axis="axisRow" compact="0" outline="0" showAll="0">
      <items count="16">
        <item x="7"/>
        <item x="3"/>
        <item x="1"/>
        <item x="2"/>
        <item x="5"/>
        <item x="0"/>
        <item x="4"/>
        <item x="6"/>
        <item x="9"/>
        <item x="8"/>
        <item x="14"/>
        <item x="11"/>
        <item x="13"/>
        <item x="10"/>
        <item x="12"/>
        <item t="default"/>
      </items>
    </pivotField>
    <pivotField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ubtotalTop="0" showAll="0">
      <items count="8">
        <item x="0"/>
        <item x="1"/>
        <item x="2"/>
        <item x="4"/>
        <item x="3"/>
        <item n="6 To 10" sd="0" x="5"/>
        <item n="More than 10"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BDCC82-BE24-47B6-9CA4-663F441C2214}" name="cust satisfa"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location ref="A3:G8" firstHeaderRow="1" firstDataRow="2" firstDataCol="1"/>
  <pivotFields count="18">
    <pivotField dataField="1" compact="0" outline="0" showAll="0"/>
    <pivotField compact="0" outline="0" showAll="0">
      <items count="21">
        <item x="14"/>
        <item x="10"/>
        <item x="12"/>
        <item x="15"/>
        <item x="4"/>
        <item x="7"/>
        <item x="6"/>
        <item x="19"/>
        <item x="18"/>
        <item x="11"/>
        <item x="17"/>
        <item x="5"/>
        <item x="0"/>
        <item x="2"/>
        <item x="9"/>
        <item x="16"/>
        <item x="1"/>
        <item x="13"/>
        <item x="8"/>
        <item x="3"/>
        <item t="default"/>
      </items>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axis="axisCol" compact="0" outline="0" showAll="0">
      <items count="6">
        <item x="3"/>
        <item x="4"/>
        <item x="1"/>
        <item x="0"/>
        <item x="2"/>
        <item t="default"/>
      </items>
    </pivotField>
    <pivotField compact="0" outline="0" showAll="0"/>
    <pivotField compact="0" outline="0" showAll="0"/>
    <pivotField compact="0" outline="0" showAll="0">
      <items count="16">
        <item x="7"/>
        <item x="3"/>
        <item x="1"/>
        <item x="2"/>
        <item x="5"/>
        <item x="0"/>
        <item x="4"/>
        <item x="6"/>
        <item x="9"/>
        <item x="8"/>
        <item x="14"/>
        <item x="11"/>
        <item x="13"/>
        <item x="10"/>
        <item x="12"/>
        <item t="default"/>
      </items>
    </pivotField>
    <pivotField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ubtotalTop="0" showAll="0">
      <items count="8">
        <item x="0"/>
        <item x="1"/>
        <item x="2"/>
        <item x="4"/>
        <item x="3"/>
        <item n="6 To 10" sd="0" x="5"/>
        <item n="More than 10" x="6"/>
        <item t="default"/>
      </items>
    </pivotField>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2">
    <chartFormat chart="24" format="1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8" format="89" series="1">
      <pivotArea type="data" outline="0" fieldPosition="0">
        <references count="2">
          <reference field="4294967294" count="1" selected="0">
            <x v="0"/>
          </reference>
          <reference field="9" count="1" selected="0">
            <x v="1"/>
          </reference>
        </references>
      </pivotArea>
    </chartFormat>
    <chartFormat chart="28" format="90" series="1">
      <pivotArea type="data" outline="0" fieldPosition="0">
        <references count="2">
          <reference field="4294967294" count="1" selected="0">
            <x v="0"/>
          </reference>
          <reference field="9" count="1" selected="0">
            <x v="2"/>
          </reference>
        </references>
      </pivotArea>
    </chartFormat>
    <chartFormat chart="28" format="91" series="1">
      <pivotArea type="data" outline="0" fieldPosition="0">
        <references count="2">
          <reference field="4294967294" count="1" selected="0">
            <x v="0"/>
          </reference>
          <reference field="9" count="1" selected="0">
            <x v="3"/>
          </reference>
        </references>
      </pivotArea>
    </chartFormat>
    <chartFormat chart="28" format="92" series="1">
      <pivotArea type="data" outline="0" fieldPosition="0">
        <references count="2">
          <reference field="4294967294" count="1" selected="0">
            <x v="0"/>
          </reference>
          <reference field="9" count="1" selected="0">
            <x v="4"/>
          </reference>
        </references>
      </pivotArea>
    </chartFormat>
    <chartFormat chart="31" format="3" series="1">
      <pivotArea type="data" outline="0" fieldPosition="0">
        <references count="2">
          <reference field="4294967294" count="1" selected="0">
            <x v="0"/>
          </reference>
          <reference field="9" count="1" selected="0">
            <x v="0"/>
          </reference>
        </references>
      </pivotArea>
    </chartFormat>
    <chartFormat chart="31" format="4" series="1">
      <pivotArea type="data" outline="0" fieldPosition="0">
        <references count="2">
          <reference field="4294967294" count="1" selected="0">
            <x v="0"/>
          </reference>
          <reference field="9" count="1" selected="0">
            <x v="1"/>
          </reference>
        </references>
      </pivotArea>
    </chartFormat>
    <chartFormat chart="31" format="5" series="1">
      <pivotArea type="data" outline="0" fieldPosition="0">
        <references count="2">
          <reference field="4294967294" count="1" selected="0">
            <x v="0"/>
          </reference>
          <reference field="9" count="1" selected="0">
            <x v="2"/>
          </reference>
        </references>
      </pivotArea>
    </chartFormat>
    <chartFormat chart="31" format="6" series="1">
      <pivotArea type="data" outline="0" fieldPosition="0">
        <references count="2">
          <reference field="4294967294" count="1" selected="0">
            <x v="0"/>
          </reference>
          <reference field="9" count="1" selected="0">
            <x v="3"/>
          </reference>
        </references>
      </pivotArea>
    </chartFormat>
    <chartFormat chart="31" format="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F4D6911-3DEF-4054-A6C0-171BEA5B808D}" sourceName="Order Mode">
  <pivotTables>
    <pivotTable tabId="14" name="cust satisfa"/>
    <pivotTable tabId="11" name="Gender split"/>
    <pivotTable tabId="9" name="How many bought"/>
    <pivotTable tabId="12" name="Map Qty"/>
    <pivotTable tabId="10" name="Popular prods"/>
    <pivotTable tabId="13" name="Time to ship"/>
    <pivotTable tabId="7" name="Trends"/>
    <pivotTable tabId="16" name="KPI cards"/>
  </pivotTables>
  <data>
    <tabular pivotCacheId="8041523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C75DE4F-2F09-4976-869B-4B949DE73033}" sourceName="Gender Value">
  <pivotTables>
    <pivotTable tabId="14" name="cust satisfa"/>
    <pivotTable tabId="9" name="How many bought"/>
    <pivotTable tabId="12" name="Map Qty"/>
    <pivotTable tabId="13" name="Time to ship"/>
    <pivotTable tabId="7" name="Trends"/>
    <pivotTable tabId="16" name="KPI cards"/>
  </pivotTables>
  <data>
    <tabular pivotCacheId="8041523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8F52F25-8C17-41AA-9440-3583D35D39AC}" cache="Slicer_Order_Mode" caption="Order Mode" style="Greeb Slicer" rowHeight="247650"/>
  <slicer name="Gender Value" xr10:uid="{B1C9E421-0693-404A-8DB9-EB573AA022F7}" cache="Slicer_Gender_Value" caption="Gender Value" style="Greeb Slic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717F-6ABE-4365-946F-1B589D5E79EE}">
  <sheetPr>
    <tabColor rgb="FF92D050"/>
  </sheetPr>
  <dimension ref="A1:A3"/>
  <sheetViews>
    <sheetView tabSelected="1" zoomScale="85" zoomScaleNormal="85" workbookViewId="0">
      <selection activeCell="Z28" sqref="Z28"/>
    </sheetView>
  </sheetViews>
  <sheetFormatPr defaultRowHeight="14.4" x14ac:dyDescent="0.3"/>
  <cols>
    <col min="1" max="1" width="3.77734375" customWidth="1"/>
    <col min="2" max="2" width="22.77734375" customWidth="1"/>
    <col min="3" max="3" width="3.77734375" customWidth="1"/>
  </cols>
  <sheetData>
    <row r="1" customFormat="1" x14ac:dyDescent="0.3"/>
    <row r="2" customFormat="1" x14ac:dyDescent="0.3"/>
    <row r="3" customForma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tabColor rgb="FF92D050"/>
  </sheetPr>
  <dimension ref="A1:O2401"/>
  <sheetViews>
    <sheetView topLeftCell="D1" workbookViewId="0">
      <selection activeCell="E23" sqref="E23"/>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D9D5F-CD2B-4684-ADD3-9E11C2E1BF45}">
  <sheetPr>
    <tabColor rgb="FF92D050"/>
  </sheetPr>
  <dimension ref="A1"/>
  <sheetViews>
    <sheetView showGridLines="0" zoomScale="85" zoomScaleNormal="85" workbookViewId="0">
      <selection activeCell="N35" sqref="N3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CCB5-CBE8-4AEF-821D-450C1071C335}">
  <dimension ref="A3:E7"/>
  <sheetViews>
    <sheetView workbookViewId="0">
      <selection activeCell="A3" sqref="A3"/>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s>
  <sheetData>
    <row r="3" spans="1:5" x14ac:dyDescent="0.3">
      <c r="A3" t="s">
        <v>2547</v>
      </c>
      <c r="B3" t="s">
        <v>2548</v>
      </c>
      <c r="C3" t="s">
        <v>2549</v>
      </c>
      <c r="D3" t="s">
        <v>2550</v>
      </c>
      <c r="E3" t="s">
        <v>2551</v>
      </c>
    </row>
    <row r="4" spans="1:5" x14ac:dyDescent="0.3">
      <c r="A4">
        <v>2400</v>
      </c>
      <c r="B4">
        <v>11997</v>
      </c>
      <c r="C4">
        <v>649019.80000000144</v>
      </c>
      <c r="D4" s="12">
        <v>3.9620833333333332</v>
      </c>
      <c r="E4" s="12">
        <v>2.3424999999999998</v>
      </c>
    </row>
    <row r="6" spans="1:5" x14ac:dyDescent="0.3">
      <c r="A6" s="13" t="str">
        <f>TEXT(A4,"#,##")</f>
        <v>2,400</v>
      </c>
      <c r="B6" s="13" t="str">
        <f t="shared" ref="B6" si="0">TEXT(B4,"#,##")</f>
        <v>11,997</v>
      </c>
      <c r="C6" s="13" t="str">
        <f>TEXT(C4,"$#,##,.0k")</f>
        <v>$649.0k</v>
      </c>
      <c r="D6" s="13" t="str">
        <f>TEXT(D4,0)</f>
        <v>4</v>
      </c>
      <c r="E6" s="13" t="str">
        <f>TEXT(E4,0)</f>
        <v>2</v>
      </c>
    </row>
    <row r="7" spans="1:5" x14ac:dyDescent="0.3">
      <c r="A7" s="14" t="s">
        <v>2537</v>
      </c>
      <c r="B7" s="14" t="s">
        <v>2</v>
      </c>
      <c r="C7" s="14" t="s">
        <v>2506</v>
      </c>
      <c r="D7" s="14" t="s">
        <v>2552</v>
      </c>
      <c r="E7" s="14" t="s">
        <v>2553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F2CD-E232-4EF0-9C8A-FF1C56FE1C0D}">
  <dimension ref="A3:E7"/>
  <sheetViews>
    <sheetView workbookViewId="0">
      <selection activeCell="A3" sqref="A3"/>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s>
  <sheetData>
    <row r="3" spans="1:5" x14ac:dyDescent="0.3">
      <c r="A3" t="s">
        <v>2547</v>
      </c>
      <c r="B3" t="s">
        <v>2548</v>
      </c>
      <c r="C3" t="s">
        <v>2549</v>
      </c>
      <c r="D3" t="s">
        <v>2550</v>
      </c>
      <c r="E3" t="s">
        <v>2551</v>
      </c>
    </row>
    <row r="4" spans="1:5" x14ac:dyDescent="0.3">
      <c r="A4">
        <v>2400</v>
      </c>
      <c r="B4">
        <v>11997</v>
      </c>
      <c r="C4">
        <v>649019.80000000144</v>
      </c>
      <c r="D4" s="12">
        <v>3.9620833333333332</v>
      </c>
      <c r="E4" s="12">
        <v>2.3424999999999998</v>
      </c>
    </row>
    <row r="6" spans="1:5" x14ac:dyDescent="0.3">
      <c r="A6" s="13" t="str">
        <f>TEXT(A4,"#,##")</f>
        <v>2,400</v>
      </c>
      <c r="B6" s="13" t="str">
        <f t="shared" ref="B6" si="0">TEXT(B4,"#,##")</f>
        <v>11,997</v>
      </c>
      <c r="C6" s="13" t="str">
        <f>TEXT(C4,"$#,##,.0k")</f>
        <v>$649.0k</v>
      </c>
      <c r="D6" s="13" t="str">
        <f>TEXT(D4,0)</f>
        <v>4</v>
      </c>
      <c r="E6" s="13" t="str">
        <f>TEXT(E4,0)</f>
        <v>2</v>
      </c>
    </row>
    <row r="7" spans="1:5" x14ac:dyDescent="0.3">
      <c r="A7" s="14" t="s">
        <v>2537</v>
      </c>
      <c r="B7" s="14" t="s">
        <v>2</v>
      </c>
      <c r="C7" s="14" t="s">
        <v>2506</v>
      </c>
      <c r="D7" s="14" t="s">
        <v>2552</v>
      </c>
      <c r="E7" s="14" t="s">
        <v>2553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9CB49-AFD8-4FE8-846B-E029FD326C6E}">
  <dimension ref="A3:E17"/>
  <sheetViews>
    <sheetView workbookViewId="0">
      <selection activeCell="B8" sqref="B8"/>
    </sheetView>
  </sheetViews>
  <sheetFormatPr defaultRowHeight="14.4" x14ac:dyDescent="0.3"/>
  <cols>
    <col min="1" max="1" width="11.5546875" bestFit="1" customWidth="1"/>
    <col min="2" max="2" width="14.21875" bestFit="1" customWidth="1"/>
    <col min="3" max="3" width="13.5546875" bestFit="1" customWidth="1"/>
    <col min="4" max="5" width="22.33203125" bestFit="1" customWidth="1"/>
  </cols>
  <sheetData>
    <row r="3" spans="1:5" x14ac:dyDescent="0.3">
      <c r="A3" s="16" t="s">
        <v>13</v>
      </c>
      <c r="B3" t="s">
        <v>2548</v>
      </c>
      <c r="C3" t="s">
        <v>2549</v>
      </c>
    </row>
    <row r="4" spans="1:5" x14ac:dyDescent="0.3">
      <c r="A4">
        <v>1</v>
      </c>
      <c r="B4">
        <v>546</v>
      </c>
      <c r="C4" s="17">
        <v>32413.300000000003</v>
      </c>
    </row>
    <row r="5" spans="1:5" x14ac:dyDescent="0.3">
      <c r="A5">
        <v>2</v>
      </c>
      <c r="B5">
        <v>905</v>
      </c>
      <c r="C5" s="17">
        <v>49562.999999999993</v>
      </c>
    </row>
    <row r="6" spans="1:5" x14ac:dyDescent="0.3">
      <c r="A6">
        <v>3</v>
      </c>
      <c r="B6">
        <v>796</v>
      </c>
      <c r="C6" s="17">
        <v>41700.400000000016</v>
      </c>
    </row>
    <row r="7" spans="1:5" x14ac:dyDescent="0.3">
      <c r="A7">
        <v>4</v>
      </c>
      <c r="B7">
        <v>913</v>
      </c>
      <c r="C7" s="17">
        <v>46782.599999999984</v>
      </c>
      <c r="D7" s="15"/>
      <c r="E7" s="15"/>
    </row>
    <row r="8" spans="1:5" x14ac:dyDescent="0.3">
      <c r="A8">
        <v>5</v>
      </c>
      <c r="B8">
        <v>844</v>
      </c>
      <c r="C8" s="17">
        <v>42676.100000000006</v>
      </c>
    </row>
    <row r="9" spans="1:5" x14ac:dyDescent="0.3">
      <c r="A9">
        <v>6</v>
      </c>
      <c r="B9">
        <v>1202</v>
      </c>
      <c r="C9" s="17">
        <v>62910.7</v>
      </c>
    </row>
    <row r="10" spans="1:5" x14ac:dyDescent="0.3">
      <c r="A10">
        <v>7</v>
      </c>
      <c r="B10">
        <v>935</v>
      </c>
      <c r="C10" s="17">
        <v>50332.200000000004</v>
      </c>
    </row>
    <row r="11" spans="1:5" x14ac:dyDescent="0.3">
      <c r="A11">
        <v>8</v>
      </c>
      <c r="B11">
        <v>1128</v>
      </c>
      <c r="C11" s="17">
        <v>58760.599999999977</v>
      </c>
    </row>
    <row r="12" spans="1:5" x14ac:dyDescent="0.3">
      <c r="A12">
        <v>9</v>
      </c>
      <c r="B12">
        <v>1007</v>
      </c>
      <c r="C12" s="17">
        <v>52017.299999999996</v>
      </c>
    </row>
    <row r="13" spans="1:5" x14ac:dyDescent="0.3">
      <c r="A13">
        <v>10</v>
      </c>
      <c r="B13">
        <v>1128</v>
      </c>
      <c r="C13" s="17">
        <v>64915.700000000033</v>
      </c>
    </row>
    <row r="14" spans="1:5" x14ac:dyDescent="0.3">
      <c r="A14">
        <v>11</v>
      </c>
      <c r="B14">
        <v>861</v>
      </c>
      <c r="C14" s="17">
        <v>45943.80000000001</v>
      </c>
    </row>
    <row r="15" spans="1:5" x14ac:dyDescent="0.3">
      <c r="A15">
        <v>12</v>
      </c>
      <c r="B15">
        <v>944</v>
      </c>
      <c r="C15" s="17">
        <v>55077.900000000031</v>
      </c>
    </row>
    <row r="16" spans="1:5" x14ac:dyDescent="0.3">
      <c r="A16">
        <v>13</v>
      </c>
      <c r="B16">
        <v>788</v>
      </c>
      <c r="C16" s="17">
        <v>45926.19999999999</v>
      </c>
    </row>
    <row r="17" spans="1:3" x14ac:dyDescent="0.3">
      <c r="A17" t="s">
        <v>2554</v>
      </c>
      <c r="B17">
        <v>11997</v>
      </c>
      <c r="C17" s="17">
        <v>649019.79999999993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DD6D-5092-4C04-9574-CE8D4926180A}">
  <dimension ref="A2:L10"/>
  <sheetViews>
    <sheetView showGridLines="0" workbookViewId="0">
      <selection activeCell="A5" sqref="A5"/>
    </sheetView>
  </sheetViews>
  <sheetFormatPr defaultRowHeight="14.4" x14ac:dyDescent="0.3"/>
  <cols>
    <col min="1" max="1" width="14.21875" bestFit="1" customWidth="1"/>
    <col min="2" max="5" width="14.33203125" bestFit="1" customWidth="1"/>
    <col min="6" max="7" width="10.5546875" bestFit="1" customWidth="1"/>
    <col min="8" max="8" width="10.44140625" bestFit="1" customWidth="1"/>
    <col min="9" max="12" width="8.44140625" customWidth="1"/>
  </cols>
  <sheetData>
    <row r="2" spans="1:12" x14ac:dyDescent="0.3">
      <c r="H2" t="s">
        <v>2555</v>
      </c>
    </row>
    <row r="3" spans="1:12" x14ac:dyDescent="0.3">
      <c r="A3" s="16" t="s">
        <v>2548</v>
      </c>
      <c r="B3" s="16" t="s">
        <v>14</v>
      </c>
    </row>
    <row r="4" spans="1:12" x14ac:dyDescent="0.3">
      <c r="A4" s="16" t="s">
        <v>8</v>
      </c>
      <c r="B4" t="s">
        <v>2556</v>
      </c>
      <c r="C4" t="s">
        <v>2557</v>
      </c>
      <c r="D4" t="s">
        <v>2558</v>
      </c>
      <c r="E4" t="s">
        <v>2559</v>
      </c>
      <c r="F4" t="s">
        <v>2554</v>
      </c>
    </row>
    <row r="5" spans="1:12" x14ac:dyDescent="0.3">
      <c r="A5" t="s">
        <v>18</v>
      </c>
      <c r="B5" s="18">
        <v>0.18671334500291739</v>
      </c>
      <c r="C5" s="18">
        <v>0.13378344586146537</v>
      </c>
      <c r="D5" s="18">
        <v>9.5023755938984742E-3</v>
      </c>
      <c r="E5" s="18">
        <v>2.175543885971493E-2</v>
      </c>
      <c r="F5" s="18">
        <v>0.35175460531799618</v>
      </c>
      <c r="I5" t="str">
        <f t="shared" ref="I5:L10" si="0">B4</f>
        <v>Female</v>
      </c>
      <c r="J5" t="str">
        <f t="shared" si="0"/>
        <v>Male</v>
      </c>
      <c r="K5" t="str">
        <f t="shared" si="0"/>
        <v>Other</v>
      </c>
      <c r="L5" t="str">
        <f t="shared" si="0"/>
        <v>Unknown</v>
      </c>
    </row>
    <row r="6" spans="1:12" ht="18" customHeight="1" x14ac:dyDescent="0.3">
      <c r="A6" t="s">
        <v>51</v>
      </c>
      <c r="B6" s="18">
        <v>6.1098607985329664E-2</v>
      </c>
      <c r="C6" s="18">
        <v>3.9926648328748857E-2</v>
      </c>
      <c r="D6" s="18">
        <v>1.417020921897141E-3</v>
      </c>
      <c r="E6" s="18">
        <v>1.5503875968992248E-2</v>
      </c>
      <c r="F6" s="18">
        <v>0.1179461532049679</v>
      </c>
      <c r="H6" t="str">
        <f>A5</f>
        <v>App</v>
      </c>
      <c r="I6" s="19">
        <f t="shared" si="0"/>
        <v>0.18671334500291739</v>
      </c>
      <c r="J6" s="19">
        <f t="shared" si="0"/>
        <v>0.13378344586146537</v>
      </c>
      <c r="K6" s="19">
        <f t="shared" si="0"/>
        <v>9.5023755938984742E-3</v>
      </c>
      <c r="L6" s="19">
        <f t="shared" si="0"/>
        <v>2.175543885971493E-2</v>
      </c>
    </row>
    <row r="7" spans="1:12" ht="18" customHeight="1" x14ac:dyDescent="0.3">
      <c r="A7" t="s">
        <v>70</v>
      </c>
      <c r="B7" s="18">
        <v>6.5766441610402598E-2</v>
      </c>
      <c r="C7" s="18">
        <v>4.2510627656914227E-2</v>
      </c>
      <c r="D7" s="18">
        <v>3.3341668750520963E-3</v>
      </c>
      <c r="E7" s="18">
        <v>4.0843544219388182E-3</v>
      </c>
      <c r="F7" s="18">
        <v>0.11569559056430774</v>
      </c>
      <c r="H7" t="str">
        <f>A6</f>
        <v>Instagram</v>
      </c>
      <c r="I7" s="19">
        <f t="shared" si="0"/>
        <v>6.1098607985329664E-2</v>
      </c>
      <c r="J7" s="19">
        <f t="shared" si="0"/>
        <v>3.9926648328748857E-2</v>
      </c>
      <c r="K7" s="19">
        <f t="shared" si="0"/>
        <v>1.417020921897141E-3</v>
      </c>
      <c r="L7" s="19">
        <f t="shared" si="0"/>
        <v>1.5503875968992248E-2</v>
      </c>
    </row>
    <row r="8" spans="1:12" ht="18" customHeight="1" x14ac:dyDescent="0.3">
      <c r="A8" t="s">
        <v>40</v>
      </c>
      <c r="B8" s="18">
        <v>9.9858297907810284E-2</v>
      </c>
      <c r="C8" s="18">
        <v>7.7519379844961239E-2</v>
      </c>
      <c r="D8" s="18">
        <v>6.1682087188463779E-3</v>
      </c>
      <c r="E8" s="18">
        <v>8.8355422188880553E-3</v>
      </c>
      <c r="F8" s="18">
        <v>0.19238142869050595</v>
      </c>
      <c r="H8" t="str">
        <f>A7</f>
        <v>Partner App</v>
      </c>
      <c r="I8" s="19">
        <f t="shared" si="0"/>
        <v>6.5766441610402598E-2</v>
      </c>
      <c r="J8" s="19">
        <f t="shared" si="0"/>
        <v>4.2510627656914227E-2</v>
      </c>
      <c r="K8" s="19">
        <f t="shared" si="0"/>
        <v>3.3341668750520963E-3</v>
      </c>
      <c r="L8" s="19">
        <f t="shared" si="0"/>
        <v>4.0843544219388182E-3</v>
      </c>
    </row>
    <row r="9" spans="1:12" ht="18" customHeight="1" x14ac:dyDescent="0.3">
      <c r="A9" t="s">
        <v>35</v>
      </c>
      <c r="B9" s="18">
        <v>0.10936067350170876</v>
      </c>
      <c r="C9" s="18">
        <v>9.569058931399517E-2</v>
      </c>
      <c r="D9" s="18">
        <v>6.0015003750937736E-3</v>
      </c>
      <c r="E9" s="18">
        <v>1.1169459031424522E-2</v>
      </c>
      <c r="F9" s="18">
        <v>0.22222222222222221</v>
      </c>
      <c r="H9" t="str">
        <f>A8</f>
        <v>Target.com</v>
      </c>
      <c r="I9" s="19">
        <f t="shared" si="0"/>
        <v>9.9858297907810284E-2</v>
      </c>
      <c r="J9" s="19">
        <f t="shared" si="0"/>
        <v>7.7519379844961239E-2</v>
      </c>
      <c r="K9" s="19">
        <f t="shared" si="0"/>
        <v>6.1682087188463779E-3</v>
      </c>
      <c r="L9" s="19">
        <f t="shared" si="0"/>
        <v>8.8355422188880553E-3</v>
      </c>
    </row>
    <row r="10" spans="1:12" ht="18" customHeight="1" x14ac:dyDescent="0.3">
      <c r="A10" t="s">
        <v>2554</v>
      </c>
      <c r="B10" s="18">
        <v>0.52279736600816873</v>
      </c>
      <c r="C10" s="18">
        <v>0.38943069100608485</v>
      </c>
      <c r="D10" s="18">
        <v>2.6423272484787864E-2</v>
      </c>
      <c r="E10" s="18">
        <v>6.1348670500958574E-2</v>
      </c>
      <c r="F10" s="18">
        <v>1</v>
      </c>
      <c r="H10" t="str">
        <f>A9</f>
        <v>Website</v>
      </c>
      <c r="I10" s="19">
        <f t="shared" si="0"/>
        <v>0.10936067350170876</v>
      </c>
      <c r="J10" s="19">
        <f t="shared" si="0"/>
        <v>9.569058931399517E-2</v>
      </c>
      <c r="K10" s="19">
        <f t="shared" si="0"/>
        <v>6.0015003750937736E-3</v>
      </c>
      <c r="L10" s="19">
        <f t="shared" si="0"/>
        <v>1.1169459031424522E-2</v>
      </c>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668A-A6E1-499E-8BCA-E3AA494298F2}">
  <dimension ref="A3:L11"/>
  <sheetViews>
    <sheetView showGridLines="0" workbookViewId="0">
      <selection activeCell="B7" sqref="B7"/>
    </sheetView>
  </sheetViews>
  <sheetFormatPr defaultRowHeight="14.4" x14ac:dyDescent="0.3"/>
  <cols>
    <col min="1" max="1" width="11.33203125" bestFit="1" customWidth="1"/>
    <col min="2" max="3" width="12.21875" bestFit="1" customWidth="1"/>
    <col min="4" max="5" width="14.33203125" bestFit="1" customWidth="1"/>
    <col min="6" max="7" width="10.5546875" bestFit="1" customWidth="1"/>
    <col min="8" max="8" width="10.44140625" bestFit="1" customWidth="1"/>
    <col min="9" max="12" width="8.44140625" customWidth="1"/>
  </cols>
  <sheetData>
    <row r="3" spans="1:12" x14ac:dyDescent="0.3">
      <c r="A3" s="16" t="s">
        <v>2560</v>
      </c>
      <c r="B3" t="s">
        <v>2547</v>
      </c>
    </row>
    <row r="4" spans="1:12" x14ac:dyDescent="0.3">
      <c r="A4">
        <v>1</v>
      </c>
      <c r="B4">
        <v>397</v>
      </c>
    </row>
    <row r="5" spans="1:12" x14ac:dyDescent="0.3">
      <c r="A5">
        <v>2</v>
      </c>
      <c r="B5">
        <v>540</v>
      </c>
    </row>
    <row r="6" spans="1:12" ht="18" customHeight="1" x14ac:dyDescent="0.3">
      <c r="A6">
        <v>3</v>
      </c>
      <c r="B6">
        <v>375</v>
      </c>
      <c r="I6" s="19"/>
      <c r="J6" s="19"/>
      <c r="K6" s="19"/>
      <c r="L6" s="19"/>
    </row>
    <row r="7" spans="1:12" ht="18" customHeight="1" x14ac:dyDescent="0.3">
      <c r="A7">
        <v>4</v>
      </c>
      <c r="B7">
        <v>246</v>
      </c>
      <c r="I7" s="19"/>
      <c r="J7" s="19"/>
      <c r="K7" s="19"/>
      <c r="L7" s="19"/>
    </row>
    <row r="8" spans="1:12" ht="18" customHeight="1" x14ac:dyDescent="0.3">
      <c r="A8">
        <v>5</v>
      </c>
      <c r="B8">
        <v>195</v>
      </c>
      <c r="I8" s="19"/>
      <c r="J8" s="19"/>
      <c r="K8" s="19"/>
      <c r="L8" s="19"/>
    </row>
    <row r="9" spans="1:12" ht="18" customHeight="1" x14ac:dyDescent="0.3">
      <c r="A9" t="s">
        <v>2561</v>
      </c>
      <c r="B9">
        <v>414</v>
      </c>
      <c r="I9" s="19"/>
      <c r="J9" s="19"/>
      <c r="K9" s="19"/>
      <c r="L9" s="19"/>
    </row>
    <row r="10" spans="1:12" ht="18" customHeight="1" x14ac:dyDescent="0.3">
      <c r="A10" t="s">
        <v>2562</v>
      </c>
      <c r="B10">
        <v>233</v>
      </c>
      <c r="I10" s="19"/>
      <c r="J10" s="19"/>
      <c r="K10" s="19"/>
      <c r="L10" s="19"/>
    </row>
    <row r="11" spans="1:12" x14ac:dyDescent="0.3">
      <c r="A11" t="s">
        <v>2554</v>
      </c>
      <c r="B11">
        <v>2400</v>
      </c>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A5D4-E8A8-4913-842B-F04501974BE9}">
  <dimension ref="A3:L25"/>
  <sheetViews>
    <sheetView showGridLines="0" workbookViewId="0">
      <selection activeCell="A8" sqref="A8:F8"/>
      <pivotSelection pane="bottomRight" showHeader="1" extendable="1" axis="axisRow" start="3" max="21" activeRow="7" previousRow="7" click="1" r:id="rId1">
        <pivotArea dataOnly="0" outline="0" fieldPosition="0">
          <references count="1">
            <reference field="1" count="1">
              <x v="16"/>
            </reference>
          </references>
        </pivotArea>
      </pivotSelection>
    </sheetView>
  </sheetViews>
  <sheetFormatPr defaultRowHeight="14.4" x14ac:dyDescent="0.3"/>
  <cols>
    <col min="1" max="1" width="19.109375" bestFit="1" customWidth="1"/>
    <col min="2" max="5" width="14.33203125" bestFit="1" customWidth="1"/>
    <col min="6" max="7" width="10.5546875" bestFit="1" customWidth="1"/>
    <col min="8" max="8" width="10.44140625" bestFit="1" customWidth="1"/>
    <col min="9" max="12" width="8.44140625" customWidth="1"/>
  </cols>
  <sheetData>
    <row r="3" spans="1:12" x14ac:dyDescent="0.3">
      <c r="A3" s="16" t="s">
        <v>2548</v>
      </c>
      <c r="B3" s="16" t="s">
        <v>14</v>
      </c>
    </row>
    <row r="4" spans="1:12" x14ac:dyDescent="0.3">
      <c r="A4" s="16" t="s">
        <v>1</v>
      </c>
      <c r="B4" t="s">
        <v>2556</v>
      </c>
      <c r="C4" t="s">
        <v>2557</v>
      </c>
      <c r="D4" t="s">
        <v>2558</v>
      </c>
      <c r="E4" t="s">
        <v>2559</v>
      </c>
      <c r="F4" t="s">
        <v>2554</v>
      </c>
    </row>
    <row r="5" spans="1:12" x14ac:dyDescent="0.3">
      <c r="A5" t="s">
        <v>44</v>
      </c>
      <c r="B5">
        <v>744</v>
      </c>
      <c r="C5">
        <v>713</v>
      </c>
      <c r="D5">
        <v>90</v>
      </c>
      <c r="E5">
        <v>98</v>
      </c>
      <c r="F5">
        <v>1645</v>
      </c>
    </row>
    <row r="6" spans="1:12" ht="18" customHeight="1" x14ac:dyDescent="0.3">
      <c r="A6" t="s">
        <v>39</v>
      </c>
      <c r="B6">
        <v>716</v>
      </c>
      <c r="C6">
        <v>598</v>
      </c>
      <c r="D6">
        <v>18</v>
      </c>
      <c r="E6">
        <v>214</v>
      </c>
      <c r="F6">
        <v>1546</v>
      </c>
      <c r="I6" s="19"/>
      <c r="J6" s="19"/>
      <c r="K6" s="19"/>
      <c r="L6" s="19"/>
    </row>
    <row r="7" spans="1:12" ht="18" customHeight="1" x14ac:dyDescent="0.3">
      <c r="A7" t="s">
        <v>26</v>
      </c>
      <c r="B7">
        <v>627</v>
      </c>
      <c r="C7">
        <v>393</v>
      </c>
      <c r="D7">
        <v>29</v>
      </c>
      <c r="E7">
        <v>137</v>
      </c>
      <c r="F7">
        <v>1186</v>
      </c>
      <c r="I7" s="19"/>
      <c r="J7" s="19"/>
      <c r="K7" s="19"/>
      <c r="L7" s="19"/>
    </row>
    <row r="8" spans="1:12" ht="18" customHeight="1" x14ac:dyDescent="0.3">
      <c r="A8" t="s">
        <v>22</v>
      </c>
      <c r="B8">
        <v>568</v>
      </c>
      <c r="C8">
        <v>306</v>
      </c>
      <c r="D8">
        <v>22</v>
      </c>
      <c r="E8">
        <v>16</v>
      </c>
      <c r="F8">
        <v>912</v>
      </c>
      <c r="I8" s="19"/>
      <c r="J8" s="19"/>
      <c r="K8" s="19"/>
      <c r="L8" s="19"/>
    </row>
    <row r="9" spans="1:12" ht="18" customHeight="1" x14ac:dyDescent="0.3">
      <c r="A9" t="s">
        <v>54</v>
      </c>
      <c r="B9">
        <v>482</v>
      </c>
      <c r="C9">
        <v>295</v>
      </c>
      <c r="D9">
        <v>8</v>
      </c>
      <c r="E9">
        <v>22</v>
      </c>
      <c r="F9">
        <v>807</v>
      </c>
      <c r="I9" s="19"/>
      <c r="J9" s="19"/>
      <c r="K9" s="19"/>
      <c r="L9" s="19"/>
    </row>
    <row r="10" spans="1:12" ht="18" customHeight="1" x14ac:dyDescent="0.3">
      <c r="A10" t="s">
        <v>46</v>
      </c>
      <c r="B10">
        <v>445</v>
      </c>
      <c r="C10">
        <v>202</v>
      </c>
      <c r="D10">
        <v>14</v>
      </c>
      <c r="E10">
        <v>39</v>
      </c>
      <c r="F10">
        <v>700</v>
      </c>
      <c r="I10" s="19"/>
      <c r="J10" s="19"/>
      <c r="K10" s="19"/>
      <c r="L10" s="19"/>
    </row>
    <row r="11" spans="1:12" x14ac:dyDescent="0.3">
      <c r="A11" t="s">
        <v>32</v>
      </c>
      <c r="B11">
        <v>431</v>
      </c>
      <c r="C11">
        <v>187</v>
      </c>
      <c r="D11">
        <v>14</v>
      </c>
      <c r="E11">
        <v>15</v>
      </c>
      <c r="F11">
        <v>647</v>
      </c>
    </row>
    <row r="12" spans="1:12" x14ac:dyDescent="0.3">
      <c r="A12" t="s">
        <v>16</v>
      </c>
      <c r="B12">
        <v>428</v>
      </c>
      <c r="C12">
        <v>293</v>
      </c>
      <c r="E12">
        <v>24</v>
      </c>
      <c r="F12">
        <v>745</v>
      </c>
    </row>
    <row r="13" spans="1:12" x14ac:dyDescent="0.3">
      <c r="A13" t="s">
        <v>37</v>
      </c>
      <c r="B13">
        <v>296</v>
      </c>
      <c r="C13">
        <v>275</v>
      </c>
      <c r="D13">
        <v>9</v>
      </c>
      <c r="E13">
        <v>23</v>
      </c>
      <c r="F13">
        <v>603</v>
      </c>
    </row>
    <row r="14" spans="1:12" x14ac:dyDescent="0.3">
      <c r="A14" t="s">
        <v>42</v>
      </c>
      <c r="B14">
        <v>264</v>
      </c>
      <c r="C14">
        <v>318</v>
      </c>
      <c r="D14">
        <v>15</v>
      </c>
      <c r="E14">
        <v>9</v>
      </c>
      <c r="F14">
        <v>606</v>
      </c>
    </row>
    <row r="15" spans="1:12" x14ac:dyDescent="0.3">
      <c r="A15" t="s">
        <v>69</v>
      </c>
      <c r="B15">
        <v>234</v>
      </c>
      <c r="C15">
        <v>93</v>
      </c>
      <c r="D15">
        <v>19</v>
      </c>
      <c r="E15">
        <v>24</v>
      </c>
      <c r="F15">
        <v>370</v>
      </c>
    </row>
    <row r="16" spans="1:12" x14ac:dyDescent="0.3">
      <c r="A16" t="s">
        <v>146</v>
      </c>
      <c r="B16">
        <v>189</v>
      </c>
      <c r="C16">
        <v>168</v>
      </c>
      <c r="D16">
        <v>10</v>
      </c>
      <c r="E16">
        <v>31</v>
      </c>
      <c r="F16">
        <v>398</v>
      </c>
    </row>
    <row r="17" spans="1:6" x14ac:dyDescent="0.3">
      <c r="A17" t="s">
        <v>67</v>
      </c>
      <c r="B17">
        <v>179</v>
      </c>
      <c r="C17">
        <v>76</v>
      </c>
      <c r="D17">
        <v>3</v>
      </c>
      <c r="F17">
        <v>258</v>
      </c>
    </row>
    <row r="18" spans="1:6" x14ac:dyDescent="0.3">
      <c r="A18" t="s">
        <v>123</v>
      </c>
      <c r="B18">
        <v>153</v>
      </c>
      <c r="C18">
        <v>246</v>
      </c>
      <c r="D18">
        <v>30</v>
      </c>
      <c r="E18">
        <v>8</v>
      </c>
      <c r="F18">
        <v>437</v>
      </c>
    </row>
    <row r="19" spans="1:6" x14ac:dyDescent="0.3">
      <c r="A19" t="s">
        <v>30</v>
      </c>
      <c r="B19">
        <v>146</v>
      </c>
      <c r="C19">
        <v>94</v>
      </c>
      <c r="D19">
        <v>4</v>
      </c>
      <c r="E19">
        <v>28</v>
      </c>
      <c r="F19">
        <v>272</v>
      </c>
    </row>
    <row r="20" spans="1:6" x14ac:dyDescent="0.3">
      <c r="A20" t="s">
        <v>135</v>
      </c>
      <c r="B20">
        <v>127</v>
      </c>
      <c r="C20">
        <v>118</v>
      </c>
      <c r="D20">
        <v>13</v>
      </c>
      <c r="E20">
        <v>12</v>
      </c>
      <c r="F20">
        <v>270</v>
      </c>
    </row>
    <row r="21" spans="1:6" x14ac:dyDescent="0.3">
      <c r="A21" t="s">
        <v>128</v>
      </c>
      <c r="B21">
        <v>99</v>
      </c>
      <c r="C21">
        <v>69</v>
      </c>
      <c r="D21">
        <v>3</v>
      </c>
      <c r="E21">
        <v>24</v>
      </c>
      <c r="F21">
        <v>195</v>
      </c>
    </row>
    <row r="22" spans="1:6" x14ac:dyDescent="0.3">
      <c r="A22" t="s">
        <v>76</v>
      </c>
      <c r="B22">
        <v>75</v>
      </c>
      <c r="C22">
        <v>103</v>
      </c>
      <c r="D22">
        <v>4</v>
      </c>
      <c r="E22">
        <v>6</v>
      </c>
      <c r="F22">
        <v>188</v>
      </c>
    </row>
    <row r="23" spans="1:6" x14ac:dyDescent="0.3">
      <c r="A23" t="s">
        <v>81</v>
      </c>
      <c r="B23">
        <v>43</v>
      </c>
      <c r="C23">
        <v>90</v>
      </c>
      <c r="D23">
        <v>8</v>
      </c>
      <c r="E23">
        <v>6</v>
      </c>
      <c r="F23">
        <v>147</v>
      </c>
    </row>
    <row r="24" spans="1:6" x14ac:dyDescent="0.3">
      <c r="A24" t="s">
        <v>171</v>
      </c>
      <c r="B24">
        <v>26</v>
      </c>
      <c r="C24">
        <v>35</v>
      </c>
      <c r="D24">
        <v>4</v>
      </c>
      <c r="F24">
        <v>65</v>
      </c>
    </row>
    <row r="25" spans="1:6" x14ac:dyDescent="0.3">
      <c r="A25" t="s">
        <v>2554</v>
      </c>
      <c r="B25">
        <v>6272</v>
      </c>
      <c r="C25">
        <v>4672</v>
      </c>
      <c r="D25">
        <v>317</v>
      </c>
      <c r="E25">
        <v>736</v>
      </c>
      <c r="F25">
        <v>11997</v>
      </c>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C2C6A-A6FB-4900-9CEC-26FE752C092E}">
  <dimension ref="A3:L10"/>
  <sheetViews>
    <sheetView showGridLines="0" workbookViewId="0">
      <selection activeCell="B6" sqref="B6"/>
    </sheetView>
  </sheetViews>
  <sheetFormatPr defaultRowHeight="14.4" x14ac:dyDescent="0.3"/>
  <cols>
    <col min="1" max="1" width="14.33203125" bestFit="1" customWidth="1"/>
    <col min="2" max="2" width="14.21875" bestFit="1" customWidth="1"/>
    <col min="3" max="5" width="14.33203125" bestFit="1" customWidth="1"/>
    <col min="6" max="7" width="10.5546875" bestFit="1" customWidth="1"/>
    <col min="8" max="8" width="10.44140625" bestFit="1" customWidth="1"/>
    <col min="9" max="12" width="8.44140625" customWidth="1"/>
  </cols>
  <sheetData>
    <row r="3" spans="1:12" x14ac:dyDescent="0.3">
      <c r="A3" s="16" t="s">
        <v>14</v>
      </c>
      <c r="B3" t="s">
        <v>2548</v>
      </c>
    </row>
    <row r="4" spans="1:12" x14ac:dyDescent="0.3">
      <c r="A4" t="s">
        <v>2556</v>
      </c>
      <c r="B4">
        <v>6272</v>
      </c>
    </row>
    <row r="5" spans="1:12" x14ac:dyDescent="0.3">
      <c r="A5" t="s">
        <v>2557</v>
      </c>
      <c r="B5">
        <v>4672</v>
      </c>
    </row>
    <row r="6" spans="1:12" ht="18" customHeight="1" x14ac:dyDescent="0.3">
      <c r="A6" t="s">
        <v>2558</v>
      </c>
      <c r="B6">
        <v>317</v>
      </c>
      <c r="I6" s="19"/>
      <c r="J6" s="19"/>
      <c r="K6" s="19"/>
      <c r="L6" s="19"/>
    </row>
    <row r="7" spans="1:12" ht="18" customHeight="1" x14ac:dyDescent="0.3">
      <c r="A7" t="s">
        <v>2559</v>
      </c>
      <c r="B7">
        <v>736</v>
      </c>
      <c r="I7" s="19"/>
      <c r="J7" s="19"/>
      <c r="K7" s="19"/>
      <c r="L7" s="19"/>
    </row>
    <row r="8" spans="1:12" ht="18" customHeight="1" x14ac:dyDescent="0.3">
      <c r="A8" t="s">
        <v>2554</v>
      </c>
      <c r="B8">
        <v>11997</v>
      </c>
      <c r="I8" s="19"/>
      <c r="J8" s="19"/>
      <c r="K8" s="19"/>
      <c r="L8" s="19"/>
    </row>
    <row r="9" spans="1:12" ht="18" customHeight="1" x14ac:dyDescent="0.3">
      <c r="I9" s="19"/>
      <c r="J9" s="19"/>
      <c r="K9" s="19"/>
      <c r="L9" s="19"/>
    </row>
    <row r="10" spans="1:12" ht="18" customHeight="1" x14ac:dyDescent="0.3">
      <c r="I10" s="19"/>
      <c r="J10" s="19"/>
      <c r="K10" s="19"/>
      <c r="L10" s="19"/>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21D5-B1EB-491C-81B8-0722D4F3D45B}">
  <dimension ref="A2:L61"/>
  <sheetViews>
    <sheetView workbookViewId="0">
      <selection activeCell="O15" sqref="O15"/>
    </sheetView>
  </sheetViews>
  <sheetFormatPr defaultRowHeight="14.4" x14ac:dyDescent="0.3"/>
  <cols>
    <col min="1" max="1" width="10.5546875" bestFit="1" customWidth="1"/>
    <col min="2" max="2" width="19.6640625" bestFit="1" customWidth="1"/>
    <col min="3" max="3" width="14.21875" bestFit="1" customWidth="1"/>
    <col min="4" max="4" width="13.5546875" bestFit="1" customWidth="1"/>
    <col min="5" max="5" width="14.33203125" bestFit="1" customWidth="1"/>
    <col min="6" max="6" width="10.5546875" bestFit="1" customWidth="1"/>
    <col min="7" max="7" width="14.109375" bestFit="1" customWidth="1"/>
    <col min="8" max="8" width="13.109375" bestFit="1" customWidth="1"/>
    <col min="9" max="10" width="8.44140625" customWidth="1"/>
    <col min="11" max="11" width="19.6640625" bestFit="1" customWidth="1"/>
    <col min="12" max="12" width="13.109375" bestFit="1" customWidth="1"/>
  </cols>
  <sheetData>
    <row r="2" spans="1:12" x14ac:dyDescent="0.3">
      <c r="F2" t="s">
        <v>2563</v>
      </c>
      <c r="J2" t="s">
        <v>2564</v>
      </c>
    </row>
    <row r="3" spans="1:12" x14ac:dyDescent="0.3">
      <c r="A3" s="16" t="s">
        <v>10</v>
      </c>
      <c r="B3" s="16" t="s">
        <v>11</v>
      </c>
      <c r="C3" t="s">
        <v>2548</v>
      </c>
      <c r="D3" t="s">
        <v>2549</v>
      </c>
      <c r="F3" t="str">
        <f>A3</f>
        <v>State</v>
      </c>
      <c r="G3" t="str">
        <f t="shared" ref="G3" si="0">B3</f>
        <v>County</v>
      </c>
      <c r="H3" t="s">
        <v>2565</v>
      </c>
      <c r="J3" t="str">
        <f>A3</f>
        <v>State</v>
      </c>
      <c r="K3" t="str">
        <f>B3</f>
        <v>County</v>
      </c>
      <c r="L3" t="s">
        <v>4</v>
      </c>
    </row>
    <row r="4" spans="1:12" x14ac:dyDescent="0.3">
      <c r="A4" t="s">
        <v>19</v>
      </c>
      <c r="B4" t="s">
        <v>115</v>
      </c>
      <c r="C4">
        <v>579</v>
      </c>
      <c r="D4">
        <v>31884.999999999996</v>
      </c>
      <c r="F4" t="str">
        <f>IF(A4="","",A4)</f>
        <v>California</v>
      </c>
      <c r="G4" t="str">
        <f t="shared" ref="G4:H4" si="1">IF(B4="","",B4)</f>
        <v>Alameda County</v>
      </c>
      <c r="H4">
        <f t="shared" si="1"/>
        <v>579</v>
      </c>
      <c r="J4" t="str">
        <f>IF(A4="","",A4)</f>
        <v>California</v>
      </c>
      <c r="K4" t="str">
        <f>IF(B4="","",B4)</f>
        <v>Alameda County</v>
      </c>
      <c r="L4">
        <f>IF(D4="","",D4)</f>
        <v>31884.999999999996</v>
      </c>
    </row>
    <row r="5" spans="1:12" x14ac:dyDescent="0.3">
      <c r="A5" t="s">
        <v>19</v>
      </c>
      <c r="B5" t="s">
        <v>20</v>
      </c>
      <c r="C5">
        <v>1</v>
      </c>
      <c r="D5">
        <v>10.9</v>
      </c>
      <c r="F5" t="str">
        <f t="shared" ref="F5:F61" si="2">IF(A5="","",A5)</f>
        <v>California</v>
      </c>
      <c r="G5" t="str">
        <f t="shared" ref="G5:G61" si="3">IF(B5="","",B5)</f>
        <v>Alpine County</v>
      </c>
      <c r="H5">
        <f t="shared" ref="H5:H61" si="4">IF(C5="","",C5)</f>
        <v>1</v>
      </c>
      <c r="J5" t="str">
        <f t="shared" ref="J5:J61" si="5">IF(A5="","",A5)</f>
        <v>California</v>
      </c>
      <c r="K5" t="str">
        <f t="shared" ref="K5:K61" si="6">IF(B5="","",B5)</f>
        <v>Alpine County</v>
      </c>
      <c r="L5">
        <f t="shared" ref="L5:L61" si="7">IF(D5="","",D5)</f>
        <v>10.9</v>
      </c>
    </row>
    <row r="6" spans="1:12" ht="18" customHeight="1" x14ac:dyDescent="0.3">
      <c r="A6" t="s">
        <v>19</v>
      </c>
      <c r="B6" t="s">
        <v>641</v>
      </c>
      <c r="C6">
        <v>9</v>
      </c>
      <c r="D6">
        <v>800.3</v>
      </c>
      <c r="F6" t="str">
        <f t="shared" si="2"/>
        <v>California</v>
      </c>
      <c r="G6" t="str">
        <f t="shared" si="3"/>
        <v>Amador County</v>
      </c>
      <c r="H6">
        <f t="shared" si="4"/>
        <v>9</v>
      </c>
      <c r="I6" s="19"/>
      <c r="J6" t="str">
        <f t="shared" si="5"/>
        <v>California</v>
      </c>
      <c r="K6" t="str">
        <f t="shared" si="6"/>
        <v>Amador County</v>
      </c>
      <c r="L6">
        <f t="shared" si="7"/>
        <v>800.3</v>
      </c>
    </row>
    <row r="7" spans="1:12" ht="18" customHeight="1" x14ac:dyDescent="0.3">
      <c r="A7" t="s">
        <v>19</v>
      </c>
      <c r="B7" t="s">
        <v>967</v>
      </c>
      <c r="C7">
        <v>35</v>
      </c>
      <c r="D7">
        <v>1062.5999999999999</v>
      </c>
      <c r="F7" t="str">
        <f t="shared" si="2"/>
        <v>California</v>
      </c>
      <c r="G7" t="str">
        <f t="shared" si="3"/>
        <v>Butte County</v>
      </c>
      <c r="H7">
        <f t="shared" si="4"/>
        <v>35</v>
      </c>
      <c r="I7" s="19"/>
      <c r="J7" t="str">
        <f t="shared" si="5"/>
        <v>California</v>
      </c>
      <c r="K7" t="str">
        <f t="shared" si="6"/>
        <v>Butte County</v>
      </c>
      <c r="L7">
        <f t="shared" si="7"/>
        <v>1062.5999999999999</v>
      </c>
    </row>
    <row r="8" spans="1:12" ht="18" customHeight="1" x14ac:dyDescent="0.3">
      <c r="A8" t="s">
        <v>19</v>
      </c>
      <c r="B8" t="s">
        <v>84</v>
      </c>
      <c r="C8">
        <v>12</v>
      </c>
      <c r="D8">
        <v>326.20000000000005</v>
      </c>
      <c r="F8" t="str">
        <f t="shared" si="2"/>
        <v>California</v>
      </c>
      <c r="G8" t="str">
        <f t="shared" si="3"/>
        <v>Calaveras County</v>
      </c>
      <c r="H8">
        <f t="shared" si="4"/>
        <v>12</v>
      </c>
      <c r="I8" s="19"/>
      <c r="J8" t="str">
        <f t="shared" si="5"/>
        <v>California</v>
      </c>
      <c r="K8" t="str">
        <f t="shared" si="6"/>
        <v>Calaveras County</v>
      </c>
      <c r="L8">
        <f>IF(D8="","",D8)</f>
        <v>326.20000000000005</v>
      </c>
    </row>
    <row r="9" spans="1:12" ht="18" customHeight="1" x14ac:dyDescent="0.3">
      <c r="A9" t="s">
        <v>19</v>
      </c>
      <c r="B9" t="s">
        <v>1383</v>
      </c>
      <c r="C9">
        <v>4</v>
      </c>
      <c r="D9">
        <v>167.5</v>
      </c>
      <c r="F9" t="str">
        <f t="shared" si="2"/>
        <v>California</v>
      </c>
      <c r="G9" t="str">
        <f t="shared" si="3"/>
        <v>Colusa County</v>
      </c>
      <c r="H9">
        <f t="shared" si="4"/>
        <v>4</v>
      </c>
      <c r="I9" s="19"/>
      <c r="J9" t="str">
        <f t="shared" si="5"/>
        <v>California</v>
      </c>
      <c r="K9" t="str">
        <f t="shared" si="6"/>
        <v>Colusa County</v>
      </c>
      <c r="L9">
        <f t="shared" si="7"/>
        <v>167.5</v>
      </c>
    </row>
    <row r="10" spans="1:12" ht="18" customHeight="1" x14ac:dyDescent="0.3">
      <c r="A10" t="s">
        <v>19</v>
      </c>
      <c r="B10" t="s">
        <v>24</v>
      </c>
      <c r="C10">
        <v>341</v>
      </c>
      <c r="D10">
        <v>16168.7</v>
      </c>
      <c r="F10" t="str">
        <f t="shared" si="2"/>
        <v>California</v>
      </c>
      <c r="G10" t="str">
        <f t="shared" si="3"/>
        <v>Contra Costa County</v>
      </c>
      <c r="H10">
        <f t="shared" si="4"/>
        <v>341</v>
      </c>
      <c r="I10" s="19"/>
      <c r="J10" t="str">
        <f t="shared" si="5"/>
        <v>California</v>
      </c>
      <c r="K10" t="str">
        <f t="shared" si="6"/>
        <v>Contra Costa County</v>
      </c>
      <c r="L10">
        <f t="shared" si="7"/>
        <v>16168.7</v>
      </c>
    </row>
    <row r="11" spans="1:12" x14ac:dyDescent="0.3">
      <c r="A11" t="s">
        <v>19</v>
      </c>
      <c r="B11" t="s">
        <v>2204</v>
      </c>
      <c r="C11">
        <v>13</v>
      </c>
      <c r="D11">
        <v>322.40000000000003</v>
      </c>
      <c r="F11" t="str">
        <f t="shared" si="2"/>
        <v>California</v>
      </c>
      <c r="G11" t="str">
        <f t="shared" si="3"/>
        <v>Del Norte County</v>
      </c>
      <c r="H11">
        <f t="shared" si="4"/>
        <v>13</v>
      </c>
      <c r="J11" t="str">
        <f t="shared" si="5"/>
        <v>California</v>
      </c>
      <c r="K11" t="str">
        <f t="shared" si="6"/>
        <v>Del Norte County</v>
      </c>
      <c r="L11">
        <f t="shared" si="7"/>
        <v>322.40000000000003</v>
      </c>
    </row>
    <row r="12" spans="1:12" x14ac:dyDescent="0.3">
      <c r="A12" t="s">
        <v>19</v>
      </c>
      <c r="B12" t="s">
        <v>437</v>
      </c>
      <c r="C12">
        <v>31</v>
      </c>
      <c r="D12">
        <v>2092.8000000000002</v>
      </c>
      <c r="F12" t="str">
        <f t="shared" si="2"/>
        <v>California</v>
      </c>
      <c r="G12" t="str">
        <f t="shared" si="3"/>
        <v>El Dorado County</v>
      </c>
      <c r="H12">
        <f t="shared" si="4"/>
        <v>31</v>
      </c>
      <c r="J12" t="str">
        <f t="shared" si="5"/>
        <v>California</v>
      </c>
      <c r="K12" t="str">
        <f t="shared" si="6"/>
        <v>El Dorado County</v>
      </c>
      <c r="L12">
        <f t="shared" si="7"/>
        <v>2092.8000000000002</v>
      </c>
    </row>
    <row r="13" spans="1:12" x14ac:dyDescent="0.3">
      <c r="A13" t="s">
        <v>19</v>
      </c>
      <c r="B13" t="s">
        <v>28</v>
      </c>
      <c r="C13">
        <v>279</v>
      </c>
      <c r="D13">
        <v>12662.500000000002</v>
      </c>
      <c r="F13" t="str">
        <f t="shared" si="2"/>
        <v>California</v>
      </c>
      <c r="G13" t="str">
        <f t="shared" si="3"/>
        <v>Fresno County</v>
      </c>
      <c r="H13">
        <f t="shared" si="4"/>
        <v>279</v>
      </c>
      <c r="J13" t="str">
        <f t="shared" si="5"/>
        <v>California</v>
      </c>
      <c r="K13" t="str">
        <f t="shared" si="6"/>
        <v>Fresno County</v>
      </c>
      <c r="L13">
        <f t="shared" si="7"/>
        <v>12662.500000000002</v>
      </c>
    </row>
    <row r="14" spans="1:12" x14ac:dyDescent="0.3">
      <c r="A14" t="s">
        <v>19</v>
      </c>
      <c r="B14" t="s">
        <v>208</v>
      </c>
      <c r="C14">
        <v>9</v>
      </c>
      <c r="D14">
        <v>343.2</v>
      </c>
      <c r="F14" t="str">
        <f t="shared" si="2"/>
        <v>California</v>
      </c>
      <c r="G14" t="str">
        <f t="shared" si="3"/>
        <v>Glenn County</v>
      </c>
      <c r="H14">
        <f t="shared" si="4"/>
        <v>9</v>
      </c>
      <c r="J14" t="str">
        <f t="shared" si="5"/>
        <v>California</v>
      </c>
      <c r="K14" t="str">
        <f t="shared" si="6"/>
        <v>Glenn County</v>
      </c>
      <c r="L14">
        <f t="shared" si="7"/>
        <v>343.2</v>
      </c>
    </row>
    <row r="15" spans="1:12" x14ac:dyDescent="0.3">
      <c r="A15" t="s">
        <v>19</v>
      </c>
      <c r="B15" t="s">
        <v>587</v>
      </c>
      <c r="C15">
        <v>49</v>
      </c>
      <c r="D15">
        <v>2188.2999999999997</v>
      </c>
      <c r="F15" t="str">
        <f t="shared" si="2"/>
        <v>California</v>
      </c>
      <c r="G15" t="str">
        <f t="shared" si="3"/>
        <v>Humboldt County</v>
      </c>
      <c r="H15">
        <f t="shared" si="4"/>
        <v>49</v>
      </c>
      <c r="J15" t="str">
        <f t="shared" si="5"/>
        <v>California</v>
      </c>
      <c r="K15" t="str">
        <f t="shared" si="6"/>
        <v>Humboldt County</v>
      </c>
      <c r="L15">
        <f t="shared" si="7"/>
        <v>2188.2999999999997</v>
      </c>
    </row>
    <row r="16" spans="1:12" x14ac:dyDescent="0.3">
      <c r="A16" t="s">
        <v>19</v>
      </c>
      <c r="B16" t="s">
        <v>331</v>
      </c>
      <c r="C16">
        <v>59</v>
      </c>
      <c r="D16">
        <v>2661.5999999999995</v>
      </c>
      <c r="F16" t="str">
        <f t="shared" si="2"/>
        <v>California</v>
      </c>
      <c r="G16" t="str">
        <f t="shared" si="3"/>
        <v>Imperial County</v>
      </c>
      <c r="H16">
        <f t="shared" si="4"/>
        <v>59</v>
      </c>
      <c r="J16" t="str">
        <f t="shared" si="5"/>
        <v>California</v>
      </c>
      <c r="K16" t="str">
        <f t="shared" si="6"/>
        <v>Imperial County</v>
      </c>
      <c r="L16">
        <f t="shared" si="7"/>
        <v>2661.5999999999995</v>
      </c>
    </row>
    <row r="17" spans="1:12" x14ac:dyDescent="0.3">
      <c r="A17" t="s">
        <v>19</v>
      </c>
      <c r="B17" t="s">
        <v>86</v>
      </c>
      <c r="C17">
        <v>8</v>
      </c>
      <c r="D17">
        <v>887.5</v>
      </c>
      <c r="F17" t="str">
        <f t="shared" si="2"/>
        <v>California</v>
      </c>
      <c r="G17" t="str">
        <f t="shared" si="3"/>
        <v>Inyo County</v>
      </c>
      <c r="H17">
        <f t="shared" si="4"/>
        <v>8</v>
      </c>
      <c r="J17" t="str">
        <f t="shared" si="5"/>
        <v>California</v>
      </c>
      <c r="K17" t="str">
        <f t="shared" si="6"/>
        <v>Inyo County</v>
      </c>
      <c r="L17">
        <f t="shared" si="7"/>
        <v>887.5</v>
      </c>
    </row>
    <row r="18" spans="1:12" x14ac:dyDescent="0.3">
      <c r="A18" t="s">
        <v>19</v>
      </c>
      <c r="B18" t="s">
        <v>147</v>
      </c>
      <c r="C18">
        <v>222</v>
      </c>
      <c r="D18">
        <v>11354.199999999993</v>
      </c>
      <c r="F18" t="str">
        <f t="shared" si="2"/>
        <v>California</v>
      </c>
      <c r="G18" t="str">
        <f t="shared" si="3"/>
        <v>Kern County</v>
      </c>
      <c r="H18">
        <f t="shared" si="4"/>
        <v>222</v>
      </c>
      <c r="J18" t="str">
        <f t="shared" si="5"/>
        <v>California</v>
      </c>
      <c r="K18" t="str">
        <f t="shared" si="6"/>
        <v>Kern County</v>
      </c>
      <c r="L18">
        <f t="shared" si="7"/>
        <v>11354.199999999993</v>
      </c>
    </row>
    <row r="19" spans="1:12" x14ac:dyDescent="0.3">
      <c r="A19" t="s">
        <v>19</v>
      </c>
      <c r="B19" t="s">
        <v>334</v>
      </c>
      <c r="C19">
        <v>36</v>
      </c>
      <c r="D19">
        <v>1558.4</v>
      </c>
      <c r="F19" t="str">
        <f t="shared" si="2"/>
        <v>California</v>
      </c>
      <c r="G19" t="str">
        <f t="shared" si="3"/>
        <v>Kings County</v>
      </c>
      <c r="H19">
        <f t="shared" si="4"/>
        <v>36</v>
      </c>
      <c r="J19" t="str">
        <f t="shared" si="5"/>
        <v>California</v>
      </c>
      <c r="K19" t="str">
        <f t="shared" si="6"/>
        <v>Kings County</v>
      </c>
      <c r="L19">
        <f t="shared" si="7"/>
        <v>1558.4</v>
      </c>
    </row>
    <row r="20" spans="1:12" x14ac:dyDescent="0.3">
      <c r="A20" t="s">
        <v>19</v>
      </c>
      <c r="B20" t="s">
        <v>949</v>
      </c>
      <c r="C20">
        <v>30</v>
      </c>
      <c r="D20">
        <v>2223.9</v>
      </c>
      <c r="F20" t="str">
        <f t="shared" si="2"/>
        <v>California</v>
      </c>
      <c r="G20" t="str">
        <f t="shared" si="3"/>
        <v>Lake County</v>
      </c>
      <c r="H20">
        <f t="shared" si="4"/>
        <v>30</v>
      </c>
      <c r="J20" t="str">
        <f t="shared" si="5"/>
        <v>California</v>
      </c>
      <c r="K20" t="str">
        <f t="shared" si="6"/>
        <v>Lake County</v>
      </c>
      <c r="L20">
        <f t="shared" si="7"/>
        <v>2223.9</v>
      </c>
    </row>
    <row r="21" spans="1:12" x14ac:dyDescent="0.3">
      <c r="A21" t="s">
        <v>19</v>
      </c>
      <c r="B21" t="s">
        <v>1426</v>
      </c>
      <c r="C21">
        <v>1</v>
      </c>
      <c r="D21">
        <v>26.2</v>
      </c>
      <c r="F21" t="str">
        <f t="shared" si="2"/>
        <v>California</v>
      </c>
      <c r="G21" t="str">
        <f t="shared" si="3"/>
        <v>Lassen County</v>
      </c>
      <c r="H21">
        <f t="shared" si="4"/>
        <v>1</v>
      </c>
      <c r="J21" t="str">
        <f t="shared" si="5"/>
        <v>California</v>
      </c>
      <c r="K21" t="str">
        <f t="shared" si="6"/>
        <v>Lassen County</v>
      </c>
      <c r="L21">
        <f t="shared" si="7"/>
        <v>26.2</v>
      </c>
    </row>
    <row r="22" spans="1:12" x14ac:dyDescent="0.3">
      <c r="A22" t="s">
        <v>19</v>
      </c>
      <c r="B22" t="s">
        <v>33</v>
      </c>
      <c r="C22">
        <v>3991</v>
      </c>
      <c r="D22">
        <v>215551.19999999981</v>
      </c>
      <c r="F22" t="str">
        <f t="shared" si="2"/>
        <v>California</v>
      </c>
      <c r="G22" t="str">
        <f t="shared" si="3"/>
        <v>Los Angeles County</v>
      </c>
      <c r="H22">
        <f t="shared" si="4"/>
        <v>3991</v>
      </c>
      <c r="J22" t="str">
        <f t="shared" si="5"/>
        <v>California</v>
      </c>
      <c r="K22" t="str">
        <f t="shared" si="6"/>
        <v>Los Angeles County</v>
      </c>
      <c r="L22">
        <f t="shared" si="7"/>
        <v>215551.19999999981</v>
      </c>
    </row>
    <row r="23" spans="1:12" x14ac:dyDescent="0.3">
      <c r="A23" t="s">
        <v>19</v>
      </c>
      <c r="B23" t="s">
        <v>364</v>
      </c>
      <c r="C23">
        <v>45</v>
      </c>
      <c r="D23">
        <v>2687.3999999999996</v>
      </c>
      <c r="F23" t="str">
        <f t="shared" si="2"/>
        <v>California</v>
      </c>
      <c r="G23" t="str">
        <f t="shared" si="3"/>
        <v>Madera County</v>
      </c>
      <c r="H23">
        <f t="shared" si="4"/>
        <v>45</v>
      </c>
      <c r="J23" t="str">
        <f t="shared" si="5"/>
        <v>California</v>
      </c>
      <c r="K23" t="str">
        <f t="shared" si="6"/>
        <v>Madera County</v>
      </c>
      <c r="L23">
        <f t="shared" si="7"/>
        <v>2687.3999999999996</v>
      </c>
    </row>
    <row r="24" spans="1:12" x14ac:dyDescent="0.3">
      <c r="A24" t="s">
        <v>19</v>
      </c>
      <c r="B24" t="s">
        <v>545</v>
      </c>
      <c r="C24">
        <v>39</v>
      </c>
      <c r="D24">
        <v>1463.3000000000002</v>
      </c>
      <c r="F24" t="str">
        <f t="shared" si="2"/>
        <v>California</v>
      </c>
      <c r="G24" t="str">
        <f t="shared" si="3"/>
        <v>Marin County</v>
      </c>
      <c r="H24">
        <f t="shared" si="4"/>
        <v>39</v>
      </c>
      <c r="J24" t="str">
        <f t="shared" si="5"/>
        <v>California</v>
      </c>
      <c r="K24" t="str">
        <f t="shared" si="6"/>
        <v>Marin County</v>
      </c>
      <c r="L24">
        <f t="shared" si="7"/>
        <v>1463.3000000000002</v>
      </c>
    </row>
    <row r="25" spans="1:12" x14ac:dyDescent="0.3">
      <c r="A25" t="s">
        <v>19</v>
      </c>
      <c r="B25" t="s">
        <v>416</v>
      </c>
      <c r="C25">
        <v>6</v>
      </c>
      <c r="D25">
        <v>445.79999999999995</v>
      </c>
      <c r="F25" t="str">
        <f t="shared" si="2"/>
        <v>California</v>
      </c>
      <c r="G25" t="str">
        <f t="shared" si="3"/>
        <v>Mariposa County</v>
      </c>
      <c r="H25">
        <f t="shared" si="4"/>
        <v>6</v>
      </c>
      <c r="J25" t="str">
        <f t="shared" si="5"/>
        <v>California</v>
      </c>
      <c r="K25" t="str">
        <f t="shared" si="6"/>
        <v>Mariposa County</v>
      </c>
      <c r="L25">
        <f t="shared" si="7"/>
        <v>445.79999999999995</v>
      </c>
    </row>
    <row r="26" spans="1:12" x14ac:dyDescent="0.3">
      <c r="A26" t="s">
        <v>19</v>
      </c>
      <c r="B26" t="s">
        <v>258</v>
      </c>
      <c r="C26">
        <v>9</v>
      </c>
      <c r="D26">
        <v>273.59999999999997</v>
      </c>
      <c r="F26" t="str">
        <f t="shared" si="2"/>
        <v>California</v>
      </c>
      <c r="G26" t="str">
        <f t="shared" si="3"/>
        <v>Mendocino County</v>
      </c>
      <c r="H26">
        <f t="shared" si="4"/>
        <v>9</v>
      </c>
      <c r="J26" t="str">
        <f t="shared" si="5"/>
        <v>California</v>
      </c>
      <c r="K26" t="str">
        <f t="shared" si="6"/>
        <v>Mendocino County</v>
      </c>
      <c r="L26">
        <f t="shared" si="7"/>
        <v>273.59999999999997</v>
      </c>
    </row>
    <row r="27" spans="1:12" x14ac:dyDescent="0.3">
      <c r="A27" t="s">
        <v>19</v>
      </c>
      <c r="B27" t="s">
        <v>186</v>
      </c>
      <c r="C27">
        <v>60</v>
      </c>
      <c r="D27">
        <v>2690.4</v>
      </c>
      <c r="F27" t="str">
        <f t="shared" si="2"/>
        <v>California</v>
      </c>
      <c r="G27" t="str">
        <f t="shared" si="3"/>
        <v>Merced County</v>
      </c>
      <c r="H27">
        <f t="shared" si="4"/>
        <v>60</v>
      </c>
      <c r="J27" t="str">
        <f t="shared" si="5"/>
        <v>California</v>
      </c>
      <c r="K27" t="str">
        <f t="shared" si="6"/>
        <v>Merced County</v>
      </c>
      <c r="L27">
        <f t="shared" si="7"/>
        <v>2690.4</v>
      </c>
    </row>
    <row r="28" spans="1:12" x14ac:dyDescent="0.3">
      <c r="A28" t="s">
        <v>19</v>
      </c>
      <c r="B28" t="s">
        <v>392</v>
      </c>
      <c r="C28">
        <v>2</v>
      </c>
      <c r="D28">
        <v>28.4</v>
      </c>
      <c r="F28" t="str">
        <f t="shared" si="2"/>
        <v>California</v>
      </c>
      <c r="G28" t="str">
        <f t="shared" si="3"/>
        <v>Modoc County</v>
      </c>
      <c r="H28">
        <f t="shared" si="4"/>
        <v>2</v>
      </c>
      <c r="J28" t="str">
        <f t="shared" si="5"/>
        <v>California</v>
      </c>
      <c r="K28" t="str">
        <f t="shared" si="6"/>
        <v>Modoc County</v>
      </c>
      <c r="L28">
        <f t="shared" si="7"/>
        <v>28.4</v>
      </c>
    </row>
    <row r="29" spans="1:12" x14ac:dyDescent="0.3">
      <c r="A29" t="s">
        <v>19</v>
      </c>
      <c r="B29" t="s">
        <v>670</v>
      </c>
      <c r="C29">
        <v>4</v>
      </c>
      <c r="D29">
        <v>204.8</v>
      </c>
      <c r="F29" t="str">
        <f t="shared" si="2"/>
        <v>California</v>
      </c>
      <c r="G29" t="str">
        <f t="shared" si="3"/>
        <v>Mono County</v>
      </c>
      <c r="H29">
        <f t="shared" si="4"/>
        <v>4</v>
      </c>
      <c r="J29" t="str">
        <f t="shared" si="5"/>
        <v>California</v>
      </c>
      <c r="K29" t="str">
        <f t="shared" si="6"/>
        <v>Mono County</v>
      </c>
      <c r="L29">
        <f t="shared" si="7"/>
        <v>204.8</v>
      </c>
    </row>
    <row r="30" spans="1:12" x14ac:dyDescent="0.3">
      <c r="A30" t="s">
        <v>19</v>
      </c>
      <c r="B30" t="s">
        <v>802</v>
      </c>
      <c r="C30">
        <v>31</v>
      </c>
      <c r="D30">
        <v>1607.8999999999999</v>
      </c>
      <c r="F30" t="str">
        <f t="shared" si="2"/>
        <v>California</v>
      </c>
      <c r="G30" t="str">
        <f t="shared" si="3"/>
        <v>Monterey County</v>
      </c>
      <c r="H30">
        <f t="shared" si="4"/>
        <v>31</v>
      </c>
      <c r="J30" t="str">
        <f t="shared" si="5"/>
        <v>California</v>
      </c>
      <c r="K30" t="str">
        <f t="shared" si="6"/>
        <v>Monterey County</v>
      </c>
      <c r="L30">
        <f t="shared" si="7"/>
        <v>1607.8999999999999</v>
      </c>
    </row>
    <row r="31" spans="1:12" x14ac:dyDescent="0.3">
      <c r="A31" t="s">
        <v>19</v>
      </c>
      <c r="B31" t="s">
        <v>98</v>
      </c>
      <c r="C31">
        <v>88</v>
      </c>
      <c r="D31">
        <v>6444.9</v>
      </c>
      <c r="F31" t="str">
        <f t="shared" si="2"/>
        <v>California</v>
      </c>
      <c r="G31" t="str">
        <f t="shared" si="3"/>
        <v>Napa County</v>
      </c>
      <c r="H31">
        <f t="shared" si="4"/>
        <v>88</v>
      </c>
      <c r="J31" t="str">
        <f t="shared" si="5"/>
        <v>California</v>
      </c>
      <c r="K31" t="str">
        <f t="shared" si="6"/>
        <v>Napa County</v>
      </c>
      <c r="L31">
        <f t="shared" si="7"/>
        <v>6444.9</v>
      </c>
    </row>
    <row r="32" spans="1:12" x14ac:dyDescent="0.3">
      <c r="A32" t="s">
        <v>19</v>
      </c>
      <c r="B32" t="s">
        <v>49</v>
      </c>
      <c r="C32">
        <v>25</v>
      </c>
      <c r="D32">
        <v>1809.3</v>
      </c>
      <c r="F32" t="str">
        <f t="shared" si="2"/>
        <v>California</v>
      </c>
      <c r="G32" t="str">
        <f t="shared" si="3"/>
        <v>Nevada County</v>
      </c>
      <c r="H32">
        <f t="shared" si="4"/>
        <v>25</v>
      </c>
      <c r="J32" t="str">
        <f t="shared" si="5"/>
        <v>California</v>
      </c>
      <c r="K32" t="str">
        <f t="shared" si="6"/>
        <v>Nevada County</v>
      </c>
      <c r="L32">
        <f t="shared" si="7"/>
        <v>1809.3</v>
      </c>
    </row>
    <row r="33" spans="1:12" x14ac:dyDescent="0.3">
      <c r="A33" t="s">
        <v>19</v>
      </c>
      <c r="B33" t="s">
        <v>188</v>
      </c>
      <c r="C33">
        <v>178</v>
      </c>
      <c r="D33">
        <v>9680.399999999996</v>
      </c>
      <c r="F33" t="str">
        <f t="shared" si="2"/>
        <v>California</v>
      </c>
      <c r="G33" t="str">
        <f t="shared" si="3"/>
        <v>Orange County</v>
      </c>
      <c r="H33">
        <f t="shared" si="4"/>
        <v>178</v>
      </c>
      <c r="J33" t="str">
        <f t="shared" si="5"/>
        <v>California</v>
      </c>
      <c r="K33" t="str">
        <f t="shared" si="6"/>
        <v>Orange County</v>
      </c>
      <c r="L33">
        <f t="shared" si="7"/>
        <v>9680.399999999996</v>
      </c>
    </row>
    <row r="34" spans="1:12" x14ac:dyDescent="0.3">
      <c r="A34" t="s">
        <v>19</v>
      </c>
      <c r="B34" t="s">
        <v>52</v>
      </c>
      <c r="C34">
        <v>141</v>
      </c>
      <c r="D34">
        <v>9414.7999999999993</v>
      </c>
      <c r="F34" t="str">
        <f t="shared" si="2"/>
        <v>California</v>
      </c>
      <c r="G34" t="str">
        <f t="shared" si="3"/>
        <v>Placer County</v>
      </c>
      <c r="H34">
        <f t="shared" si="4"/>
        <v>141</v>
      </c>
      <c r="J34" t="str">
        <f t="shared" si="5"/>
        <v>California</v>
      </c>
      <c r="K34" t="str">
        <f t="shared" si="6"/>
        <v>Placer County</v>
      </c>
      <c r="L34">
        <f t="shared" si="7"/>
        <v>9414.7999999999993</v>
      </c>
    </row>
    <row r="35" spans="1:12" x14ac:dyDescent="0.3">
      <c r="A35" t="s">
        <v>19</v>
      </c>
      <c r="B35" t="s">
        <v>338</v>
      </c>
      <c r="C35">
        <v>6</v>
      </c>
      <c r="D35">
        <v>206.1</v>
      </c>
      <c r="F35" t="str">
        <f t="shared" si="2"/>
        <v>California</v>
      </c>
      <c r="G35" t="str">
        <f t="shared" si="3"/>
        <v>Plumas County</v>
      </c>
      <c r="H35">
        <f t="shared" si="4"/>
        <v>6</v>
      </c>
      <c r="J35" t="str">
        <f t="shared" si="5"/>
        <v>California</v>
      </c>
      <c r="K35" t="str">
        <f t="shared" si="6"/>
        <v>Plumas County</v>
      </c>
      <c r="L35">
        <f t="shared" si="7"/>
        <v>206.1</v>
      </c>
    </row>
    <row r="36" spans="1:12" x14ac:dyDescent="0.3">
      <c r="A36" t="s">
        <v>19</v>
      </c>
      <c r="B36" t="s">
        <v>158</v>
      </c>
      <c r="C36">
        <v>178</v>
      </c>
      <c r="D36">
        <v>7691.3</v>
      </c>
      <c r="F36" t="str">
        <f t="shared" si="2"/>
        <v>California</v>
      </c>
      <c r="G36" t="str">
        <f t="shared" si="3"/>
        <v>Riverside County</v>
      </c>
      <c r="H36">
        <f t="shared" si="4"/>
        <v>178</v>
      </c>
      <c r="J36" t="str">
        <f t="shared" si="5"/>
        <v>California</v>
      </c>
      <c r="K36" t="str">
        <f t="shared" si="6"/>
        <v>Riverside County</v>
      </c>
      <c r="L36">
        <f t="shared" si="7"/>
        <v>7691.3</v>
      </c>
    </row>
    <row r="37" spans="1:12" x14ac:dyDescent="0.3">
      <c r="A37" t="s">
        <v>19</v>
      </c>
      <c r="B37" t="s">
        <v>55</v>
      </c>
      <c r="C37">
        <v>699</v>
      </c>
      <c r="D37">
        <v>37784.900000000016</v>
      </c>
      <c r="F37" t="str">
        <f t="shared" si="2"/>
        <v>California</v>
      </c>
      <c r="G37" t="str">
        <f t="shared" si="3"/>
        <v>Sacramento County</v>
      </c>
      <c r="H37">
        <f t="shared" si="4"/>
        <v>699</v>
      </c>
      <c r="J37" t="str">
        <f t="shared" si="5"/>
        <v>California</v>
      </c>
      <c r="K37" t="str">
        <f t="shared" si="6"/>
        <v>Sacramento County</v>
      </c>
      <c r="L37">
        <f t="shared" si="7"/>
        <v>37784.900000000016</v>
      </c>
    </row>
    <row r="38" spans="1:12" x14ac:dyDescent="0.3">
      <c r="A38" t="s">
        <v>19</v>
      </c>
      <c r="B38" t="s">
        <v>342</v>
      </c>
      <c r="C38">
        <v>23</v>
      </c>
      <c r="D38">
        <v>1129.7</v>
      </c>
      <c r="F38" t="str">
        <f t="shared" si="2"/>
        <v>California</v>
      </c>
      <c r="G38" t="str">
        <f t="shared" si="3"/>
        <v>San Benito County</v>
      </c>
      <c r="H38">
        <f t="shared" si="4"/>
        <v>23</v>
      </c>
      <c r="J38" t="str">
        <f t="shared" si="5"/>
        <v>California</v>
      </c>
      <c r="K38" t="str">
        <f t="shared" si="6"/>
        <v>San Benito County</v>
      </c>
      <c r="L38">
        <f t="shared" si="7"/>
        <v>1129.7</v>
      </c>
    </row>
    <row r="39" spans="1:12" x14ac:dyDescent="0.3">
      <c r="A39" t="s">
        <v>19</v>
      </c>
      <c r="B39" t="s">
        <v>59</v>
      </c>
      <c r="C39">
        <v>356</v>
      </c>
      <c r="D39">
        <v>20988.9</v>
      </c>
      <c r="F39" t="str">
        <f t="shared" si="2"/>
        <v>California</v>
      </c>
      <c r="G39" t="str">
        <f t="shared" si="3"/>
        <v>San Bernardino County</v>
      </c>
      <c r="H39">
        <f t="shared" si="4"/>
        <v>356</v>
      </c>
      <c r="J39" t="str">
        <f t="shared" si="5"/>
        <v>California</v>
      </c>
      <c r="K39" t="str">
        <f t="shared" si="6"/>
        <v>San Bernardino County</v>
      </c>
      <c r="L39">
        <f t="shared" si="7"/>
        <v>20988.9</v>
      </c>
    </row>
    <row r="40" spans="1:12" x14ac:dyDescent="0.3">
      <c r="A40" t="s">
        <v>19</v>
      </c>
      <c r="B40" t="s">
        <v>62</v>
      </c>
      <c r="C40">
        <v>1768</v>
      </c>
      <c r="D40">
        <v>98367.099999999977</v>
      </c>
      <c r="F40" t="str">
        <f t="shared" si="2"/>
        <v>California</v>
      </c>
      <c r="G40" t="str">
        <f t="shared" si="3"/>
        <v>San Diego County</v>
      </c>
      <c r="H40">
        <f t="shared" si="4"/>
        <v>1768</v>
      </c>
      <c r="J40" t="str">
        <f t="shared" si="5"/>
        <v>California</v>
      </c>
      <c r="K40" t="str">
        <f t="shared" si="6"/>
        <v>San Diego County</v>
      </c>
      <c r="L40">
        <f t="shared" si="7"/>
        <v>98367.099999999977</v>
      </c>
    </row>
    <row r="41" spans="1:12" x14ac:dyDescent="0.3">
      <c r="A41" t="s">
        <v>19</v>
      </c>
      <c r="B41" t="s">
        <v>103</v>
      </c>
      <c r="C41">
        <v>307</v>
      </c>
      <c r="D41">
        <v>21911.9</v>
      </c>
      <c r="F41" t="str">
        <f t="shared" si="2"/>
        <v>California</v>
      </c>
      <c r="G41" t="str">
        <f t="shared" si="3"/>
        <v>San Francisco</v>
      </c>
      <c r="H41">
        <f t="shared" si="4"/>
        <v>307</v>
      </c>
      <c r="J41" t="str">
        <f t="shared" si="5"/>
        <v>California</v>
      </c>
      <c r="K41" t="str">
        <f t="shared" si="6"/>
        <v>San Francisco</v>
      </c>
      <c r="L41">
        <f t="shared" si="7"/>
        <v>21911.9</v>
      </c>
    </row>
    <row r="42" spans="1:12" x14ac:dyDescent="0.3">
      <c r="A42" t="s">
        <v>19</v>
      </c>
      <c r="B42" t="s">
        <v>201</v>
      </c>
      <c r="C42">
        <v>117</v>
      </c>
      <c r="D42">
        <v>5441.2</v>
      </c>
      <c r="F42" t="str">
        <f t="shared" si="2"/>
        <v>California</v>
      </c>
      <c r="G42" t="str">
        <f t="shared" si="3"/>
        <v>San Joaquin County</v>
      </c>
      <c r="H42">
        <f t="shared" si="4"/>
        <v>117</v>
      </c>
      <c r="J42" t="str">
        <f t="shared" si="5"/>
        <v>California</v>
      </c>
      <c r="K42" t="str">
        <f t="shared" si="6"/>
        <v>San Joaquin County</v>
      </c>
      <c r="L42">
        <f t="shared" si="7"/>
        <v>5441.2</v>
      </c>
    </row>
    <row r="43" spans="1:12" x14ac:dyDescent="0.3">
      <c r="A43" t="s">
        <v>19</v>
      </c>
      <c r="B43" t="s">
        <v>429</v>
      </c>
      <c r="C43">
        <v>13</v>
      </c>
      <c r="D43">
        <v>392.8</v>
      </c>
      <c r="F43" t="str">
        <f t="shared" si="2"/>
        <v>California</v>
      </c>
      <c r="G43" t="str">
        <f t="shared" si="3"/>
        <v>San Luis Obispo County</v>
      </c>
      <c r="H43">
        <f t="shared" si="4"/>
        <v>13</v>
      </c>
      <c r="J43" t="str">
        <f t="shared" si="5"/>
        <v>California</v>
      </c>
      <c r="K43" t="str">
        <f t="shared" si="6"/>
        <v>San Luis Obispo County</v>
      </c>
      <c r="L43">
        <f t="shared" si="7"/>
        <v>392.8</v>
      </c>
    </row>
    <row r="44" spans="1:12" x14ac:dyDescent="0.3">
      <c r="A44" t="s">
        <v>19</v>
      </c>
      <c r="B44" t="s">
        <v>72</v>
      </c>
      <c r="C44">
        <v>364</v>
      </c>
      <c r="D44">
        <v>16172.000000000005</v>
      </c>
      <c r="F44" t="str">
        <f t="shared" si="2"/>
        <v>California</v>
      </c>
      <c r="G44" t="str">
        <f t="shared" si="3"/>
        <v>San Mateo County</v>
      </c>
      <c r="H44">
        <f t="shared" si="4"/>
        <v>364</v>
      </c>
      <c r="J44" t="str">
        <f t="shared" si="5"/>
        <v>California</v>
      </c>
      <c r="K44" t="str">
        <f t="shared" si="6"/>
        <v>San Mateo County</v>
      </c>
      <c r="L44">
        <f t="shared" si="7"/>
        <v>16172.000000000005</v>
      </c>
    </row>
    <row r="45" spans="1:12" x14ac:dyDescent="0.3">
      <c r="A45" t="s">
        <v>19</v>
      </c>
      <c r="B45" t="s">
        <v>74</v>
      </c>
      <c r="C45">
        <v>95</v>
      </c>
      <c r="D45">
        <v>4334.9999999999991</v>
      </c>
      <c r="F45" t="str">
        <f t="shared" si="2"/>
        <v>California</v>
      </c>
      <c r="G45" t="str">
        <f t="shared" si="3"/>
        <v>Santa Barbara County</v>
      </c>
      <c r="H45">
        <f t="shared" si="4"/>
        <v>95</v>
      </c>
      <c r="J45" t="str">
        <f t="shared" si="5"/>
        <v>California</v>
      </c>
      <c r="K45" t="str">
        <f t="shared" si="6"/>
        <v>Santa Barbara County</v>
      </c>
      <c r="L45">
        <f t="shared" si="7"/>
        <v>4334.9999999999991</v>
      </c>
    </row>
    <row r="46" spans="1:12" x14ac:dyDescent="0.3">
      <c r="A46" t="s">
        <v>19</v>
      </c>
      <c r="B46" t="s">
        <v>77</v>
      </c>
      <c r="C46">
        <v>737</v>
      </c>
      <c r="D46">
        <v>37449.000000000007</v>
      </c>
      <c r="F46" t="str">
        <f t="shared" si="2"/>
        <v>California</v>
      </c>
      <c r="G46" t="str">
        <f t="shared" si="3"/>
        <v>Santa Clara County</v>
      </c>
      <c r="H46">
        <f t="shared" si="4"/>
        <v>737</v>
      </c>
      <c r="J46" t="str">
        <f t="shared" si="5"/>
        <v>California</v>
      </c>
      <c r="K46" t="str">
        <f t="shared" si="6"/>
        <v>Santa Clara County</v>
      </c>
      <c r="L46">
        <f t="shared" si="7"/>
        <v>37449.000000000007</v>
      </c>
    </row>
    <row r="47" spans="1:12" x14ac:dyDescent="0.3">
      <c r="A47" t="s">
        <v>19</v>
      </c>
      <c r="B47" t="s">
        <v>309</v>
      </c>
      <c r="C47">
        <v>39</v>
      </c>
      <c r="D47">
        <v>2447.5</v>
      </c>
      <c r="F47" t="str">
        <f t="shared" si="2"/>
        <v>California</v>
      </c>
      <c r="G47" t="str">
        <f t="shared" si="3"/>
        <v>Santa Cruz County</v>
      </c>
      <c r="H47">
        <f t="shared" si="4"/>
        <v>39</v>
      </c>
      <c r="J47" t="str">
        <f t="shared" si="5"/>
        <v>California</v>
      </c>
      <c r="K47" t="str">
        <f t="shared" si="6"/>
        <v>Santa Cruz County</v>
      </c>
      <c r="L47">
        <f t="shared" si="7"/>
        <v>2447.5</v>
      </c>
    </row>
    <row r="48" spans="1:12" x14ac:dyDescent="0.3">
      <c r="A48" t="s">
        <v>19</v>
      </c>
      <c r="B48" t="s">
        <v>1116</v>
      </c>
      <c r="C48">
        <v>56</v>
      </c>
      <c r="D48">
        <v>3391.1</v>
      </c>
      <c r="F48" t="str">
        <f t="shared" si="2"/>
        <v>California</v>
      </c>
      <c r="G48" t="str">
        <f t="shared" si="3"/>
        <v>Shasta County</v>
      </c>
      <c r="H48">
        <f t="shared" si="4"/>
        <v>56</v>
      </c>
      <c r="J48" t="str">
        <f t="shared" si="5"/>
        <v>California</v>
      </c>
      <c r="K48" t="str">
        <f t="shared" si="6"/>
        <v>Shasta County</v>
      </c>
      <c r="L48">
        <f t="shared" si="7"/>
        <v>3391.1</v>
      </c>
    </row>
    <row r="49" spans="1:12" x14ac:dyDescent="0.3">
      <c r="A49" t="s">
        <v>19</v>
      </c>
      <c r="B49" t="s">
        <v>700</v>
      </c>
      <c r="C49">
        <v>2</v>
      </c>
      <c r="D49">
        <v>30.8</v>
      </c>
      <c r="F49" t="str">
        <f t="shared" si="2"/>
        <v>California</v>
      </c>
      <c r="G49" t="str">
        <f t="shared" si="3"/>
        <v>Sierra County</v>
      </c>
      <c r="H49">
        <f t="shared" si="4"/>
        <v>2</v>
      </c>
      <c r="J49" t="str">
        <f t="shared" si="5"/>
        <v>California</v>
      </c>
      <c r="K49" t="str">
        <f t="shared" si="6"/>
        <v>Sierra County</v>
      </c>
      <c r="L49">
        <f t="shared" si="7"/>
        <v>30.8</v>
      </c>
    </row>
    <row r="50" spans="1:12" x14ac:dyDescent="0.3">
      <c r="A50" t="s">
        <v>19</v>
      </c>
      <c r="B50" t="s">
        <v>268</v>
      </c>
      <c r="C50">
        <v>8</v>
      </c>
      <c r="D50">
        <v>332.3</v>
      </c>
      <c r="F50" t="str">
        <f t="shared" si="2"/>
        <v>California</v>
      </c>
      <c r="G50" t="str">
        <f t="shared" si="3"/>
        <v>Siskiyou County</v>
      </c>
      <c r="H50">
        <f t="shared" si="4"/>
        <v>8</v>
      </c>
      <c r="J50" t="str">
        <f t="shared" si="5"/>
        <v>California</v>
      </c>
      <c r="K50" t="str">
        <f t="shared" si="6"/>
        <v>Siskiyou County</v>
      </c>
      <c r="L50">
        <f t="shared" si="7"/>
        <v>332.3</v>
      </c>
    </row>
    <row r="51" spans="1:12" x14ac:dyDescent="0.3">
      <c r="A51" t="s">
        <v>19</v>
      </c>
      <c r="B51" t="s">
        <v>377</v>
      </c>
      <c r="C51">
        <v>52</v>
      </c>
      <c r="D51">
        <v>3175.9999999999995</v>
      </c>
      <c r="F51" t="str">
        <f t="shared" si="2"/>
        <v>California</v>
      </c>
      <c r="G51" t="str">
        <f t="shared" si="3"/>
        <v>Solano County</v>
      </c>
      <c r="H51">
        <f t="shared" si="4"/>
        <v>52</v>
      </c>
      <c r="J51" t="str">
        <f t="shared" si="5"/>
        <v>California</v>
      </c>
      <c r="K51" t="str">
        <f t="shared" si="6"/>
        <v>Solano County</v>
      </c>
      <c r="L51">
        <f t="shared" si="7"/>
        <v>3175.9999999999995</v>
      </c>
    </row>
    <row r="52" spans="1:12" x14ac:dyDescent="0.3">
      <c r="A52" t="s">
        <v>19</v>
      </c>
      <c r="B52" t="s">
        <v>108</v>
      </c>
      <c r="C52">
        <v>295</v>
      </c>
      <c r="D52">
        <v>20939.600000000002</v>
      </c>
      <c r="F52" t="str">
        <f t="shared" si="2"/>
        <v>California</v>
      </c>
      <c r="G52" t="str">
        <f t="shared" si="3"/>
        <v>Sonoma County</v>
      </c>
      <c r="H52">
        <f t="shared" si="4"/>
        <v>295</v>
      </c>
      <c r="J52" t="str">
        <f t="shared" si="5"/>
        <v>California</v>
      </c>
      <c r="K52" t="str">
        <f t="shared" si="6"/>
        <v>Sonoma County</v>
      </c>
      <c r="L52">
        <f t="shared" si="7"/>
        <v>20939.600000000002</v>
      </c>
    </row>
    <row r="53" spans="1:12" x14ac:dyDescent="0.3">
      <c r="A53" t="s">
        <v>19</v>
      </c>
      <c r="B53" t="s">
        <v>110</v>
      </c>
      <c r="C53">
        <v>195</v>
      </c>
      <c r="D53">
        <v>10185.899999999996</v>
      </c>
      <c r="F53" t="str">
        <f t="shared" si="2"/>
        <v>California</v>
      </c>
      <c r="G53" t="str">
        <f t="shared" si="3"/>
        <v>Stanislaus County</v>
      </c>
      <c r="H53">
        <f t="shared" si="4"/>
        <v>195</v>
      </c>
      <c r="J53" t="str">
        <f t="shared" si="5"/>
        <v>California</v>
      </c>
      <c r="K53" t="str">
        <f t="shared" si="6"/>
        <v>Stanislaus County</v>
      </c>
      <c r="L53">
        <f t="shared" si="7"/>
        <v>10185.899999999996</v>
      </c>
    </row>
    <row r="54" spans="1:12" x14ac:dyDescent="0.3">
      <c r="A54" t="s">
        <v>19</v>
      </c>
      <c r="B54" t="s">
        <v>292</v>
      </c>
      <c r="C54">
        <v>20</v>
      </c>
      <c r="D54">
        <v>958.7</v>
      </c>
      <c r="F54" t="str">
        <f t="shared" si="2"/>
        <v>California</v>
      </c>
      <c r="G54" t="str">
        <f t="shared" si="3"/>
        <v>Sutter County</v>
      </c>
      <c r="H54">
        <f t="shared" si="4"/>
        <v>20</v>
      </c>
      <c r="J54" t="str">
        <f t="shared" si="5"/>
        <v>California</v>
      </c>
      <c r="K54" t="str">
        <f t="shared" si="6"/>
        <v>Sutter County</v>
      </c>
      <c r="L54">
        <f t="shared" si="7"/>
        <v>958.7</v>
      </c>
    </row>
    <row r="55" spans="1:12" x14ac:dyDescent="0.3">
      <c r="A55" t="s">
        <v>19</v>
      </c>
      <c r="B55" t="s">
        <v>79</v>
      </c>
      <c r="C55">
        <v>6</v>
      </c>
      <c r="D55">
        <v>323</v>
      </c>
      <c r="F55" t="str">
        <f t="shared" si="2"/>
        <v>California</v>
      </c>
      <c r="G55" t="str">
        <f t="shared" si="3"/>
        <v>Tehama County</v>
      </c>
      <c r="H55">
        <f t="shared" si="4"/>
        <v>6</v>
      </c>
      <c r="J55" t="str">
        <f t="shared" si="5"/>
        <v>California</v>
      </c>
      <c r="K55" t="str">
        <f t="shared" si="6"/>
        <v>Tehama County</v>
      </c>
      <c r="L55">
        <f t="shared" si="7"/>
        <v>323</v>
      </c>
    </row>
    <row r="56" spans="1:12" x14ac:dyDescent="0.3">
      <c r="A56" t="s">
        <v>19</v>
      </c>
      <c r="B56" t="s">
        <v>608</v>
      </c>
      <c r="C56">
        <v>5</v>
      </c>
      <c r="D56">
        <v>167.70000000000002</v>
      </c>
      <c r="F56" t="str">
        <f t="shared" si="2"/>
        <v>California</v>
      </c>
      <c r="G56" t="str">
        <f t="shared" si="3"/>
        <v>Trinity County</v>
      </c>
      <c r="H56">
        <f t="shared" si="4"/>
        <v>5</v>
      </c>
      <c r="J56" t="str">
        <f t="shared" si="5"/>
        <v>California</v>
      </c>
      <c r="K56" t="str">
        <f t="shared" si="6"/>
        <v>Trinity County</v>
      </c>
      <c r="L56">
        <f t="shared" si="7"/>
        <v>167.70000000000002</v>
      </c>
    </row>
    <row r="57" spans="1:12" x14ac:dyDescent="0.3">
      <c r="A57" t="s">
        <v>19</v>
      </c>
      <c r="B57" t="s">
        <v>113</v>
      </c>
      <c r="C57">
        <v>94</v>
      </c>
      <c r="D57">
        <v>3978.5</v>
      </c>
      <c r="F57" t="str">
        <f t="shared" si="2"/>
        <v>California</v>
      </c>
      <c r="G57" t="str">
        <f t="shared" si="3"/>
        <v>Tulare County</v>
      </c>
      <c r="H57">
        <f t="shared" si="4"/>
        <v>94</v>
      </c>
      <c r="J57" t="str">
        <f t="shared" si="5"/>
        <v>California</v>
      </c>
      <c r="K57" t="str">
        <f t="shared" si="6"/>
        <v>Tulare County</v>
      </c>
      <c r="L57">
        <f t="shared" si="7"/>
        <v>3978.5</v>
      </c>
    </row>
    <row r="58" spans="1:12" x14ac:dyDescent="0.3">
      <c r="A58" t="s">
        <v>19</v>
      </c>
      <c r="B58" t="s">
        <v>997</v>
      </c>
      <c r="C58">
        <v>28</v>
      </c>
      <c r="D58">
        <v>1405</v>
      </c>
      <c r="F58" t="str">
        <f t="shared" si="2"/>
        <v>California</v>
      </c>
      <c r="G58" t="str">
        <f t="shared" si="3"/>
        <v>Tuolumne County</v>
      </c>
      <c r="H58">
        <f t="shared" si="4"/>
        <v>28</v>
      </c>
      <c r="J58" t="str">
        <f t="shared" si="5"/>
        <v>California</v>
      </c>
      <c r="K58" t="str">
        <f t="shared" si="6"/>
        <v>Tuolumne County</v>
      </c>
      <c r="L58">
        <f t="shared" si="7"/>
        <v>1405</v>
      </c>
    </row>
    <row r="59" spans="1:12" x14ac:dyDescent="0.3">
      <c r="A59" t="s">
        <v>19</v>
      </c>
      <c r="B59" t="s">
        <v>82</v>
      </c>
      <c r="C59">
        <v>179</v>
      </c>
      <c r="D59">
        <v>9869.0999999999985</v>
      </c>
      <c r="F59" t="str">
        <f t="shared" si="2"/>
        <v>California</v>
      </c>
      <c r="G59" t="str">
        <f t="shared" si="3"/>
        <v>Ventura County</v>
      </c>
      <c r="H59">
        <f t="shared" si="4"/>
        <v>179</v>
      </c>
      <c r="J59" t="str">
        <f t="shared" si="5"/>
        <v>California</v>
      </c>
      <c r="K59" t="str">
        <f t="shared" si="6"/>
        <v>Ventura County</v>
      </c>
      <c r="L59">
        <f t="shared" si="7"/>
        <v>9869.0999999999985</v>
      </c>
    </row>
    <row r="60" spans="1:12" x14ac:dyDescent="0.3">
      <c r="A60" t="s">
        <v>19</v>
      </c>
      <c r="B60" t="s">
        <v>243</v>
      </c>
      <c r="C60">
        <v>15</v>
      </c>
      <c r="D60">
        <v>615.29999999999995</v>
      </c>
      <c r="F60" t="str">
        <f t="shared" si="2"/>
        <v>California</v>
      </c>
      <c r="G60" t="str">
        <f t="shared" si="3"/>
        <v>Yolo County</v>
      </c>
      <c r="H60">
        <f t="shared" si="4"/>
        <v>15</v>
      </c>
      <c r="J60" t="str">
        <f t="shared" si="5"/>
        <v>California</v>
      </c>
      <c r="K60" t="str">
        <f t="shared" si="6"/>
        <v>Yolo County</v>
      </c>
      <c r="L60">
        <f t="shared" si="7"/>
        <v>615.29999999999995</v>
      </c>
    </row>
    <row r="61" spans="1:12" x14ac:dyDescent="0.3">
      <c r="A61" t="s">
        <v>19</v>
      </c>
      <c r="B61" t="s">
        <v>1911</v>
      </c>
      <c r="C61">
        <v>3</v>
      </c>
      <c r="D61">
        <v>285</v>
      </c>
      <c r="F61" t="str">
        <f t="shared" si="2"/>
        <v>California</v>
      </c>
      <c r="G61" t="str">
        <f t="shared" si="3"/>
        <v>Yuba County</v>
      </c>
      <c r="H61">
        <f t="shared" si="4"/>
        <v>3</v>
      </c>
      <c r="J61" t="str">
        <f t="shared" si="5"/>
        <v>California</v>
      </c>
      <c r="K61" t="str">
        <f t="shared" si="6"/>
        <v>Yuba County</v>
      </c>
      <c r="L61">
        <f t="shared" si="7"/>
        <v>285</v>
      </c>
    </row>
  </sheetData>
  <conditionalFormatting sqref="I6:I10">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6D82C-485E-42D1-8137-4C5AB53D249C}">
  <dimension ref="A3:L19"/>
  <sheetViews>
    <sheetView showGridLines="0" workbookViewId="0">
      <selection activeCell="A6" sqref="A4:A18"/>
      <pivotSelection pane="bottomRight" showHeader="1" axis="axisRow" activeRow="5" previousRow="5" click="1" r:id="rId1">
        <pivotArea dataOnly="0" labelOnly="1" outline="0" fieldPosition="0">
          <references count="1">
            <reference field="12" count="0"/>
          </references>
        </pivotArea>
      </pivotSelection>
    </sheetView>
  </sheetViews>
  <sheetFormatPr defaultRowHeight="14.4" x14ac:dyDescent="0.3"/>
  <cols>
    <col min="1" max="1" width="15.5546875" bestFit="1" customWidth="1"/>
    <col min="2" max="3" width="12.21875" bestFit="1" customWidth="1"/>
    <col min="4" max="5" width="14.33203125" bestFit="1" customWidth="1"/>
    <col min="6" max="7" width="10.5546875" bestFit="1" customWidth="1"/>
    <col min="8" max="8" width="10.44140625" bestFit="1" customWidth="1"/>
    <col min="9" max="12" width="8.44140625" customWidth="1"/>
  </cols>
  <sheetData>
    <row r="3" spans="1:12" x14ac:dyDescent="0.3">
      <c r="A3" s="16" t="s">
        <v>12</v>
      </c>
      <c r="B3" t="s">
        <v>2547</v>
      </c>
    </row>
    <row r="4" spans="1:12" x14ac:dyDescent="0.3">
      <c r="A4">
        <v>0</v>
      </c>
      <c r="B4">
        <v>175</v>
      </c>
    </row>
    <row r="5" spans="1:12" x14ac:dyDescent="0.3">
      <c r="A5">
        <v>1</v>
      </c>
      <c r="B5">
        <v>888</v>
      </c>
    </row>
    <row r="6" spans="1:12" ht="18" customHeight="1" x14ac:dyDescent="0.3">
      <c r="A6">
        <v>2</v>
      </c>
      <c r="B6">
        <v>538</v>
      </c>
      <c r="I6" s="19"/>
      <c r="J6" s="19"/>
      <c r="K6" s="19"/>
      <c r="L6" s="19"/>
    </row>
    <row r="7" spans="1:12" ht="18" customHeight="1" x14ac:dyDescent="0.3">
      <c r="A7">
        <v>3</v>
      </c>
      <c r="B7">
        <v>344</v>
      </c>
      <c r="I7" s="19"/>
      <c r="J7" s="19"/>
      <c r="K7" s="19"/>
      <c r="L7" s="19"/>
    </row>
    <row r="8" spans="1:12" ht="18" customHeight="1" x14ac:dyDescent="0.3">
      <c r="A8">
        <v>4</v>
      </c>
      <c r="B8">
        <v>200</v>
      </c>
      <c r="I8" s="19"/>
      <c r="J8" s="19"/>
      <c r="K8" s="19"/>
      <c r="L8" s="19"/>
    </row>
    <row r="9" spans="1:12" ht="18" customHeight="1" x14ac:dyDescent="0.3">
      <c r="A9">
        <v>5</v>
      </c>
      <c r="B9">
        <v>94</v>
      </c>
      <c r="I9" s="19"/>
      <c r="J9" s="19"/>
      <c r="K9" s="19"/>
      <c r="L9" s="19"/>
    </row>
    <row r="10" spans="1:12" ht="18" customHeight="1" x14ac:dyDescent="0.3">
      <c r="A10">
        <v>6</v>
      </c>
      <c r="B10">
        <v>51</v>
      </c>
      <c r="I10" s="19"/>
      <c r="J10" s="19"/>
      <c r="K10" s="19"/>
      <c r="L10" s="19"/>
    </row>
    <row r="11" spans="1:12" x14ac:dyDescent="0.3">
      <c r="A11">
        <v>7</v>
      </c>
      <c r="B11">
        <v>32</v>
      </c>
    </row>
    <row r="12" spans="1:12" x14ac:dyDescent="0.3">
      <c r="A12">
        <v>8</v>
      </c>
      <c r="B12">
        <v>23</v>
      </c>
    </row>
    <row r="13" spans="1:12" x14ac:dyDescent="0.3">
      <c r="A13">
        <v>9</v>
      </c>
      <c r="B13">
        <v>9</v>
      </c>
    </row>
    <row r="14" spans="1:12" x14ac:dyDescent="0.3">
      <c r="A14">
        <v>10</v>
      </c>
      <c r="B14">
        <v>8</v>
      </c>
    </row>
    <row r="15" spans="1:12" x14ac:dyDescent="0.3">
      <c r="A15">
        <v>11</v>
      </c>
      <c r="B15">
        <v>11</v>
      </c>
    </row>
    <row r="16" spans="1:12" x14ac:dyDescent="0.3">
      <c r="A16">
        <v>12</v>
      </c>
      <c r="B16">
        <v>4</v>
      </c>
    </row>
    <row r="17" spans="1:2" x14ac:dyDescent="0.3">
      <c r="A17">
        <v>13</v>
      </c>
      <c r="B17">
        <v>10</v>
      </c>
    </row>
    <row r="18" spans="1:2" x14ac:dyDescent="0.3">
      <c r="A18">
        <v>14</v>
      </c>
      <c r="B18">
        <v>13</v>
      </c>
    </row>
    <row r="19" spans="1:2" x14ac:dyDescent="0.3">
      <c r="A19" t="s">
        <v>2554</v>
      </c>
      <c r="B19">
        <v>2400</v>
      </c>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1BB9-4BDC-40F1-A8CE-23E8B27114A5}">
  <dimension ref="A3:G8"/>
  <sheetViews>
    <sheetView showGridLines="0" workbookViewId="0">
      <selection activeCell="X17" sqref="X17"/>
    </sheetView>
  </sheetViews>
  <sheetFormatPr defaultRowHeight="14.4" x14ac:dyDescent="0.3"/>
  <cols>
    <col min="1" max="1" width="20.109375" bestFit="1" customWidth="1"/>
    <col min="2" max="6" width="10" bestFit="1" customWidth="1"/>
    <col min="7" max="7" width="10.5546875" bestFit="1" customWidth="1"/>
    <col min="8" max="89" width="12.21875" bestFit="1" customWidth="1"/>
    <col min="90" max="90" width="10.5546875" bestFit="1" customWidth="1"/>
  </cols>
  <sheetData>
    <row r="3" spans="1:7" x14ac:dyDescent="0.3">
      <c r="A3" s="16" t="s">
        <v>2547</v>
      </c>
      <c r="B3" s="16" t="s">
        <v>9</v>
      </c>
    </row>
    <row r="4" spans="1:7" x14ac:dyDescent="0.3">
      <c r="A4" s="16" t="s">
        <v>2566</v>
      </c>
      <c r="B4">
        <v>1</v>
      </c>
      <c r="C4">
        <v>2</v>
      </c>
      <c r="D4">
        <v>3</v>
      </c>
      <c r="E4">
        <v>4</v>
      </c>
      <c r="F4">
        <v>5</v>
      </c>
      <c r="G4" t="s">
        <v>2554</v>
      </c>
    </row>
    <row r="5" spans="1:7" x14ac:dyDescent="0.3">
      <c r="A5" t="s">
        <v>2567</v>
      </c>
      <c r="B5">
        <v>7</v>
      </c>
      <c r="C5">
        <v>37</v>
      </c>
      <c r="D5">
        <v>150</v>
      </c>
      <c r="E5">
        <v>312</v>
      </c>
      <c r="F5">
        <v>224</v>
      </c>
      <c r="G5">
        <v>730</v>
      </c>
    </row>
    <row r="6" spans="1:7" x14ac:dyDescent="0.3">
      <c r="A6" t="s">
        <v>2568</v>
      </c>
      <c r="B6">
        <v>8</v>
      </c>
      <c r="C6">
        <v>51</v>
      </c>
      <c r="D6">
        <v>182</v>
      </c>
      <c r="E6">
        <v>373</v>
      </c>
      <c r="F6">
        <v>247</v>
      </c>
      <c r="G6">
        <v>861</v>
      </c>
    </row>
    <row r="7" spans="1:7" x14ac:dyDescent="0.3">
      <c r="A7" t="s">
        <v>2569</v>
      </c>
      <c r="B7">
        <v>6</v>
      </c>
      <c r="C7">
        <v>39</v>
      </c>
      <c r="D7">
        <v>163</v>
      </c>
      <c r="E7">
        <v>351</v>
      </c>
      <c r="F7">
        <v>250</v>
      </c>
      <c r="G7">
        <v>809</v>
      </c>
    </row>
    <row r="8" spans="1:7" x14ac:dyDescent="0.3">
      <c r="A8" t="s">
        <v>2554</v>
      </c>
      <c r="B8">
        <v>21</v>
      </c>
      <c r="C8">
        <v>127</v>
      </c>
      <c r="D8">
        <v>495</v>
      </c>
      <c r="E8">
        <v>1036</v>
      </c>
      <c r="F8">
        <v>721</v>
      </c>
      <c r="G8">
        <v>2400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1: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4:H24"/>
  <sheetViews>
    <sheetView workbookViewId="0">
      <selection activeCell="B3" sqref="B3"/>
    </sheetView>
  </sheetViews>
  <sheetFormatPr defaultRowHeight="14.4" x14ac:dyDescent="0.3"/>
  <cols>
    <col min="1" max="1" width="3.33203125" customWidth="1"/>
    <col min="8" max="8" width="37.33203125" customWidth="1"/>
  </cols>
  <sheetData>
    <row r="4" spans="2:8" x14ac:dyDescent="0.3">
      <c r="H4" s="11"/>
    </row>
    <row r="5" spans="2:8" x14ac:dyDescent="0.3">
      <c r="B5" t="s">
        <v>2518</v>
      </c>
      <c r="H5" s="11"/>
    </row>
    <row r="6" spans="2:8" x14ac:dyDescent="0.3">
      <c r="B6" s="5"/>
      <c r="C6" t="s">
        <v>2519</v>
      </c>
      <c r="D6" t="s">
        <v>2525</v>
      </c>
    </row>
    <row r="7" spans="2:8" x14ac:dyDescent="0.3">
      <c r="B7" s="6"/>
      <c r="C7" t="s">
        <v>2520</v>
      </c>
      <c r="D7" t="s">
        <v>2526</v>
      </c>
    </row>
    <row r="8" spans="2:8" x14ac:dyDescent="0.3">
      <c r="B8" s="7"/>
      <c r="C8" t="s">
        <v>2521</v>
      </c>
      <c r="D8" t="s">
        <v>2527</v>
      </c>
    </row>
    <row r="9" spans="2:8" x14ac:dyDescent="0.3">
      <c r="B9" s="8"/>
      <c r="C9" t="s">
        <v>2522</v>
      </c>
      <c r="D9" t="s">
        <v>2528</v>
      </c>
    </row>
    <row r="10" spans="2:8" x14ac:dyDescent="0.3">
      <c r="B10" s="9"/>
      <c r="C10" t="s">
        <v>2523</v>
      </c>
      <c r="D10" t="s">
        <v>2529</v>
      </c>
    </row>
    <row r="11" spans="2:8" x14ac:dyDescent="0.3">
      <c r="B11" s="2"/>
      <c r="C11" t="s">
        <v>2524</v>
      </c>
      <c r="D11" t="s">
        <v>2530</v>
      </c>
    </row>
    <row r="13" spans="2:8" x14ac:dyDescent="0.3">
      <c r="B13" t="s">
        <v>2531</v>
      </c>
    </row>
    <row r="14" spans="2:8" x14ac:dyDescent="0.3">
      <c r="B14" t="s">
        <v>2532</v>
      </c>
      <c r="C14" t="s">
        <v>2537</v>
      </c>
    </row>
    <row r="15" spans="2:8" x14ac:dyDescent="0.3">
      <c r="B15" t="s">
        <v>2533</v>
      </c>
      <c r="C15" t="s">
        <v>2</v>
      </c>
    </row>
    <row r="16" spans="2:8" x14ac:dyDescent="0.3">
      <c r="B16" t="s">
        <v>2534</v>
      </c>
      <c r="C16" t="s">
        <v>4</v>
      </c>
    </row>
    <row r="17" spans="2:3" x14ac:dyDescent="0.3">
      <c r="B17" t="s">
        <v>2535</v>
      </c>
      <c r="C17" t="s">
        <v>2538</v>
      </c>
    </row>
    <row r="18" spans="2:3" x14ac:dyDescent="0.3">
      <c r="B18" t="s">
        <v>2536</v>
      </c>
      <c r="C18" t="s">
        <v>2539</v>
      </c>
    </row>
    <row r="21" spans="2:3" x14ac:dyDescent="0.3">
      <c r="B21" t="s">
        <v>2540</v>
      </c>
    </row>
    <row r="22" spans="2:3" x14ac:dyDescent="0.3">
      <c r="B22" t="s">
        <v>2541</v>
      </c>
      <c r="C22" t="s">
        <v>2542</v>
      </c>
    </row>
    <row r="23" spans="2:3" x14ac:dyDescent="0.3">
      <c r="B23" t="s">
        <v>2543</v>
      </c>
      <c r="C23" t="s">
        <v>2544</v>
      </c>
    </row>
    <row r="24" spans="2:3" x14ac:dyDescent="0.3">
      <c r="B24" s="10" t="s">
        <v>2545</v>
      </c>
      <c r="C24" t="s">
        <v>2546</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Data</vt:lpstr>
      <vt:lpstr>Resources</vt:lpstr>
      <vt:lpstr>KPI Cards</vt:lpstr>
      <vt:lpstr>KPI 2</vt:lpstr>
      <vt:lpstr>Trends</vt:lpstr>
      <vt:lpstr>Customer preference</vt:lpstr>
      <vt:lpstr>How Many</vt:lpstr>
      <vt:lpstr>Popular Products</vt:lpstr>
      <vt:lpstr>Gender Split</vt:lpstr>
      <vt:lpstr>Map</vt:lpstr>
      <vt:lpstr>time to ship</vt:lpstr>
      <vt:lpstr>cust satisfaction</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Vipul Sourabh</cp:lastModifiedBy>
  <dcterms:created xsi:type="dcterms:W3CDTF">2025-06-13T02:42:26Z</dcterms:created>
  <dcterms:modified xsi:type="dcterms:W3CDTF">2026-07-28T17:58:52Z</dcterms:modified>
</cp:coreProperties>
</file>