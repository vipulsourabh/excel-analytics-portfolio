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D293072874372CEA/"/>
    </mc:Choice>
  </mc:AlternateContent>
  <xr:revisionPtr revIDLastSave="395" documentId="13_ncr:1_{0CD0AEB6-5BED-4D7F-A670-2A947F7DC8BF}" xr6:coauthVersionLast="47" xr6:coauthVersionMax="47" xr10:uidLastSave="{DCCD02A8-1EC4-4C43-9AC1-3D7790C62CBD}"/>
  <bookViews>
    <workbookView xWindow="-108" yWindow="-108" windowWidth="23256" windowHeight="12456" firstSheet="5" activeTab="1" xr2:uid="{0B420DB8-65F3-44FD-8CF1-3BAEED7C38A0}"/>
  </bookViews>
  <sheets>
    <sheet name="Agenda" sheetId="1" r:id="rId1"/>
    <sheet name="raw_data" sheetId="2" r:id="rId2"/>
    <sheet name="side_wrapcol" sheetId="3" r:id="rId3"/>
    <sheet name="side_mergetables" sheetId="4" r:id="rId4"/>
    <sheet name="side_lookupform" sheetId="5" r:id="rId5"/>
    <sheet name="clean_data" sheetId="6" r:id="rId6"/>
  </sheets>
  <definedNames>
    <definedName name="_xlnm._FilterDatabase" localSheetId="1" hidden="1">raw_data!$B$5:$E$105</definedName>
    <definedName name="dataset1">raw_data!$B$5:$E$95</definedName>
    <definedName name="dataset2">raw_data!$G$5:$G$404</definedName>
    <definedName name="RESHAPED_DATASET2">raw_data!$J$5:$N$84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 a="1"/>
  <c r="D4" i="3"/>
  <c r="A21" i="4"/>
  <c r="A17" i="4"/>
  <c r="A13" i="4"/>
  <c r="I4" i="3"/>
  <c r="F5" i="5"/>
  <c r="A8" i="4"/>
  <c r="A5" i="4"/>
  <c r="A27" i="4"/>
  <c r="A24" i="4"/>
  <c r="C2" i="4" l="1" a="1"/>
  <c r="G3" i="4" s="1"/>
  <c r="K3" i="4" a="1"/>
  <c r="J3" i="4" a="1"/>
  <c r="J3" i="4" s="1"/>
  <c r="B3" i="5" a="1"/>
  <c r="B3" i="5" s="1"/>
  <c r="H3" i="4" a="1"/>
  <c r="H3" i="4" s="1"/>
  <c r="I3" i="4" l="1" a="1"/>
  <c r="I3" i="4" s="1"/>
  <c r="C2" i="4"/>
  <c r="K3" i="4"/>
  <c r="L3" i="4" s="1" a="1"/>
  <c r="L3" i="4" l="1"/>
  <c r="M3" i="4" s="1" a="1"/>
  <c r="M3" i="4" s="1"/>
  <c r="N3" i="4" a="1"/>
  <c r="N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<sst xmlns="http://schemas.openxmlformats.org/spreadsheetml/2006/main" count="1927" uniqueCount="390">
  <si>
    <t>Data Cleaning in Excel</t>
  </si>
  <si>
    <t>Concepts:</t>
  </si>
  <si>
    <t>Combining Two Datasets</t>
  </si>
  <si>
    <t>Extracting Data from a Column</t>
  </si>
  <si>
    <t>Duplicate Values</t>
  </si>
  <si>
    <t>Missing Values</t>
  </si>
  <si>
    <t>Spelling Mistakes</t>
  </si>
  <si>
    <t>Date Format Issues</t>
  </si>
  <si>
    <t>Number (currency) Issues</t>
  </si>
  <si>
    <t>Expected Output:</t>
  </si>
  <si>
    <t>A neat 6 column table with Person, City, Ticket Price, Date, Time, Event Detail columns.</t>
  </si>
  <si>
    <t>The data should not contain any duplicate rows, typos, spelling mistakes and format issues</t>
  </si>
  <si>
    <t>Any missing values are identified with yellow color shading</t>
  </si>
  <si>
    <t>Data Cleaning - Advanced Functions</t>
  </si>
  <si>
    <t>PASTED DATA #1</t>
  </si>
  <si>
    <t>Table 1</t>
  </si>
  <si>
    <t>PASTED DATA #2</t>
  </si>
  <si>
    <t>Person</t>
  </si>
  <si>
    <t>City</t>
  </si>
  <si>
    <t>Ticket Price</t>
  </si>
  <si>
    <t>Event Detail</t>
  </si>
  <si>
    <t>The Weekend Forecast</t>
  </si>
  <si>
    <t xml:space="preserve"> Post Lemon </t>
  </si>
  <si>
    <t>Chicago</t>
  </si>
  <si>
    <t>$500</t>
  </si>
  <si>
    <t>TBA on 14 Aug (2026)</t>
  </si>
  <si>
    <t>Big Apple</t>
  </si>
  <si>
    <t>Jonas Blizzards</t>
  </si>
  <si>
    <t>Las Vegas</t>
  </si>
  <si>
    <t>£600</t>
  </si>
  <si>
    <t>10PM Start</t>
  </si>
  <si>
    <t>$200</t>
  </si>
  <si>
    <t>Shawn Mender</t>
  </si>
  <si>
    <t>Sin city</t>
  </si>
  <si>
    <t>Event begins at 8PM on 11 Nov (2026)</t>
  </si>
  <si>
    <t>4 Hour show starting at 5PM</t>
  </si>
  <si>
    <t xml:space="preserve">Ellie Goldfish </t>
  </si>
  <si>
    <t>Bombay</t>
  </si>
  <si>
    <t>$400</t>
  </si>
  <si>
    <t>6PM Start on 27-Sept-2025</t>
  </si>
  <si>
    <t>•</t>
  </si>
  <si>
    <t xml:space="preserve">Khalid Kale </t>
  </si>
  <si>
    <t>Sydney</t>
  </si>
  <si>
    <t>$600</t>
  </si>
  <si>
    <t>Event begins at 10PM</t>
  </si>
  <si>
    <t>Ed Shewalk</t>
  </si>
  <si>
    <t>Lizzoard</t>
  </si>
  <si>
    <t>New York</t>
  </si>
  <si>
    <t>£300</t>
  </si>
  <si>
    <t>4 Hour show starting at 9PM</t>
  </si>
  <si>
    <t>Vegas</t>
  </si>
  <si>
    <t xml:space="preserve">Jonas Blizzards </t>
  </si>
  <si>
    <t>TBA on 1-Apr-2026</t>
  </si>
  <si>
    <t>Katy Ferry</t>
  </si>
  <si>
    <t>4 Hour show starting at 9PM on 7 Aug (2025)</t>
  </si>
  <si>
    <t>4 Hour show starting at 8PM on 28 Sept (2025)</t>
  </si>
  <si>
    <t>Bruno Mars Bar</t>
  </si>
  <si>
    <t>3 Hour performance, begins at 6PM</t>
  </si>
  <si>
    <t>Harry Styles of Hair</t>
  </si>
  <si>
    <t>Mumbai</t>
  </si>
  <si>
    <t>TBA on 7-Nov-2026</t>
  </si>
  <si>
    <t xml:space="preserve">Bruno Mars Bar </t>
  </si>
  <si>
    <t>Ariana Venti</t>
  </si>
  <si>
    <t>London</t>
  </si>
  <si>
    <t>100</t>
  </si>
  <si>
    <t>TBA</t>
  </si>
  <si>
    <t>£100</t>
  </si>
  <si>
    <t>Event begins at 7PM on 28-Dec-2026</t>
  </si>
  <si>
    <t>400</t>
  </si>
  <si>
    <t xml:space="preserve">Justin Woodenpond </t>
  </si>
  <si>
    <t>Show starts at 9PM on 9-Jun-2026</t>
  </si>
  <si>
    <t>Show starts at 7PM on 28 Jul (2025)</t>
  </si>
  <si>
    <t>Show starts at 5PM on 23 Oct (2025)</t>
  </si>
  <si>
    <t>Snoop Corgi</t>
  </si>
  <si>
    <t>TBA on 14-Jul-2026</t>
  </si>
  <si>
    <t>Taylor Swiftly</t>
  </si>
  <si>
    <t>£200</t>
  </si>
  <si>
    <t>Show starts at 6PM</t>
  </si>
  <si>
    <t>Cardi Bee</t>
  </si>
  <si>
    <t>$300</t>
  </si>
  <si>
    <t>6PM Start on 5 Dec (2025)</t>
  </si>
  <si>
    <t>$100</t>
  </si>
  <si>
    <t xml:space="preserve"> Lizzoard </t>
  </si>
  <si>
    <t>4 Hour show starting at 10PM</t>
  </si>
  <si>
    <t>7PM Start</t>
  </si>
  <si>
    <t>Sam Smithy</t>
  </si>
  <si>
    <t>4 Hour show starting at 6PM</t>
  </si>
  <si>
    <t>300</t>
  </si>
  <si>
    <t>7PM Start on 23 Jan (2026)</t>
  </si>
  <si>
    <t xml:space="preserve">Snoop Corgi </t>
  </si>
  <si>
    <t xml:space="preserve"> Jonas Blizzards </t>
  </si>
  <si>
    <t>TBA on 8 Jun (2026)</t>
  </si>
  <si>
    <t>Show starts at 7PM</t>
  </si>
  <si>
    <t>3 Hour performance, begins at 5PM on 19 Oct (2026)</t>
  </si>
  <si>
    <t>TBA on 15 Nov (2026)</t>
  </si>
  <si>
    <t>Justin Woodenpond</t>
  </si>
  <si>
    <t>9PM Start on 26-Apr-2026</t>
  </si>
  <si>
    <t xml:space="preserve"> Imagine Wagons </t>
  </si>
  <si>
    <t xml:space="preserve">Katy Ferry </t>
  </si>
  <si>
    <t>Event begins at 8PM on 15-Dec-2026</t>
  </si>
  <si>
    <t>Drake Mallard</t>
  </si>
  <si>
    <t>3 Hour performance, begins at 9PM on 5 Nov (2026)</t>
  </si>
  <si>
    <t>200</t>
  </si>
  <si>
    <t>7PM Start on 16-Oct-2025</t>
  </si>
  <si>
    <t>4 Hour show starting at 5PM on 31 Jul (2025)</t>
  </si>
  <si>
    <t xml:space="preserve">Alicia Keys to the City </t>
  </si>
  <si>
    <t>4 Hour show starting at 8PM on 21-May-2026</t>
  </si>
  <si>
    <t>Khalid Kale</t>
  </si>
  <si>
    <t>4 Hour show starting at 7PM on 13-Nov-2025</t>
  </si>
  <si>
    <t>Event begins at 9PM</t>
  </si>
  <si>
    <t>Singapore</t>
  </si>
  <si>
    <t xml:space="preserve">Ed Shewalk </t>
  </si>
  <si>
    <t>3 Hour performance, begins at 9PM on 23-Jul-2026</t>
  </si>
  <si>
    <t>10PM Start on 13-Aug-2026</t>
  </si>
  <si>
    <t>9PM Start</t>
  </si>
  <si>
    <t>6PM Start on 19 Nov (2026)</t>
  </si>
  <si>
    <t>Camila Cobello</t>
  </si>
  <si>
    <t>Show starts at 5PM on 6 May (2026)</t>
  </si>
  <si>
    <t>3 Hour performance, begins at 8PM on 28-Jul-2025</t>
  </si>
  <si>
    <t>Selena Go-Go</t>
  </si>
  <si>
    <t>4 Hour show starting at 9PM on 25 Aug (2026)</t>
  </si>
  <si>
    <t>TBA on 9 Oct (2025)</t>
  </si>
  <si>
    <t>4 Hour show starting at 10PM on 19 Sept (2025)</t>
  </si>
  <si>
    <t xml:space="preserve"> Harry Styles of Hair </t>
  </si>
  <si>
    <t>3 Hour performance, begins at 7PM on 31 May (2026)</t>
  </si>
  <si>
    <t>Ellie Goldfish</t>
  </si>
  <si>
    <t>5PM Start on 1 Sept (2026)</t>
  </si>
  <si>
    <t>3 Hour performance, begins at 7PM on 14 Apr (2026)</t>
  </si>
  <si>
    <t xml:space="preserve">Imagine Wagons </t>
  </si>
  <si>
    <t>Show starts at 9PM on 11 Sept (2026)</t>
  </si>
  <si>
    <t>4 Hour show starting at 7PM on 30-Dec-2025</t>
  </si>
  <si>
    <t>Post Lemon</t>
  </si>
  <si>
    <t>Event begins at 5PM on 2 Jan (2026)</t>
  </si>
  <si>
    <t>4 Hour show starting at 8PM on 13-Jun-2026</t>
  </si>
  <si>
    <t>TBA on 9 Aug (2025)</t>
  </si>
  <si>
    <t>6PM Start on 14-Aug-2025</t>
  </si>
  <si>
    <t>Alicia Keys to the City</t>
  </si>
  <si>
    <t>TBA on 20 May (2026)</t>
  </si>
  <si>
    <t>4 Hour show starting at 9PM on 5-Jun-2026</t>
  </si>
  <si>
    <t>Billie Eyelash</t>
  </si>
  <si>
    <t>3 Hour performance, begins at 5PM on 20 Feb (2026)</t>
  </si>
  <si>
    <t>Event begins at 10PM on 12 Jul (2025)</t>
  </si>
  <si>
    <t>Imagine Wagons</t>
  </si>
  <si>
    <t>Show starts at 9PM on 30 Nov (2026)</t>
  </si>
  <si>
    <t>Event begins at 7PM</t>
  </si>
  <si>
    <t xml:space="preserve"> Bruno Mars Bar </t>
  </si>
  <si>
    <t>4 Hour show starting at 6PM on 1-Feb-2026</t>
  </si>
  <si>
    <t>3 Hour performance, begins at 9PM on 1 May (2026)</t>
  </si>
  <si>
    <t>Marooned 5</t>
  </si>
  <si>
    <t>Event begins at 8PM on 28-Feb-2026</t>
  </si>
  <si>
    <t>9PM Start on 17-Feb-2026</t>
  </si>
  <si>
    <t>£400</t>
  </si>
  <si>
    <t>3 Hour performance, begins at 10PM on 27 Jan (2026)</t>
  </si>
  <si>
    <t>3 Hour performance, begins at 5PM</t>
  </si>
  <si>
    <t>Event begins at 7PM on 30-Dec-2025</t>
  </si>
  <si>
    <t>£500</t>
  </si>
  <si>
    <t>3 Hour performance, begins at 8PM on 5 Jan (2026)</t>
  </si>
  <si>
    <t>4 Hour show starting at 7PM</t>
  </si>
  <si>
    <t>4 Hour show starting at 6PM on 5 Feb (2026)</t>
  </si>
  <si>
    <t xml:space="preserve">Marooned 5 </t>
  </si>
  <si>
    <t>3 Hour performance, begins at 10PM on 23 May (2026)</t>
  </si>
  <si>
    <t>Lady Gaggle</t>
  </si>
  <si>
    <t>9PM Start on 24 Jan (2026)</t>
  </si>
  <si>
    <t>8PM Start on 19-Apr-2026</t>
  </si>
  <si>
    <t>3 Hour performance, begins at 5PM on 14-May-2026</t>
  </si>
  <si>
    <t xml:space="preserve">Drake Mallard </t>
  </si>
  <si>
    <t>Event begins at 5PM on 7-Oct-2026</t>
  </si>
  <si>
    <t>Event begins at 7PM on 18-Jun-2026</t>
  </si>
  <si>
    <t>4 Hour show starting at 8PM on 28 Nov (2025)</t>
  </si>
  <si>
    <t>5PM Start on 15 Sept (2026)</t>
  </si>
  <si>
    <t>Event begins at 6PM on 24-May-2026</t>
  </si>
  <si>
    <t xml:space="preserve">Shawn Mender </t>
  </si>
  <si>
    <t>Show starts at 8PM on 7 Sept (2025)</t>
  </si>
  <si>
    <t>4 Hour show starting at 7PM on 15 Jan (2026)</t>
  </si>
  <si>
    <t>4 Hour show starting at 9PM on 19-Jul-2026</t>
  </si>
  <si>
    <t>Show starts at 8PM on 29-Jun-2026</t>
  </si>
  <si>
    <t>4 Hour show starting at 5PM on 11 Oct (2025)</t>
  </si>
  <si>
    <t>TBA on 28-Jun-2025</t>
  </si>
  <si>
    <t>Show starts at 8PM</t>
  </si>
  <si>
    <t>3 Hour performance, begins at 5PM on 29 Jul (2025)</t>
  </si>
  <si>
    <t>3 Hour performance, begins at 7PM</t>
  </si>
  <si>
    <t>600</t>
  </si>
  <si>
    <t>3 Hour performance, begins at 9PM</t>
  </si>
  <si>
    <t>Auckland</t>
  </si>
  <si>
    <t>8PM Start</t>
  </si>
  <si>
    <t>7PM Start on 16 Dec (2025)</t>
  </si>
  <si>
    <t>Wellington</t>
  </si>
  <si>
    <t>3 Hour performance, begins at 7PM on 15 Apr (2026)</t>
  </si>
  <si>
    <t>TBA on 8 Aug (2025)</t>
  </si>
  <si>
    <t>3 Hour performance, begins at 10PM on 27-Apr-2026</t>
  </si>
  <si>
    <t>Event begins at 7PM on 23-Oct-2025</t>
  </si>
  <si>
    <t>Show starts at 9PM on 25 Dec (2025)</t>
  </si>
  <si>
    <t>Event begins at 8PM on 10-Jul-2025</t>
  </si>
  <si>
    <t>7PM Start on 21-Nov-2026</t>
  </si>
  <si>
    <t>4 Hour show starting at 9PM on 23-Mar-2026</t>
  </si>
  <si>
    <t>Event begins at 6PM on 8-Jun-2026</t>
  </si>
  <si>
    <t>5PM Start on 12 Dec (2026)</t>
  </si>
  <si>
    <t>4 Hour show starting at 9PM on 15-Dec-2026</t>
  </si>
  <si>
    <t>3 Hour performance, begins at 6PM on 12 Nov (2025)</t>
  </si>
  <si>
    <t>4 Hour show starting at 10PM on 7 Nov (2025)</t>
  </si>
  <si>
    <t>6PM Start</t>
  </si>
  <si>
    <t xml:space="preserve"> Ed Shewalk </t>
  </si>
  <si>
    <t>Show starts at 8PM on 21 Jan (2026)</t>
  </si>
  <si>
    <t>Show starts at 6PM on 20-Mar-2026</t>
  </si>
  <si>
    <t>9PM Start on 1-Jul-2026</t>
  </si>
  <si>
    <t>Event begins at 10PM on 21-Dec-2025</t>
  </si>
  <si>
    <t>Show starts at 8PM on 4-Jun-2025</t>
  </si>
  <si>
    <t>4 Hour show starting at 9PM on 5-Dec-2026</t>
  </si>
  <si>
    <t xml:space="preserve">Billie Eyelash </t>
  </si>
  <si>
    <t>TBA on 25 Nov (2026)</t>
  </si>
  <si>
    <t xml:space="preserve">Harry Styles of Hair </t>
  </si>
  <si>
    <t>9PM Start on 4 Mar (2026)</t>
  </si>
  <si>
    <t>6PM Start on 27-Jun-2025</t>
  </si>
  <si>
    <t>3 Hour performance, begins at 6PM on 16-Jun-2025</t>
  </si>
  <si>
    <t>4 Hour show starting at 10PM on 6 Oct (2025)</t>
  </si>
  <si>
    <t>6PM Start on 5 Feb (2026)</t>
  </si>
  <si>
    <t>TBA on 26 Jun (2025)</t>
  </si>
  <si>
    <t>Show starts at 9PM</t>
  </si>
  <si>
    <t>Show starts at 6PM on 17-May-2026</t>
  </si>
  <si>
    <t>7PM Start on 28-Oct-2026</t>
  </si>
  <si>
    <t>3 Hour performance, begins at 8PM on 21 Oct (2025)</t>
  </si>
  <si>
    <t>4 Hour show starting at 9PM on 30 Dec (2025)</t>
  </si>
  <si>
    <t>Event begins at 7PM on 14-Jul-2025</t>
  </si>
  <si>
    <t>3 Hour performance, begins at 6PM on 25 Jun (2026)</t>
  </si>
  <si>
    <t>Show starts at 10PM on 16-Jun-2026</t>
  </si>
  <si>
    <t>TBA on 22 Feb (2026)</t>
  </si>
  <si>
    <t>3 Hour performance, begins at 8PM on 8 Oct (2026)</t>
  </si>
  <si>
    <t>Show starts at 7PM on 23 Oct (2026)</t>
  </si>
  <si>
    <t>9PM Start on 5 Oct (2025)</t>
  </si>
  <si>
    <t>4 Hour show starting at 8PM on 3 Jun (2026)</t>
  </si>
  <si>
    <t>4 Hour show starting at 10PM on 23-Sept-2025</t>
  </si>
  <si>
    <t>3 Hour performance, begins at 6PM on 7-May-2026</t>
  </si>
  <si>
    <t>TBA on 11-May-2026</t>
  </si>
  <si>
    <t>Event begins at 8PM</t>
  </si>
  <si>
    <t>3 Hour performance, begins at 7PM on 5 Jan (2026)</t>
  </si>
  <si>
    <t>Show starts at 5PM on 5 Jan (2026)</t>
  </si>
  <si>
    <t>Formula Used to convert list into cols</t>
  </si>
  <si>
    <t>Merged Tables</t>
  </si>
  <si>
    <t>Clean Data</t>
  </si>
  <si>
    <t>Formula Used</t>
  </si>
  <si>
    <t>Date</t>
  </si>
  <si>
    <t>Time (Regextract)</t>
  </si>
  <si>
    <t>Stacking tow tables</t>
  </si>
  <si>
    <t>Taking data from another table to clean - Person column</t>
  </si>
  <si>
    <t>=WRAPROWS(</t>
  </si>
  <si>
    <t xml:space="preserve">Note: Can use CLEAN/Substitute if you think there is an </t>
  </si>
  <si>
    <t>=VSTACK(</t>
  </si>
  <si>
    <t>invisible function hidden</t>
  </si>
  <si>
    <t>=CHOOSECOLS(</t>
  </si>
  <si>
    <t>=LET(</t>
  </si>
  <si>
    <t>City Column</t>
  </si>
  <si>
    <t>=IFERROR(</t>
  </si>
  <si>
    <t>=REGEXEXTRACT(</t>
  </si>
  <si>
    <t>Note: refer to 'city_clean' sheet where the XLOOKUP has been referenced</t>
  </si>
  <si>
    <t>=TEXTAFTER(</t>
  </si>
  <si>
    <t>=TRIM(</t>
  </si>
  <si>
    <t>=XLOOKUP(</t>
  </si>
  <si>
    <t>Note: LET can be used to assign temp name to column inside a formula</t>
  </si>
  <si>
    <t xml:space="preserve">Date </t>
  </si>
  <si>
    <t>Date (proper)</t>
  </si>
  <si>
    <t xml:space="preserve">Note: While taking out AM and PM, keep an eye on the pattern from source. </t>
  </si>
  <si>
    <t>In the current case we just have 10AM or 10PM</t>
  </si>
  <si>
    <t>Unique Cities</t>
  </si>
  <si>
    <t>Correct Name</t>
  </si>
  <si>
    <t>Unknown</t>
  </si>
  <si>
    <t>Cities</t>
  </si>
  <si>
    <t>Currency Symbol</t>
  </si>
  <si>
    <t>unknown</t>
  </si>
  <si>
    <t>NZ$</t>
  </si>
  <si>
    <t>$</t>
  </si>
  <si>
    <t>₹</t>
  </si>
  <si>
    <t>£</t>
  </si>
  <si>
    <t>S$</t>
  </si>
  <si>
    <t>A$</t>
  </si>
  <si>
    <t xml:space="preserve"> 14 Aug (2026)</t>
  </si>
  <si>
    <t/>
  </si>
  <si>
    <t>10PM</t>
  </si>
  <si>
    <t xml:space="preserve"> 11 Nov (2026)</t>
  </si>
  <si>
    <t>8PM</t>
  </si>
  <si>
    <t xml:space="preserve"> 27-Sept-2025</t>
  </si>
  <si>
    <t>6PM</t>
  </si>
  <si>
    <t>9PM</t>
  </si>
  <si>
    <t xml:space="preserve"> 1-Apr-2026</t>
  </si>
  <si>
    <t xml:space="preserve"> 7 Aug (2025)</t>
  </si>
  <si>
    <t xml:space="preserve"> 7-Nov-2026</t>
  </si>
  <si>
    <t xml:space="preserve"> 28-Dec-2026</t>
  </si>
  <si>
    <t>7PM</t>
  </si>
  <si>
    <t xml:space="preserve"> 9-Jun-2026</t>
  </si>
  <si>
    <t xml:space="preserve"> 23 Oct (2025)</t>
  </si>
  <si>
    <t>5PM</t>
  </si>
  <si>
    <t xml:space="preserve"> 14-Jul-2026</t>
  </si>
  <si>
    <t xml:space="preserve"> 5 Dec (2025)</t>
  </si>
  <si>
    <t xml:space="preserve"> 23 Jan (2026)</t>
  </si>
  <si>
    <t xml:space="preserve"> 8 Jun (2026)</t>
  </si>
  <si>
    <t xml:space="preserve"> 15 Nov (2026)</t>
  </si>
  <si>
    <t xml:space="preserve"> 26-Apr-2026</t>
  </si>
  <si>
    <t xml:space="preserve"> 15-Dec-2026</t>
  </si>
  <si>
    <t xml:space="preserve"> 5 Nov (2026)</t>
  </si>
  <si>
    <t xml:space="preserve"> 16-Oct-2025</t>
  </si>
  <si>
    <t xml:space="preserve"> 21-May-2026</t>
  </si>
  <si>
    <t xml:space="preserve"> 13-Nov-2025</t>
  </si>
  <si>
    <t xml:space="preserve"> 23-Jul-2026</t>
  </si>
  <si>
    <t xml:space="preserve"> 13-Aug-2026</t>
  </si>
  <si>
    <t xml:space="preserve"> 19 Nov (2026)</t>
  </si>
  <si>
    <t xml:space="preserve"> 6 May (2026)</t>
  </si>
  <si>
    <t xml:space="preserve"> 28-Jul-2025</t>
  </si>
  <si>
    <t xml:space="preserve"> 25 Aug (2026)</t>
  </si>
  <si>
    <t xml:space="preserve"> 9 Oct (2025)</t>
  </si>
  <si>
    <t xml:space="preserve"> 19 Sept (2025)</t>
  </si>
  <si>
    <t xml:space="preserve"> 31 May (2026)</t>
  </si>
  <si>
    <t xml:space="preserve"> 1 Sept (2026)</t>
  </si>
  <si>
    <t xml:space="preserve"> 11 Sept (2026)</t>
  </si>
  <si>
    <t xml:space="preserve"> 30-Dec-2025</t>
  </si>
  <si>
    <t xml:space="preserve"> 2 Jan (2026)</t>
  </si>
  <si>
    <t xml:space="preserve"> 13-Jun-2026</t>
  </si>
  <si>
    <t xml:space="preserve"> 14-Aug-2025</t>
  </si>
  <si>
    <t xml:space="preserve"> 20 May (2026)</t>
  </si>
  <si>
    <t xml:space="preserve"> 5-Jun-2026</t>
  </si>
  <si>
    <t xml:space="preserve"> 20 Feb (2026)</t>
  </si>
  <si>
    <t xml:space="preserve"> 30 Nov (2026)</t>
  </si>
  <si>
    <t xml:space="preserve"> 1-Feb-2026</t>
  </si>
  <si>
    <t xml:space="preserve"> 1 May (2026)</t>
  </si>
  <si>
    <t xml:space="preserve"> 28-Feb-2026</t>
  </si>
  <si>
    <t xml:space="preserve"> 27 Jan (2026)</t>
  </si>
  <si>
    <t xml:space="preserve"> 5 Jan (2026)</t>
  </si>
  <si>
    <t xml:space="preserve"> 23 May (2026)</t>
  </si>
  <si>
    <t xml:space="preserve"> 24 Jan (2026)</t>
  </si>
  <si>
    <t xml:space="preserve"> 19-Apr-2026</t>
  </si>
  <si>
    <t xml:space="preserve"> 14-May-2026</t>
  </si>
  <si>
    <t xml:space="preserve"> 7-Oct-2026</t>
  </si>
  <si>
    <t xml:space="preserve"> 28 Nov (2025)</t>
  </si>
  <si>
    <t xml:space="preserve"> 15 Sept (2026)</t>
  </si>
  <si>
    <t xml:space="preserve"> 24-May-2026</t>
  </si>
  <si>
    <t xml:space="preserve"> 7 Sept (2025)</t>
  </si>
  <si>
    <t xml:space="preserve"> 15 Jan (2026)</t>
  </si>
  <si>
    <t xml:space="preserve"> 29-Jun-2026</t>
  </si>
  <si>
    <t xml:space="preserve"> 11 Oct (2025)</t>
  </si>
  <si>
    <t xml:space="preserve"> 28-Jun-2025</t>
  </si>
  <si>
    <t xml:space="preserve"> 29 Jul (2025)</t>
  </si>
  <si>
    <t xml:space="preserve"> 28 Sept (2025)</t>
  </si>
  <si>
    <t xml:space="preserve"> 28 Jul (2025)</t>
  </si>
  <si>
    <t xml:space="preserve"> 19 Oct (2026)</t>
  </si>
  <si>
    <t xml:space="preserve"> 31 Jul (2025)</t>
  </si>
  <si>
    <t xml:space="preserve"> 15 Apr (2026)</t>
  </si>
  <si>
    <t xml:space="preserve"> 8 Aug (2025)</t>
  </si>
  <si>
    <t xml:space="preserve"> 14 Apr (2026)</t>
  </si>
  <si>
    <t xml:space="preserve"> 9 Aug (2025)</t>
  </si>
  <si>
    <t xml:space="preserve"> 12 Jul (2025)</t>
  </si>
  <si>
    <t xml:space="preserve"> 17-Feb-2026</t>
  </si>
  <si>
    <t xml:space="preserve"> 5 Feb (2026)</t>
  </si>
  <si>
    <t xml:space="preserve"> 18-Jun-2026</t>
  </si>
  <si>
    <t xml:space="preserve"> 19-Jul-2026</t>
  </si>
  <si>
    <t xml:space="preserve"> 16 Dec (2025)</t>
  </si>
  <si>
    <t xml:space="preserve"> 27-Apr-2026</t>
  </si>
  <si>
    <t xml:space="preserve"> 23-Oct-2025</t>
  </si>
  <si>
    <t xml:space="preserve"> 25 Dec (2025)</t>
  </si>
  <si>
    <t xml:space="preserve"> 10-Jul-2025</t>
  </si>
  <si>
    <t xml:space="preserve"> 21-Nov-2026</t>
  </si>
  <si>
    <t xml:space="preserve"> 23-Mar-2026</t>
  </si>
  <si>
    <t xml:space="preserve"> 8-Jun-2026</t>
  </si>
  <si>
    <t xml:space="preserve"> 12 Dec (2026)</t>
  </si>
  <si>
    <t xml:space="preserve"> 12 Nov (2025)</t>
  </si>
  <si>
    <t xml:space="preserve"> 7 Nov (2025)</t>
  </si>
  <si>
    <t xml:space="preserve"> 21 Jan (2026)</t>
  </si>
  <si>
    <t xml:space="preserve"> 20-Mar-2026</t>
  </si>
  <si>
    <t xml:space="preserve"> 1-Jul-2026</t>
  </si>
  <si>
    <t xml:space="preserve"> 21-Dec-2025</t>
  </si>
  <si>
    <t xml:space="preserve"> 4-Jun-2025</t>
  </si>
  <si>
    <t xml:space="preserve"> 5-Dec-2026</t>
  </si>
  <si>
    <t xml:space="preserve"> 25 Nov (2026)</t>
  </si>
  <si>
    <t xml:space="preserve"> 4 Mar (2026)</t>
  </si>
  <si>
    <t xml:space="preserve"> 27-Jun-2025</t>
  </si>
  <si>
    <t xml:space="preserve"> 16-Jun-2025</t>
  </si>
  <si>
    <t xml:space="preserve"> 6 Oct (2025)</t>
  </si>
  <si>
    <t xml:space="preserve"> 26 Jun (2025)</t>
  </si>
  <si>
    <t xml:space="preserve"> 17-May-2026</t>
  </si>
  <si>
    <t xml:space="preserve"> 28-Oct-2026</t>
  </si>
  <si>
    <t xml:space="preserve"> 21 Oct (2025)</t>
  </si>
  <si>
    <t xml:space="preserve"> 30 Dec (2025)</t>
  </si>
  <si>
    <t xml:space="preserve"> 14-Jul-2025</t>
  </si>
  <si>
    <t xml:space="preserve"> 25 Jun (2026)</t>
  </si>
  <si>
    <t xml:space="preserve"> 16-Jun-2026</t>
  </si>
  <si>
    <t xml:space="preserve"> 22 Feb (2026)</t>
  </si>
  <si>
    <t xml:space="preserve"> 8 Oct (2026)</t>
  </si>
  <si>
    <t xml:space="preserve"> 23 Oct (2026)</t>
  </si>
  <si>
    <t xml:space="preserve"> 5 Oct (2025)</t>
  </si>
  <si>
    <t xml:space="preserve"> 3 Jun (2026)</t>
  </si>
  <si>
    <t xml:space="preserve"> 23-Sept-2025</t>
  </si>
  <si>
    <t xml:space="preserve"> 7-May-2026</t>
  </si>
  <si>
    <t xml:space="preserve"> 11-May-2026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</si>
</sst>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dd\-mmm\-yyyy"/>
  </numFmts>
  <fonts count="4">
    <font>
      <sz val="11"/>
      <color theme="1"/>
      <name val="Aptos Narrow"/>
      <family val="2"/>
      <scheme val="minor"/>
    </font>
    <font>
      <sz val="20"/>
      <color theme="1" tint="4.9989318521683403E-2"/>
      <name val="Aptos ExtraBold"/>
      <family val="2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0" borderId="0" xfId="0" quotePrefix="1"/>
    <xf numFmtId="0" fontId="2" fillId="0" borderId="0" xfId="0" applyFont="1"/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2" fillId="0" borderId="0" xfId="0" applyFont="1" applyAlignment="1">
      <alignment horizontal="center" vertical="center"/>
    </xf>
    <xf numFmtId="0" fontId="0" fillId="5" borderId="2" xfId="0" applyFill="1" applyBorder="1"/>
    <xf numFmtId="0" fontId="2" fillId="0" borderId="2" xfId="0" applyFont="1" applyBorder="1"/>
    <xf numFmtId="0" fontId="3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4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165" fontId="0" fillId="0" borderId="0" xfId="0" applyNumberFormat="1" applyFont="1"/>
    <xf numFmtId="0" fontId="0" fillId="0" borderId="0" xfId="0" applyFont="1" applyAlignment="1">
      <alignment horizontal="center"/>
    </xf>
    <xf numFmtId="2" fontId="0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alignment horizontal="center"/>
    </dxf>
    <dxf>
      <numFmt numFmtId="165" formatCode="dd\-mmm\-yyyy"/>
    </dxf>
    <dxf>
      <numFmt numFmtId="2" formatCode="0.00"/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960B6-B6AC-404F-8044-C18AA2E80EAE}" name="Table1" displayName="Table1" ref="A1:G171" totalsRowShown="0" headerRowDxfId="3">
  <autoFilter ref="A1:G171" xr:uid="{AD6960B6-B6AC-404F-8044-C18AA2E80EAE}"/>
  <tableColumns count="7">
    <tableColumn id="1" xr3:uid="{F7992C05-3AFF-41C6-89C9-C85FFFA45908}" name="Person"/>
    <tableColumn id="2" xr3:uid="{038F43A9-17C3-4AC8-B69A-AC6A8545E28D}" name="City"/>
    <tableColumn id="3" xr3:uid="{EDB8616E-55FE-437C-A017-2C898F6EB25B}" name="Ticket Price" dataDxfId="2"/>
    <tableColumn id="4" xr3:uid="{33EBCA13-93E6-4849-B3FC-FEA85A94E1ED}" name="Event Detail"/>
    <tableColumn id="5" xr3:uid="{D42B939E-A295-4D1B-8794-710BE474C86F}" name="Date"/>
    <tableColumn id="6" xr3:uid="{127BBCB4-4DF9-42B8-BEEB-5EBC7B1E266C}" name="Date (proper)" dataDxfId="1"/>
    <tableColumn id="7" xr3:uid="{63483E4A-56F7-4DBC-AC86-C5A17D4FEAA2}" name="Time (Regextract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F8D0-33D4-4B99-B353-26E0B73B3088}">
  <dimension ref="B1:B18"/>
  <sheetViews>
    <sheetView workbookViewId="0">
      <selection activeCell="B4" sqref="B4"/>
    </sheetView>
  </sheetViews>
  <sheetFormatPr defaultRowHeight="14.45"/>
  <cols>
    <col min="1" max="1" width="2.28515625" customWidth="1"/>
    <col min="2" max="2" width="81.7109375" customWidth="1"/>
    <col min="4" max="4" width="13.42578125" bestFit="1" customWidth="1"/>
    <col min="5" max="5" width="16.28515625" bestFit="1" customWidth="1"/>
  </cols>
  <sheetData>
    <row r="1" spans="2:2" s="1" customFormat="1" ht="45" customHeight="1">
      <c r="B1" s="2" t="s">
        <v>0</v>
      </c>
    </row>
    <row r="4" spans="2:2">
      <c r="B4" s="4" t="s">
        <v>1</v>
      </c>
    </row>
    <row r="6" spans="2:2">
      <c r="B6" t="s">
        <v>2</v>
      </c>
    </row>
    <row r="7" spans="2:2">
      <c r="B7" t="s">
        <v>3</v>
      </c>
    </row>
    <row r="8" spans="2:2">
      <c r="B8" t="s">
        <v>4</v>
      </c>
    </row>
    <row r="9" spans="2:2">
      <c r="B9" t="s">
        <v>5</v>
      </c>
    </row>
    <row r="10" spans="2:2">
      <c r="B10" t="s">
        <v>6</v>
      </c>
    </row>
    <row r="11" spans="2:2">
      <c r="B11" t="s">
        <v>7</v>
      </c>
    </row>
    <row r="12" spans="2:2">
      <c r="B12" t="s">
        <v>8</v>
      </c>
    </row>
    <row r="14" spans="2:2">
      <c r="B14" s="4" t="s">
        <v>9</v>
      </c>
    </row>
    <row r="16" spans="2:2">
      <c r="B16" t="s">
        <v>10</v>
      </c>
    </row>
    <row r="17" spans="2:2">
      <c r="B17" t="s">
        <v>11</v>
      </c>
    </row>
    <row r="18" spans="2:2">
      <c r="B1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9980-2959-4FE4-937B-8ABD19A7AF92}">
  <dimension ref="B1:P406"/>
  <sheetViews>
    <sheetView tabSelected="1" zoomScaleNormal="100" zoomScaleSheetLayoutView="102" workbookViewId="0">
      <pane ySplit="1" topLeftCell="A2" activePane="bottomLeft" state="frozen"/>
      <selection pane="bottomLeft" activeCell="A3" sqref="A3:XFD3"/>
    </sheetView>
  </sheetViews>
  <sheetFormatPr defaultRowHeight="15" customHeight="1"/>
  <cols>
    <col min="1" max="1" width="2.28515625" customWidth="1"/>
    <col min="2" max="2" width="23.28515625" customWidth="1"/>
    <col min="3" max="3" width="11.28515625" customWidth="1"/>
    <col min="4" max="4" width="16.28515625" bestFit="1" customWidth="1"/>
    <col min="5" max="5" width="45.42578125" customWidth="1"/>
    <col min="7" max="7" width="44.140625" customWidth="1"/>
  </cols>
  <sheetData>
    <row r="1" spans="2:16" s="1" customFormat="1" ht="45" customHeight="1">
      <c r="B1" s="2" t="s">
        <v>13</v>
      </c>
    </row>
    <row r="3" spans="2:16" ht="14.45">
      <c r="B3" s="4" t="s">
        <v>14</v>
      </c>
      <c r="E3" t="s">
        <v>15</v>
      </c>
      <c r="G3" s="4" t="s">
        <v>16</v>
      </c>
      <c r="J3" s="4"/>
    </row>
    <row r="5" spans="2:16" ht="14.45">
      <c r="B5" s="6" t="s">
        <v>17</v>
      </c>
      <c r="C5" s="6" t="s">
        <v>18</v>
      </c>
      <c r="D5" s="6" t="s">
        <v>19</v>
      </c>
      <c r="E5" s="6" t="s">
        <v>20</v>
      </c>
      <c r="G5" s="5" t="s">
        <v>21</v>
      </c>
    </row>
    <row r="6" spans="2:16" ht="14.45">
      <c r="B6" s="5" t="s">
        <v>22</v>
      </c>
      <c r="C6" s="5" t="s">
        <v>23</v>
      </c>
      <c r="D6" s="5" t="s">
        <v>24</v>
      </c>
      <c r="E6" s="5" t="s">
        <v>25</v>
      </c>
      <c r="G6" s="5" t="s">
        <v>26</v>
      </c>
    </row>
    <row r="7" spans="2:16" ht="14.45">
      <c r="B7" s="5" t="s">
        <v>27</v>
      </c>
      <c r="C7" s="5" t="s">
        <v>28</v>
      </c>
      <c r="D7" s="5" t="s">
        <v>29</v>
      </c>
      <c r="E7" s="5" t="s">
        <v>30</v>
      </c>
      <c r="G7" s="5" t="s">
        <v>31</v>
      </c>
    </row>
    <row r="8" spans="2:16" ht="14.45">
      <c r="B8" s="5" t="s">
        <v>32</v>
      </c>
      <c r="C8" s="5" t="s">
        <v>33</v>
      </c>
      <c r="D8" s="5" t="s">
        <v>31</v>
      </c>
      <c r="E8" s="5" t="s">
        <v>34</v>
      </c>
      <c r="G8" s="5" t="s">
        <v>35</v>
      </c>
    </row>
    <row r="9" spans="2:16" ht="14.45">
      <c r="B9" s="5" t="s">
        <v>36</v>
      </c>
      <c r="C9" s="5" t="s">
        <v>37</v>
      </c>
      <c r="D9" s="5" t="s">
        <v>38</v>
      </c>
      <c r="E9" s="5" t="s">
        <v>39</v>
      </c>
      <c r="G9" s="5" t="s">
        <v>40</v>
      </c>
    </row>
    <row r="10" spans="2:16" ht="14.45">
      <c r="B10" s="5" t="s">
        <v>41</v>
      </c>
      <c r="C10" s="5" t="s">
        <v>42</v>
      </c>
      <c r="D10" s="5" t="s">
        <v>43</v>
      </c>
      <c r="E10" s="5" t="s">
        <v>44</v>
      </c>
      <c r="G10" s="5" t="s">
        <v>45</v>
      </c>
    </row>
    <row r="11" spans="2:16" ht="14.45">
      <c r="B11" s="5" t="s">
        <v>46</v>
      </c>
      <c r="C11" s="5" t="s">
        <v>47</v>
      </c>
      <c r="D11" s="5" t="s">
        <v>48</v>
      </c>
      <c r="E11" s="5" t="s">
        <v>49</v>
      </c>
      <c r="G11" s="5" t="s">
        <v>50</v>
      </c>
    </row>
    <row r="12" spans="2:16" ht="14.45">
      <c r="B12" s="5" t="s">
        <v>51</v>
      </c>
      <c r="C12" s="5" t="s">
        <v>26</v>
      </c>
      <c r="D12" s="5" t="s">
        <v>29</v>
      </c>
      <c r="E12" s="5" t="s">
        <v>52</v>
      </c>
      <c r="G12" s="5" t="s">
        <v>43</v>
      </c>
    </row>
    <row r="13" spans="2:16" ht="14.45">
      <c r="B13" s="5" t="s">
        <v>53</v>
      </c>
      <c r="C13" s="5" t="s">
        <v>47</v>
      </c>
      <c r="D13" s="5" t="s">
        <v>24</v>
      </c>
      <c r="E13" s="5" t="s">
        <v>54</v>
      </c>
      <c r="G13" s="5" t="s">
        <v>55</v>
      </c>
    </row>
    <row r="14" spans="2:16" ht="14.45">
      <c r="B14" s="5" t="s">
        <v>56</v>
      </c>
      <c r="C14" s="5" t="s">
        <v>42</v>
      </c>
      <c r="D14" s="5" t="s">
        <v>24</v>
      </c>
      <c r="E14" s="5" t="s">
        <v>57</v>
      </c>
      <c r="G14" s="5" t="s">
        <v>40</v>
      </c>
    </row>
    <row r="15" spans="2:16" ht="14.45">
      <c r="B15" s="5" t="s">
        <v>58</v>
      </c>
      <c r="C15" s="5" t="s">
        <v>59</v>
      </c>
      <c r="D15" s="5"/>
      <c r="E15" s="5" t="s">
        <v>60</v>
      </c>
      <c r="G15" s="5" t="s">
        <v>61</v>
      </c>
      <c r="P15" s="3"/>
    </row>
    <row r="16" spans="2:16" ht="14.45">
      <c r="B16" s="5" t="s">
        <v>62</v>
      </c>
      <c r="C16" s="5" t="s">
        <v>63</v>
      </c>
      <c r="D16" s="5" t="s">
        <v>64</v>
      </c>
      <c r="E16" s="5" t="s">
        <v>65</v>
      </c>
      <c r="G16" s="5" t="s">
        <v>63</v>
      </c>
    </row>
    <row r="17" spans="2:7" ht="14.45">
      <c r="B17" s="5" t="s">
        <v>27</v>
      </c>
      <c r="C17" s="5" t="s">
        <v>37</v>
      </c>
      <c r="D17" s="5" t="s">
        <v>66</v>
      </c>
      <c r="E17" s="5" t="s">
        <v>67</v>
      </c>
      <c r="G17" s="5" t="s">
        <v>68</v>
      </c>
    </row>
    <row r="18" spans="2:7" ht="14.45">
      <c r="B18" s="5" t="s">
        <v>69</v>
      </c>
      <c r="C18" s="5" t="s">
        <v>37</v>
      </c>
      <c r="D18" s="5" t="s">
        <v>29</v>
      </c>
      <c r="E18" s="5" t="s">
        <v>70</v>
      </c>
      <c r="G18" s="5" t="s">
        <v>71</v>
      </c>
    </row>
    <row r="19" spans="2:7" ht="14.45">
      <c r="B19" s="5" t="s">
        <v>21</v>
      </c>
      <c r="C19" s="5" t="s">
        <v>37</v>
      </c>
      <c r="D19" s="5" t="s">
        <v>43</v>
      </c>
      <c r="E19" s="5" t="s">
        <v>72</v>
      </c>
      <c r="G19" s="5" t="s">
        <v>40</v>
      </c>
    </row>
    <row r="20" spans="2:7" ht="14.45">
      <c r="B20" s="5" t="s">
        <v>73</v>
      </c>
      <c r="C20" s="5" t="s">
        <v>37</v>
      </c>
      <c r="D20" s="5" t="s">
        <v>31</v>
      </c>
      <c r="E20" s="5" t="s">
        <v>74</v>
      </c>
      <c r="G20" s="5" t="s">
        <v>27</v>
      </c>
    </row>
    <row r="21" spans="2:7" ht="14.45">
      <c r="B21" s="5" t="s">
        <v>75</v>
      </c>
      <c r="C21" s="5" t="s">
        <v>28</v>
      </c>
      <c r="D21" s="5" t="s">
        <v>76</v>
      </c>
      <c r="E21" s="5" t="s">
        <v>77</v>
      </c>
      <c r="G21" s="5" t="s">
        <v>28</v>
      </c>
    </row>
    <row r="22" spans="2:7" ht="14.45">
      <c r="B22" s="5" t="s">
        <v>78</v>
      </c>
      <c r="C22" s="5" t="s">
        <v>42</v>
      </c>
      <c r="D22" s="5" t="s">
        <v>79</v>
      </c>
      <c r="E22" s="5" t="s">
        <v>80</v>
      </c>
      <c r="G22" s="5" t="s">
        <v>81</v>
      </c>
    </row>
    <row r="23" spans="2:7" ht="14.45">
      <c r="B23" s="5" t="s">
        <v>82</v>
      </c>
      <c r="C23" s="5" t="s">
        <v>42</v>
      </c>
      <c r="D23" s="5" t="s">
        <v>81</v>
      </c>
      <c r="E23" s="5" t="s">
        <v>83</v>
      </c>
      <c r="G23" s="5" t="s">
        <v>84</v>
      </c>
    </row>
    <row r="24" spans="2:7" ht="14.45">
      <c r="B24" s="5" t="s">
        <v>85</v>
      </c>
      <c r="C24" s="5" t="s">
        <v>33</v>
      </c>
      <c r="D24" s="5" t="s">
        <v>81</v>
      </c>
      <c r="E24" s="5" t="s">
        <v>86</v>
      </c>
      <c r="G24" s="5" t="s">
        <v>40</v>
      </c>
    </row>
    <row r="25" spans="2:7" ht="14.45">
      <c r="B25" s="5" t="s">
        <v>46</v>
      </c>
      <c r="C25" s="5" t="s">
        <v>63</v>
      </c>
      <c r="D25" s="5" t="s">
        <v>87</v>
      </c>
      <c r="E25" s="5" t="s">
        <v>88</v>
      </c>
      <c r="G25" s="5" t="s">
        <v>89</v>
      </c>
    </row>
    <row r="26" spans="2:7" ht="14.45">
      <c r="B26" s="5" t="s">
        <v>53</v>
      </c>
      <c r="C26" s="5"/>
      <c r="D26" s="5" t="s">
        <v>38</v>
      </c>
      <c r="E26" s="5" t="s">
        <v>35</v>
      </c>
      <c r="G26" s="5" t="s">
        <v>42</v>
      </c>
    </row>
    <row r="27" spans="2:7" ht="14.45">
      <c r="B27" s="5" t="s">
        <v>90</v>
      </c>
      <c r="C27" s="5" t="s">
        <v>28</v>
      </c>
      <c r="D27" s="5" t="s">
        <v>38</v>
      </c>
      <c r="E27" s="5" t="s">
        <v>91</v>
      </c>
      <c r="G27" s="5" t="s">
        <v>29</v>
      </c>
    </row>
    <row r="28" spans="2:7" ht="14.45">
      <c r="B28" s="5" t="s">
        <v>73</v>
      </c>
      <c r="C28" s="5" t="s">
        <v>28</v>
      </c>
      <c r="D28" s="5" t="s">
        <v>43</v>
      </c>
      <c r="E28" s="5" t="s">
        <v>92</v>
      </c>
      <c r="G28" s="5" t="s">
        <v>93</v>
      </c>
    </row>
    <row r="29" spans="2:7" ht="14.45">
      <c r="B29" s="5" t="s">
        <v>46</v>
      </c>
      <c r="C29" s="5" t="s">
        <v>23</v>
      </c>
      <c r="D29" s="5" t="s">
        <v>38</v>
      </c>
      <c r="E29" s="5" t="s">
        <v>94</v>
      </c>
      <c r="G29" s="5" t="s">
        <v>40</v>
      </c>
    </row>
    <row r="30" spans="2:7" ht="14.45">
      <c r="B30" s="5" t="s">
        <v>95</v>
      </c>
      <c r="C30" s="5" t="s">
        <v>59</v>
      </c>
      <c r="D30" s="5" t="s">
        <v>38</v>
      </c>
      <c r="E30" s="5" t="s">
        <v>96</v>
      </c>
      <c r="G30" s="5" t="s">
        <v>97</v>
      </c>
    </row>
    <row r="31" spans="2:7" ht="14.45">
      <c r="B31" s="5" t="s">
        <v>98</v>
      </c>
      <c r="C31" s="5" t="s">
        <v>37</v>
      </c>
      <c r="D31" s="5" t="s">
        <v>29</v>
      </c>
      <c r="E31" s="5" t="s">
        <v>99</v>
      </c>
      <c r="G31" s="5" t="s">
        <v>37</v>
      </c>
    </row>
    <row r="32" spans="2:7" ht="14.45">
      <c r="B32" s="5" t="s">
        <v>100</v>
      </c>
      <c r="C32" s="5" t="s">
        <v>37</v>
      </c>
      <c r="D32" s="5" t="s">
        <v>24</v>
      </c>
      <c r="E32" s="5" t="s">
        <v>101</v>
      </c>
      <c r="G32" s="5" t="s">
        <v>24</v>
      </c>
    </row>
    <row r="33" spans="2:7" ht="14.45">
      <c r="B33" s="5" t="s">
        <v>95</v>
      </c>
      <c r="C33" s="5" t="s">
        <v>28</v>
      </c>
      <c r="D33" s="5" t="s">
        <v>102</v>
      </c>
      <c r="E33" s="5" t="s">
        <v>103</v>
      </c>
      <c r="G33" s="5" t="s">
        <v>104</v>
      </c>
    </row>
    <row r="34" spans="2:7" ht="14.45">
      <c r="B34" s="5" t="s">
        <v>105</v>
      </c>
      <c r="C34" s="5" t="s">
        <v>42</v>
      </c>
      <c r="D34" s="5" t="s">
        <v>79</v>
      </c>
      <c r="E34" s="5" t="s">
        <v>106</v>
      </c>
      <c r="G34" s="5" t="s">
        <v>40</v>
      </c>
    </row>
    <row r="35" spans="2:7" ht="14.45">
      <c r="B35" s="5" t="s">
        <v>107</v>
      </c>
      <c r="C35" s="5" t="s">
        <v>63</v>
      </c>
      <c r="D35" s="5" t="s">
        <v>81</v>
      </c>
      <c r="E35" s="5" t="s">
        <v>108</v>
      </c>
      <c r="G35" s="5" t="s">
        <v>46</v>
      </c>
    </row>
    <row r="36" spans="2:7" ht="14.45">
      <c r="B36" s="5" t="s">
        <v>73</v>
      </c>
      <c r="C36" s="5" t="s">
        <v>37</v>
      </c>
      <c r="D36" s="5" t="s">
        <v>79</v>
      </c>
      <c r="E36" s="5" t="s">
        <v>109</v>
      </c>
      <c r="G36" s="5" t="s">
        <v>110</v>
      </c>
    </row>
    <row r="37" spans="2:7" ht="14.45">
      <c r="B37" s="5" t="s">
        <v>111</v>
      </c>
      <c r="C37" s="5" t="s">
        <v>42</v>
      </c>
      <c r="D37" s="5" t="s">
        <v>79</v>
      </c>
      <c r="E37" s="5" t="s">
        <v>112</v>
      </c>
      <c r="G37" s="5" t="s">
        <v>79</v>
      </c>
    </row>
    <row r="38" spans="2:7" ht="14.45">
      <c r="B38" s="5" t="s">
        <v>32</v>
      </c>
      <c r="C38" s="5" t="s">
        <v>28</v>
      </c>
      <c r="D38" s="5" t="s">
        <v>24</v>
      </c>
      <c r="E38" s="5" t="s">
        <v>113</v>
      </c>
      <c r="G38" s="5" t="s">
        <v>30</v>
      </c>
    </row>
    <row r="39" spans="2:7" ht="14.45">
      <c r="B39" s="5" t="s">
        <v>62</v>
      </c>
      <c r="C39" s="5" t="s">
        <v>59</v>
      </c>
      <c r="D39" s="5" t="s">
        <v>31</v>
      </c>
      <c r="E39" s="5" t="s">
        <v>114</v>
      </c>
      <c r="G39" s="5" t="s">
        <v>40</v>
      </c>
    </row>
    <row r="40" spans="2:7" ht="14.45">
      <c r="B40" s="5" t="s">
        <v>56</v>
      </c>
      <c r="C40" s="5" t="s">
        <v>110</v>
      </c>
      <c r="D40" s="5" t="s">
        <v>38</v>
      </c>
      <c r="E40" s="5" t="s">
        <v>115</v>
      </c>
      <c r="G40" s="5" t="s">
        <v>116</v>
      </c>
    </row>
    <row r="41" spans="2:7" ht="14.45">
      <c r="B41" s="5" t="s">
        <v>27</v>
      </c>
      <c r="C41" s="5" t="s">
        <v>23</v>
      </c>
      <c r="D41" s="5" t="s">
        <v>48</v>
      </c>
      <c r="E41" s="5" t="s">
        <v>117</v>
      </c>
      <c r="G41" s="5" t="s">
        <v>47</v>
      </c>
    </row>
    <row r="42" spans="2:7" ht="14.45">
      <c r="B42" s="5" t="s">
        <v>36</v>
      </c>
      <c r="C42" s="5" t="s">
        <v>33</v>
      </c>
      <c r="D42" s="5" t="s">
        <v>79</v>
      </c>
      <c r="E42" s="5" t="s">
        <v>118</v>
      </c>
      <c r="G42" s="5" t="s">
        <v>31</v>
      </c>
    </row>
    <row r="43" spans="2:7" ht="14.45">
      <c r="B43" s="5" t="s">
        <v>119</v>
      </c>
      <c r="C43" s="5" t="s">
        <v>47</v>
      </c>
      <c r="D43" s="5" t="s">
        <v>81</v>
      </c>
      <c r="E43" s="5" t="s">
        <v>120</v>
      </c>
      <c r="G43" s="5" t="s">
        <v>84</v>
      </c>
    </row>
    <row r="44" spans="2:7" ht="14.45">
      <c r="B44" s="5" t="s">
        <v>21</v>
      </c>
      <c r="C44" s="5" t="s">
        <v>37</v>
      </c>
      <c r="D44" s="5" t="s">
        <v>38</v>
      </c>
      <c r="E44" s="5" t="s">
        <v>121</v>
      </c>
      <c r="G44" s="5" t="s">
        <v>40</v>
      </c>
    </row>
    <row r="45" spans="2:7" ht="14.45">
      <c r="B45" s="5" t="s">
        <v>95</v>
      </c>
      <c r="C45" s="5" t="s">
        <v>37</v>
      </c>
      <c r="D45" s="5" t="s">
        <v>43</v>
      </c>
      <c r="E45" s="5" t="s">
        <v>122</v>
      </c>
      <c r="G45" s="5" t="s">
        <v>75</v>
      </c>
    </row>
    <row r="46" spans="2:7" ht="14.45">
      <c r="B46" s="5" t="s">
        <v>78</v>
      </c>
      <c r="C46" s="5" t="s">
        <v>47</v>
      </c>
      <c r="D46" s="5" t="s">
        <v>38</v>
      </c>
      <c r="E46" s="5" t="s">
        <v>65</v>
      </c>
      <c r="G46" s="5" t="s">
        <v>50</v>
      </c>
    </row>
    <row r="47" spans="2:7" ht="14.45">
      <c r="B47" s="5" t="s">
        <v>123</v>
      </c>
      <c r="C47" s="5" t="s">
        <v>47</v>
      </c>
      <c r="D47" s="5" t="s">
        <v>79</v>
      </c>
      <c r="E47" s="5" t="s">
        <v>124</v>
      </c>
      <c r="G47" s="5" t="s">
        <v>81</v>
      </c>
    </row>
    <row r="48" spans="2:7" ht="14.45">
      <c r="B48" s="5" t="s">
        <v>125</v>
      </c>
      <c r="C48" s="5" t="s">
        <v>23</v>
      </c>
      <c r="D48" s="5" t="s">
        <v>24</v>
      </c>
      <c r="E48" s="5" t="s">
        <v>126</v>
      </c>
      <c r="G48" s="5" t="s">
        <v>127</v>
      </c>
    </row>
    <row r="49" spans="2:7" ht="14.45">
      <c r="B49" s="5" t="s">
        <v>128</v>
      </c>
      <c r="C49" s="5" t="s">
        <v>23</v>
      </c>
      <c r="D49" s="5" t="s">
        <v>31</v>
      </c>
      <c r="E49" s="5" t="s">
        <v>129</v>
      </c>
      <c r="G49" s="5" t="s">
        <v>40</v>
      </c>
    </row>
    <row r="50" spans="2:7" ht="14.45">
      <c r="B50" s="5" t="s">
        <v>21</v>
      </c>
      <c r="C50" s="5" t="s">
        <v>59</v>
      </c>
      <c r="D50" s="5" t="s">
        <v>31</v>
      </c>
      <c r="E50" s="5" t="s">
        <v>130</v>
      </c>
      <c r="G50" s="5" t="s">
        <v>131</v>
      </c>
    </row>
    <row r="51" spans="2:7" ht="14.45">
      <c r="B51" s="5" t="s">
        <v>21</v>
      </c>
      <c r="C51" s="5" t="s">
        <v>47</v>
      </c>
      <c r="D51" s="5" t="s">
        <v>79</v>
      </c>
      <c r="E51" s="5" t="s">
        <v>65</v>
      </c>
      <c r="G51" s="5" t="s">
        <v>50</v>
      </c>
    </row>
    <row r="52" spans="2:7" ht="14.45">
      <c r="B52" s="5" t="s">
        <v>58</v>
      </c>
      <c r="C52" s="5" t="s">
        <v>42</v>
      </c>
      <c r="D52" s="5" t="s">
        <v>79</v>
      </c>
      <c r="E52" s="5" t="s">
        <v>132</v>
      </c>
      <c r="G52" s="5"/>
    </row>
    <row r="53" spans="2:7" ht="14.45">
      <c r="B53" s="5" t="s">
        <v>78</v>
      </c>
      <c r="C53" s="5" t="s">
        <v>37</v>
      </c>
      <c r="D53" s="5" t="s">
        <v>43</v>
      </c>
      <c r="E53" s="5" t="s">
        <v>133</v>
      </c>
      <c r="G53" s="5" t="s">
        <v>134</v>
      </c>
    </row>
    <row r="54" spans="2:7" ht="14.45">
      <c r="B54" s="5" t="s">
        <v>73</v>
      </c>
      <c r="C54" s="5" t="s">
        <v>50</v>
      </c>
      <c r="D54" s="5" t="s">
        <v>43</v>
      </c>
      <c r="E54" s="5" t="s">
        <v>114</v>
      </c>
      <c r="G54" s="5" t="s">
        <v>40</v>
      </c>
    </row>
    <row r="55" spans="2:7" ht="14.45">
      <c r="B55" s="5" t="s">
        <v>62</v>
      </c>
      <c r="C55" s="5" t="s">
        <v>59</v>
      </c>
      <c r="D55" s="5" t="s">
        <v>31</v>
      </c>
      <c r="E55" s="5" t="s">
        <v>135</v>
      </c>
      <c r="G55" s="5" t="s">
        <v>58</v>
      </c>
    </row>
    <row r="56" spans="2:7" ht="14.45">
      <c r="B56" s="5" t="s">
        <v>136</v>
      </c>
      <c r="C56" s="5" t="s">
        <v>28</v>
      </c>
      <c r="D56" s="5"/>
      <c r="E56" s="5" t="s">
        <v>137</v>
      </c>
      <c r="G56" s="5" t="s">
        <v>23</v>
      </c>
    </row>
    <row r="57" spans="2:7" ht="14.45">
      <c r="B57" s="5" t="s">
        <v>95</v>
      </c>
      <c r="C57" s="5" t="s">
        <v>42</v>
      </c>
      <c r="D57" s="5" t="s">
        <v>38</v>
      </c>
      <c r="E57" s="5" t="s">
        <v>138</v>
      </c>
      <c r="G57" s="5" t="s">
        <v>79</v>
      </c>
    </row>
    <row r="58" spans="2:7" ht="14.45">
      <c r="B58" s="5" t="s">
        <v>139</v>
      </c>
      <c r="C58" s="5" t="s">
        <v>33</v>
      </c>
      <c r="D58" s="5" t="s">
        <v>24</v>
      </c>
      <c r="E58" s="5" t="s">
        <v>140</v>
      </c>
      <c r="G58" s="5" t="s">
        <v>141</v>
      </c>
    </row>
    <row r="59" spans="2:7" ht="14.45">
      <c r="B59" s="5" t="s">
        <v>142</v>
      </c>
      <c r="C59" s="5" t="s">
        <v>37</v>
      </c>
      <c r="D59" s="5" t="s">
        <v>24</v>
      </c>
      <c r="E59" s="5" t="s">
        <v>143</v>
      </c>
      <c r="G59" s="5" t="s">
        <v>40</v>
      </c>
    </row>
    <row r="60" spans="2:7" ht="14.45">
      <c r="B60" s="5" t="s">
        <v>139</v>
      </c>
      <c r="C60" s="5" t="s">
        <v>26</v>
      </c>
      <c r="D60" s="5" t="s">
        <v>31</v>
      </c>
      <c r="E60" s="5" t="s">
        <v>144</v>
      </c>
      <c r="G60" s="5" t="s">
        <v>145</v>
      </c>
    </row>
    <row r="61" spans="2:7" ht="14.45">
      <c r="B61" s="5" t="s">
        <v>98</v>
      </c>
      <c r="C61" s="5" t="s">
        <v>47</v>
      </c>
      <c r="D61" s="5" t="s">
        <v>31</v>
      </c>
      <c r="E61" s="5" t="s">
        <v>146</v>
      </c>
      <c r="G61" s="5" t="s">
        <v>42</v>
      </c>
    </row>
    <row r="62" spans="2:7" ht="14.45">
      <c r="B62" s="5" t="s">
        <v>32</v>
      </c>
      <c r="C62" s="5" t="s">
        <v>42</v>
      </c>
      <c r="D62" s="5" t="s">
        <v>102</v>
      </c>
      <c r="E62" s="5" t="s">
        <v>147</v>
      </c>
      <c r="G62" s="5" t="s">
        <v>79</v>
      </c>
    </row>
    <row r="63" spans="2:7" ht="14.45">
      <c r="B63" s="5" t="s">
        <v>148</v>
      </c>
      <c r="C63" s="5" t="s">
        <v>42</v>
      </c>
      <c r="D63" s="5" t="s">
        <v>24</v>
      </c>
      <c r="E63" s="5" t="s">
        <v>149</v>
      </c>
      <c r="G63" s="5" t="s">
        <v>150</v>
      </c>
    </row>
    <row r="64" spans="2:7" ht="14.45">
      <c r="B64" s="5" t="s">
        <v>100</v>
      </c>
      <c r="C64" s="5"/>
      <c r="D64" s="5" t="s">
        <v>151</v>
      </c>
      <c r="E64" s="5" t="s">
        <v>152</v>
      </c>
      <c r="G64" s="5" t="s">
        <v>40</v>
      </c>
    </row>
    <row r="65" spans="2:7" ht="14.45">
      <c r="B65" s="5" t="s">
        <v>139</v>
      </c>
      <c r="C65" s="5" t="s">
        <v>47</v>
      </c>
      <c r="D65" s="5" t="s">
        <v>48</v>
      </c>
      <c r="E65" s="5" t="s">
        <v>153</v>
      </c>
      <c r="G65" s="5" t="s">
        <v>32</v>
      </c>
    </row>
    <row r="66" spans="2:7" ht="14.45">
      <c r="B66" s="5" t="s">
        <v>116</v>
      </c>
      <c r="C66" s="5" t="s">
        <v>50</v>
      </c>
      <c r="D66" s="5" t="s">
        <v>87</v>
      </c>
      <c r="E66" s="5" t="s">
        <v>154</v>
      </c>
      <c r="G66" s="5" t="s">
        <v>33</v>
      </c>
    </row>
    <row r="67" spans="2:7" ht="14.45">
      <c r="B67" s="5" t="s">
        <v>62</v>
      </c>
      <c r="C67" s="5" t="s">
        <v>110</v>
      </c>
      <c r="D67" s="5" t="s">
        <v>155</v>
      </c>
      <c r="E67" s="5" t="s">
        <v>156</v>
      </c>
      <c r="G67" s="5"/>
    </row>
    <row r="68" spans="2:7" ht="14.45">
      <c r="B68" s="5" t="s">
        <v>107</v>
      </c>
      <c r="C68" s="5" t="s">
        <v>33</v>
      </c>
      <c r="D68" s="5" t="s">
        <v>31</v>
      </c>
      <c r="E68" s="5" t="s">
        <v>157</v>
      </c>
      <c r="G68" s="5" t="s">
        <v>158</v>
      </c>
    </row>
    <row r="69" spans="2:7" ht="14.45">
      <c r="B69" s="5" t="s">
        <v>159</v>
      </c>
      <c r="C69" s="5" t="s">
        <v>23</v>
      </c>
      <c r="D69" s="5" t="s">
        <v>31</v>
      </c>
      <c r="E69" s="5" t="s">
        <v>160</v>
      </c>
      <c r="G69" s="5" t="s">
        <v>40</v>
      </c>
    </row>
    <row r="70" spans="2:7" ht="14.45">
      <c r="B70" s="5" t="s">
        <v>161</v>
      </c>
      <c r="C70" s="5" t="s">
        <v>42</v>
      </c>
      <c r="D70" s="5" t="s">
        <v>31</v>
      </c>
      <c r="E70" s="5" t="s">
        <v>162</v>
      </c>
      <c r="G70" s="5" t="s">
        <v>75</v>
      </c>
    </row>
    <row r="71" spans="2:7" ht="14.45">
      <c r="B71" s="5" t="s">
        <v>148</v>
      </c>
      <c r="C71" s="5" t="s">
        <v>59</v>
      </c>
      <c r="D71" s="5" t="s">
        <v>38</v>
      </c>
      <c r="E71" s="5" t="s">
        <v>163</v>
      </c>
      <c r="G71" s="5" t="s">
        <v>110</v>
      </c>
    </row>
    <row r="72" spans="2:7" ht="14.45">
      <c r="B72" s="5" t="s">
        <v>107</v>
      </c>
      <c r="C72" s="5" t="s">
        <v>37</v>
      </c>
      <c r="D72" s="5" t="s">
        <v>79</v>
      </c>
      <c r="E72" s="5" t="s">
        <v>164</v>
      </c>
      <c r="G72" s="5" t="s">
        <v>24</v>
      </c>
    </row>
    <row r="73" spans="2:7" ht="14.45">
      <c r="B73" s="5" t="s">
        <v>165</v>
      </c>
      <c r="C73" s="5" t="s">
        <v>26</v>
      </c>
      <c r="D73" s="5" t="s">
        <v>24</v>
      </c>
      <c r="E73" s="5" t="s">
        <v>166</v>
      </c>
      <c r="G73" s="5" t="s">
        <v>167</v>
      </c>
    </row>
    <row r="74" spans="2:7" ht="14.45">
      <c r="B74" s="5" t="s">
        <v>85</v>
      </c>
      <c r="C74" s="5" t="s">
        <v>42</v>
      </c>
      <c r="D74" s="5" t="s">
        <v>155</v>
      </c>
      <c r="E74" s="5" t="s">
        <v>168</v>
      </c>
      <c r="G74" s="5" t="s">
        <v>40</v>
      </c>
    </row>
    <row r="75" spans="2:7" ht="14.45">
      <c r="B75" s="5" t="s">
        <v>58</v>
      </c>
      <c r="C75" s="5" t="s">
        <v>47</v>
      </c>
      <c r="D75" s="5" t="s">
        <v>24</v>
      </c>
      <c r="E75" s="5" t="s">
        <v>169</v>
      </c>
      <c r="G75" s="5" t="s">
        <v>51</v>
      </c>
    </row>
    <row r="76" spans="2:7" ht="14.45">
      <c r="B76" s="5" t="s">
        <v>27</v>
      </c>
      <c r="C76" s="5" t="s">
        <v>33</v>
      </c>
      <c r="D76" s="5" t="s">
        <v>24</v>
      </c>
      <c r="E76" s="5" t="s">
        <v>170</v>
      </c>
      <c r="G76" s="5" t="s">
        <v>23</v>
      </c>
    </row>
    <row r="77" spans="2:7" ht="14.45">
      <c r="B77" s="5" t="s">
        <v>171</v>
      </c>
      <c r="C77" s="5" t="s">
        <v>110</v>
      </c>
      <c r="D77" s="5" t="s">
        <v>43</v>
      </c>
      <c r="E77" s="5" t="s">
        <v>172</v>
      </c>
      <c r="G77" s="5" t="s">
        <v>38</v>
      </c>
    </row>
    <row r="78" spans="2:7" ht="14.45">
      <c r="B78" s="5" t="s">
        <v>161</v>
      </c>
      <c r="C78" s="5" t="s">
        <v>50</v>
      </c>
      <c r="D78" s="5" t="s">
        <v>76</v>
      </c>
      <c r="E78" s="5" t="s">
        <v>173</v>
      </c>
      <c r="G78" s="5" t="s">
        <v>174</v>
      </c>
    </row>
    <row r="79" spans="2:7" ht="14.45">
      <c r="B79" s="5" t="s">
        <v>116</v>
      </c>
      <c r="C79" s="5" t="s">
        <v>47</v>
      </c>
      <c r="D79" s="5" t="s">
        <v>79</v>
      </c>
      <c r="E79" s="5"/>
      <c r="G79" s="5" t="s">
        <v>40</v>
      </c>
    </row>
    <row r="80" spans="2:7" ht="14.45">
      <c r="B80" s="5" t="s">
        <v>53</v>
      </c>
      <c r="C80" s="5" t="s">
        <v>23</v>
      </c>
      <c r="D80" s="5" t="s">
        <v>64</v>
      </c>
      <c r="E80" s="5" t="s">
        <v>175</v>
      </c>
      <c r="G80" s="5" t="s">
        <v>78</v>
      </c>
    </row>
    <row r="81" spans="2:7" ht="14.45">
      <c r="B81" s="5" t="s">
        <v>98</v>
      </c>
      <c r="C81" s="5" t="s">
        <v>23</v>
      </c>
      <c r="D81" s="5" t="s">
        <v>76</v>
      </c>
      <c r="E81" s="5" t="s">
        <v>176</v>
      </c>
      <c r="G81" s="5"/>
    </row>
    <row r="82" spans="2:7" ht="14.45">
      <c r="B82" s="5" t="s">
        <v>148</v>
      </c>
      <c r="C82" s="5" t="s">
        <v>63</v>
      </c>
      <c r="D82" s="5" t="s">
        <v>24</v>
      </c>
      <c r="E82" s="5" t="s">
        <v>35</v>
      </c>
      <c r="G82" s="5" t="s">
        <v>81</v>
      </c>
    </row>
    <row r="83" spans="2:7" ht="14.45">
      <c r="B83" s="5" t="s">
        <v>105</v>
      </c>
      <c r="C83" s="5" t="s">
        <v>47</v>
      </c>
      <c r="D83" s="5" t="s">
        <v>66</v>
      </c>
      <c r="E83" s="5" t="s">
        <v>177</v>
      </c>
      <c r="G83" s="5" t="s">
        <v>178</v>
      </c>
    </row>
    <row r="84" spans="2:7" ht="14.45">
      <c r="B84" s="5" t="s">
        <v>21</v>
      </c>
      <c r="C84" s="5" t="s">
        <v>42</v>
      </c>
      <c r="D84" s="5" t="s">
        <v>79</v>
      </c>
      <c r="E84" s="5" t="s">
        <v>179</v>
      </c>
      <c r="G84" s="5" t="s">
        <v>40</v>
      </c>
    </row>
    <row r="85" spans="2:7" ht="14.45">
      <c r="B85" s="5" t="s">
        <v>90</v>
      </c>
      <c r="C85" s="5" t="s">
        <v>47</v>
      </c>
      <c r="D85" s="5" t="s">
        <v>38</v>
      </c>
      <c r="E85" s="5" t="s">
        <v>180</v>
      </c>
      <c r="G85" s="5" t="s">
        <v>32</v>
      </c>
    </row>
    <row r="86" spans="2:7" ht="14.45">
      <c r="B86" s="5" t="s">
        <v>21</v>
      </c>
      <c r="C86" s="5" t="s">
        <v>26</v>
      </c>
      <c r="D86" s="5" t="s">
        <v>31</v>
      </c>
      <c r="E86" s="5" t="s">
        <v>35</v>
      </c>
      <c r="G86" s="5" t="s">
        <v>23</v>
      </c>
    </row>
    <row r="87" spans="2:7" ht="14.45">
      <c r="B87" s="5" t="s">
        <v>45</v>
      </c>
      <c r="C87" s="5" t="s">
        <v>50</v>
      </c>
      <c r="D87" s="5" t="s">
        <v>43</v>
      </c>
      <c r="E87" s="5" t="s">
        <v>55</v>
      </c>
      <c r="G87" s="5" t="s">
        <v>181</v>
      </c>
    </row>
    <row r="88" spans="2:7" ht="14.45">
      <c r="B88" s="5" t="s">
        <v>61</v>
      </c>
      <c r="C88" s="5" t="s">
        <v>63</v>
      </c>
      <c r="D88" s="5" t="s">
        <v>68</v>
      </c>
      <c r="E88" s="5" t="s">
        <v>71</v>
      </c>
      <c r="G88" s="5" t="s">
        <v>182</v>
      </c>
    </row>
    <row r="89" spans="2:7" ht="14.45">
      <c r="B89" s="5" t="s">
        <v>27</v>
      </c>
      <c r="C89" s="5" t="s">
        <v>28</v>
      </c>
      <c r="D89" s="5" t="s">
        <v>81</v>
      </c>
      <c r="E89" s="5" t="s">
        <v>84</v>
      </c>
      <c r="G89" s="5" t="s">
        <v>40</v>
      </c>
    </row>
    <row r="90" spans="2:7" ht="14.45">
      <c r="B90" s="5" t="s">
        <v>89</v>
      </c>
      <c r="C90" s="5" t="s">
        <v>42</v>
      </c>
      <c r="D90" s="5" t="s">
        <v>29</v>
      </c>
      <c r="E90" s="5" t="s">
        <v>93</v>
      </c>
      <c r="G90" s="5" t="s">
        <v>58</v>
      </c>
    </row>
    <row r="91" spans="2:7" ht="14.45">
      <c r="B91" s="5" t="s">
        <v>97</v>
      </c>
      <c r="C91" s="5"/>
      <c r="D91" s="5" t="s">
        <v>24</v>
      </c>
      <c r="E91" s="5" t="s">
        <v>104</v>
      </c>
      <c r="G91" s="5" t="s">
        <v>28</v>
      </c>
    </row>
    <row r="92" spans="2:7" ht="14.45">
      <c r="B92" s="5" t="s">
        <v>46</v>
      </c>
      <c r="C92" s="5" t="s">
        <v>110</v>
      </c>
      <c r="D92" s="5" t="s">
        <v>79</v>
      </c>
      <c r="E92" s="5" t="s">
        <v>30</v>
      </c>
      <c r="G92" s="5" t="s">
        <v>155</v>
      </c>
    </row>
    <row r="93" spans="2:7" ht="14.45">
      <c r="B93" s="5" t="s">
        <v>116</v>
      </c>
      <c r="C93" s="5" t="s">
        <v>183</v>
      </c>
      <c r="D93" s="7">
        <v>230</v>
      </c>
      <c r="E93" s="5" t="s">
        <v>184</v>
      </c>
      <c r="G93" s="5" t="s">
        <v>185</v>
      </c>
    </row>
    <row r="94" spans="2:7" ht="14.45">
      <c r="B94" s="5" t="s">
        <v>75</v>
      </c>
      <c r="C94" s="5" t="s">
        <v>186</v>
      </c>
      <c r="D94" s="7">
        <v>170</v>
      </c>
      <c r="E94" s="5" t="s">
        <v>187</v>
      </c>
      <c r="G94" s="5" t="s">
        <v>40</v>
      </c>
    </row>
    <row r="95" spans="2:7" ht="14.45">
      <c r="B95" s="5" t="s">
        <v>131</v>
      </c>
      <c r="C95" s="5" t="s">
        <v>186</v>
      </c>
      <c r="D95" s="7">
        <v>420</v>
      </c>
      <c r="E95" s="5" t="s">
        <v>188</v>
      </c>
      <c r="G95" s="5" t="s">
        <v>139</v>
      </c>
    </row>
    <row r="96" spans="2:7" ht="14.45">
      <c r="G96" s="5" t="s">
        <v>50</v>
      </c>
    </row>
    <row r="97" spans="7:7" ht="14.45">
      <c r="G97" s="5" t="s">
        <v>66</v>
      </c>
    </row>
    <row r="98" spans="7:7" ht="14.45">
      <c r="G98" s="5" t="s">
        <v>182</v>
      </c>
    </row>
    <row r="99" spans="7:7" ht="14.45">
      <c r="G99" s="5" t="s">
        <v>40</v>
      </c>
    </row>
    <row r="100" spans="7:7" ht="14.45">
      <c r="G100" s="5" t="s">
        <v>119</v>
      </c>
    </row>
    <row r="101" spans="7:7" ht="14.45">
      <c r="G101" s="5" t="s">
        <v>47</v>
      </c>
    </row>
    <row r="102" spans="7:7" ht="14.45">
      <c r="G102" s="5" t="s">
        <v>38</v>
      </c>
    </row>
    <row r="103" spans="7:7" ht="14.45">
      <c r="G103" s="5" t="s">
        <v>189</v>
      </c>
    </row>
    <row r="104" spans="7:7" ht="14.45">
      <c r="G104" s="5" t="s">
        <v>40</v>
      </c>
    </row>
    <row r="105" spans="7:7" ht="14.45">
      <c r="G105" s="5" t="s">
        <v>27</v>
      </c>
    </row>
    <row r="106" spans="7:7" ht="14.45">
      <c r="G106" s="5" t="s">
        <v>110</v>
      </c>
    </row>
    <row r="107" spans="7:7" ht="14.45">
      <c r="G107" s="5" t="s">
        <v>66</v>
      </c>
    </row>
    <row r="108" spans="7:7" ht="14.45">
      <c r="G108" s="5" t="s">
        <v>30</v>
      </c>
    </row>
    <row r="109" spans="7:7" ht="14.45">
      <c r="G109" s="5" t="s">
        <v>40</v>
      </c>
    </row>
    <row r="110" spans="7:7" ht="14.45">
      <c r="G110" s="5" t="s">
        <v>148</v>
      </c>
    </row>
    <row r="111" spans="7:7" ht="14.45">
      <c r="G111" s="5" t="s">
        <v>50</v>
      </c>
    </row>
    <row r="112" spans="7:7" ht="14.45">
      <c r="G112" s="5" t="s">
        <v>81</v>
      </c>
    </row>
    <row r="113" spans="7:7" ht="14.45">
      <c r="G113" s="5" t="s">
        <v>190</v>
      </c>
    </row>
    <row r="114" spans="7:7" ht="14.45">
      <c r="G114" s="5" t="s">
        <v>40</v>
      </c>
    </row>
    <row r="115" spans="7:7" ht="14.45">
      <c r="G115" s="5" t="s">
        <v>131</v>
      </c>
    </row>
    <row r="116" spans="7:7" ht="14.45">
      <c r="G116" s="5" t="s">
        <v>33</v>
      </c>
    </row>
    <row r="117" spans="7:7" ht="14.45">
      <c r="G117" s="5" t="s">
        <v>181</v>
      </c>
    </row>
    <row r="118" spans="7:7" ht="14.45">
      <c r="G118" s="5" t="s">
        <v>191</v>
      </c>
    </row>
    <row r="119" spans="7:7" ht="14.45">
      <c r="G119" s="5" t="s">
        <v>40</v>
      </c>
    </row>
    <row r="120" spans="7:7" ht="14.45">
      <c r="G120" s="5" t="s">
        <v>100</v>
      </c>
    </row>
    <row r="121" spans="7:7" ht="14.45">
      <c r="G121" s="5" t="s">
        <v>63</v>
      </c>
    </row>
    <row r="122" spans="7:7" ht="14.45">
      <c r="G122" s="5" t="s">
        <v>79</v>
      </c>
    </row>
    <row r="123" spans="7:7" ht="14.45">
      <c r="G123" s="5" t="s">
        <v>192</v>
      </c>
    </row>
    <row r="124" spans="7:7" ht="14.45">
      <c r="G124" s="5" t="s">
        <v>40</v>
      </c>
    </row>
    <row r="125" spans="7:7" ht="14.45">
      <c r="G125" s="5" t="s">
        <v>85</v>
      </c>
    </row>
    <row r="126" spans="7:7" ht="14.45">
      <c r="G126" s="5" t="s">
        <v>23</v>
      </c>
    </row>
    <row r="127" spans="7:7" ht="14.45">
      <c r="G127" s="5" t="s">
        <v>43</v>
      </c>
    </row>
    <row r="128" spans="7:7" ht="14.45">
      <c r="G128" s="5" t="s">
        <v>193</v>
      </c>
    </row>
    <row r="129" spans="7:7" ht="14.45">
      <c r="G129" s="5" t="s">
        <v>40</v>
      </c>
    </row>
    <row r="130" spans="7:7" ht="14.45">
      <c r="G130" s="5" t="s">
        <v>148</v>
      </c>
    </row>
    <row r="131" spans="7:7" ht="14.45">
      <c r="G131" s="5" t="s">
        <v>59</v>
      </c>
    </row>
    <row r="132" spans="7:7" ht="14.45">
      <c r="G132" s="5" t="s">
        <v>64</v>
      </c>
    </row>
    <row r="133" spans="7:7" ht="14.45">
      <c r="G133" s="5" t="s">
        <v>194</v>
      </c>
    </row>
    <row r="134" spans="7:7" ht="14.45">
      <c r="G134" s="5" t="s">
        <v>40</v>
      </c>
    </row>
    <row r="135" spans="7:7" ht="14.45">
      <c r="G135" s="5" t="s">
        <v>95</v>
      </c>
    </row>
    <row r="136" spans="7:7" ht="14.45">
      <c r="G136" s="5" t="s">
        <v>23</v>
      </c>
    </row>
    <row r="137" spans="7:7" ht="14.45">
      <c r="G137" s="5" t="s">
        <v>66</v>
      </c>
    </row>
    <row r="138" spans="7:7" ht="14.45">
      <c r="G138" s="5" t="s">
        <v>84</v>
      </c>
    </row>
    <row r="139" spans="7:7" ht="14.45">
      <c r="G139" s="5" t="s">
        <v>40</v>
      </c>
    </row>
    <row r="140" spans="7:7" ht="14.45">
      <c r="G140" s="5" t="s">
        <v>161</v>
      </c>
    </row>
    <row r="141" spans="7:7" ht="14.45">
      <c r="G141" s="5" t="s">
        <v>50</v>
      </c>
    </row>
    <row r="142" spans="7:7" ht="14.45">
      <c r="G142" s="5" t="s">
        <v>68</v>
      </c>
    </row>
    <row r="143" spans="7:7" ht="14.45">
      <c r="G143" s="5" t="s">
        <v>195</v>
      </c>
    </row>
    <row r="144" spans="7:7" ht="14.45">
      <c r="G144" s="5" t="s">
        <v>40</v>
      </c>
    </row>
    <row r="145" spans="7:7" ht="14.45">
      <c r="G145" s="5" t="s">
        <v>136</v>
      </c>
    </row>
    <row r="146" spans="7:7" ht="14.45">
      <c r="G146" s="5" t="s">
        <v>23</v>
      </c>
    </row>
    <row r="147" spans="7:7" ht="14.45">
      <c r="G147" s="5" t="s">
        <v>43</v>
      </c>
    </row>
    <row r="148" spans="7:7" ht="14.45">
      <c r="G148" s="5" t="s">
        <v>196</v>
      </c>
    </row>
    <row r="149" spans="7:7" ht="14.45">
      <c r="G149" s="5" t="s">
        <v>40</v>
      </c>
    </row>
    <row r="150" spans="7:7" ht="14.45">
      <c r="G150" s="5" t="s">
        <v>73</v>
      </c>
    </row>
    <row r="151" spans="7:7" ht="14.45">
      <c r="G151" s="5" t="s">
        <v>33</v>
      </c>
    </row>
    <row r="152" spans="7:7" ht="14.45">
      <c r="G152" s="5" t="s">
        <v>81</v>
      </c>
    </row>
    <row r="153" spans="7:7" ht="14.45">
      <c r="G153" s="5" t="s">
        <v>197</v>
      </c>
    </row>
    <row r="154" spans="7:7" ht="14.45">
      <c r="G154" s="5" t="s">
        <v>40</v>
      </c>
    </row>
    <row r="155" spans="7:7" ht="14.45">
      <c r="G155" s="5" t="s">
        <v>58</v>
      </c>
    </row>
    <row r="156" spans="7:7" ht="14.45">
      <c r="G156" s="5" t="s">
        <v>42</v>
      </c>
    </row>
    <row r="157" spans="7:7" ht="14.45">
      <c r="G157" s="5" t="s">
        <v>38</v>
      </c>
    </row>
    <row r="158" spans="7:7" ht="14.45">
      <c r="G158" s="5" t="s">
        <v>84</v>
      </c>
    </row>
    <row r="159" spans="7:7" ht="14.45">
      <c r="G159" s="5" t="s">
        <v>40</v>
      </c>
    </row>
    <row r="160" spans="7:7" ht="14.45">
      <c r="G160" s="5" t="s">
        <v>85</v>
      </c>
    </row>
    <row r="161" spans="7:7" ht="14.45">
      <c r="G161" s="5" t="s">
        <v>59</v>
      </c>
    </row>
    <row r="162" spans="7:7" ht="14.45">
      <c r="G162" s="5" t="s">
        <v>24</v>
      </c>
    </row>
    <row r="163" spans="7:7" ht="14.45">
      <c r="G163" s="5" t="s">
        <v>198</v>
      </c>
    </row>
    <row r="164" spans="7:7" ht="14.45">
      <c r="G164" s="5" t="s">
        <v>40</v>
      </c>
    </row>
    <row r="165" spans="7:7" ht="14.45">
      <c r="G165" s="5" t="s">
        <v>58</v>
      </c>
    </row>
    <row r="166" spans="7:7" ht="14.45">
      <c r="G166" s="5" t="s">
        <v>110</v>
      </c>
    </row>
    <row r="167" spans="7:7" ht="14.45">
      <c r="G167" s="5" t="s">
        <v>38</v>
      </c>
    </row>
    <row r="168" spans="7:7" ht="14.45">
      <c r="G168" s="5" t="s">
        <v>199</v>
      </c>
    </row>
    <row r="169" spans="7:7" ht="14.45">
      <c r="G169" s="5" t="s">
        <v>40</v>
      </c>
    </row>
    <row r="170" spans="7:7" ht="14.45">
      <c r="G170" s="5" t="s">
        <v>73</v>
      </c>
    </row>
    <row r="171" spans="7:7" ht="14.45">
      <c r="G171" s="5" t="s">
        <v>110</v>
      </c>
    </row>
    <row r="172" spans="7:7" ht="14.45">
      <c r="G172" s="5" t="s">
        <v>38</v>
      </c>
    </row>
    <row r="173" spans="7:7" ht="14.45">
      <c r="G173" s="5" t="s">
        <v>200</v>
      </c>
    </row>
    <row r="174" spans="7:7" ht="14.45">
      <c r="G174" s="5" t="s">
        <v>40</v>
      </c>
    </row>
    <row r="175" spans="7:7" ht="14.45">
      <c r="G175" s="5" t="s">
        <v>56</v>
      </c>
    </row>
    <row r="176" spans="7:7" ht="14.45">
      <c r="G176" s="5" t="s">
        <v>23</v>
      </c>
    </row>
    <row r="177" spans="7:7" ht="14.45">
      <c r="G177" s="5" t="s">
        <v>66</v>
      </c>
    </row>
    <row r="178" spans="7:7" ht="14.45">
      <c r="G178" s="5" t="s">
        <v>180</v>
      </c>
    </row>
    <row r="179" spans="7:7" ht="14.45">
      <c r="G179" s="5" t="s">
        <v>40</v>
      </c>
    </row>
    <row r="180" spans="7:7" ht="14.45">
      <c r="G180" s="5" t="s">
        <v>201</v>
      </c>
    </row>
    <row r="181" spans="7:7" ht="14.45">
      <c r="G181" s="5" t="s">
        <v>50</v>
      </c>
    </row>
    <row r="182" spans="7:7" ht="14.45">
      <c r="G182" s="5" t="s">
        <v>155</v>
      </c>
    </row>
    <row r="183" spans="7:7" ht="14.45">
      <c r="G183" s="5" t="s">
        <v>65</v>
      </c>
    </row>
    <row r="184" spans="7:7" ht="14.45">
      <c r="G184" s="5" t="s">
        <v>40</v>
      </c>
    </row>
    <row r="185" spans="7:7" ht="14.45">
      <c r="G185" s="5" t="s">
        <v>125</v>
      </c>
    </row>
    <row r="186" spans="7:7" ht="14.45">
      <c r="G186" s="5" t="s">
        <v>37</v>
      </c>
    </row>
    <row r="187" spans="7:7" ht="14.45">
      <c r="G187" s="5" t="s">
        <v>79</v>
      </c>
    </row>
    <row r="188" spans="7:7" ht="14.45">
      <c r="G188" s="5" t="s">
        <v>202</v>
      </c>
    </row>
    <row r="189" spans="7:7" ht="14.45">
      <c r="G189" s="5" t="s">
        <v>40</v>
      </c>
    </row>
    <row r="190" spans="7:7" ht="14.45">
      <c r="G190" s="5" t="s">
        <v>85</v>
      </c>
    </row>
    <row r="191" spans="7:7" ht="14.45">
      <c r="G191" s="5" t="s">
        <v>23</v>
      </c>
    </row>
    <row r="192" spans="7:7" ht="14.45">
      <c r="G192" s="5" t="s">
        <v>24</v>
      </c>
    </row>
    <row r="193" spans="7:7" ht="14.45">
      <c r="G193" s="5" t="s">
        <v>203</v>
      </c>
    </row>
    <row r="194" spans="7:7" ht="14.45">
      <c r="G194" s="5" t="s">
        <v>40</v>
      </c>
    </row>
    <row r="195" spans="7:7" ht="14.45">
      <c r="G195" s="5" t="s">
        <v>27</v>
      </c>
    </row>
    <row r="196" spans="7:7" ht="14.45">
      <c r="G196" s="5" t="s">
        <v>63</v>
      </c>
    </row>
    <row r="197" spans="7:7" ht="14.45">
      <c r="G197" s="5" t="s">
        <v>43</v>
      </c>
    </row>
    <row r="198" spans="7:7" ht="14.45">
      <c r="G198" s="5" t="s">
        <v>204</v>
      </c>
    </row>
    <row r="199" spans="7:7" ht="14.45">
      <c r="G199" s="5" t="s">
        <v>40</v>
      </c>
    </row>
    <row r="200" spans="7:7" ht="14.45">
      <c r="G200" s="5" t="s">
        <v>136</v>
      </c>
    </row>
    <row r="201" spans="7:7" ht="14.45">
      <c r="G201" s="5" t="s">
        <v>26</v>
      </c>
    </row>
    <row r="202" spans="7:7" ht="14.45">
      <c r="G202" s="5" t="s">
        <v>31</v>
      </c>
    </row>
    <row r="203" spans="7:7" ht="14.45">
      <c r="G203" s="5" t="s">
        <v>200</v>
      </c>
    </row>
    <row r="204" spans="7:7" ht="14.45">
      <c r="G204" s="5" t="s">
        <v>40</v>
      </c>
    </row>
    <row r="205" spans="7:7" ht="14.45">
      <c r="G205" s="5" t="s">
        <v>78</v>
      </c>
    </row>
    <row r="206" spans="7:7" ht="14.45">
      <c r="G206" s="5" t="s">
        <v>26</v>
      </c>
    </row>
    <row r="207" spans="7:7" ht="14.45">
      <c r="G207" s="5" t="s">
        <v>24</v>
      </c>
    </row>
    <row r="208" spans="7:7" ht="14.45">
      <c r="G208" s="5" t="s">
        <v>205</v>
      </c>
    </row>
    <row r="209" spans="7:7" ht="14.45">
      <c r="G209" s="5" t="s">
        <v>40</v>
      </c>
    </row>
    <row r="210" spans="7:7" ht="14.45">
      <c r="G210" s="5" t="s">
        <v>32</v>
      </c>
    </row>
    <row r="211" spans="7:7" ht="14.45">
      <c r="G211" s="5" t="s">
        <v>42</v>
      </c>
    </row>
    <row r="212" spans="7:7" ht="14.45">
      <c r="G212" s="5" t="s">
        <v>79</v>
      </c>
    </row>
    <row r="213" spans="7:7" ht="14.45">
      <c r="G213" s="5" t="s">
        <v>206</v>
      </c>
    </row>
    <row r="214" spans="7:7" ht="14.45">
      <c r="G214" s="5" t="s">
        <v>40</v>
      </c>
    </row>
    <row r="215" spans="7:7" ht="14.45">
      <c r="G215" s="5" t="s">
        <v>136</v>
      </c>
    </row>
    <row r="216" spans="7:7" ht="14.45">
      <c r="G216" s="5" t="s">
        <v>47</v>
      </c>
    </row>
    <row r="217" spans="7:7" ht="14.45">
      <c r="G217" s="5" t="s">
        <v>79</v>
      </c>
    </row>
    <row r="218" spans="7:7" ht="14.45">
      <c r="G218" s="5" t="s">
        <v>207</v>
      </c>
    </row>
    <row r="219" spans="7:7" ht="14.45">
      <c r="G219" s="5" t="s">
        <v>40</v>
      </c>
    </row>
    <row r="220" spans="7:7" ht="14.45">
      <c r="G220" s="5" t="s">
        <v>208</v>
      </c>
    </row>
    <row r="221" spans="7:7" ht="14.45">
      <c r="G221" s="5" t="s">
        <v>37</v>
      </c>
    </row>
    <row r="222" spans="7:7" ht="14.45">
      <c r="G222" s="5" t="s">
        <v>81</v>
      </c>
    </row>
    <row r="223" spans="7:7" ht="14.45">
      <c r="G223" s="5" t="s">
        <v>209</v>
      </c>
    </row>
    <row r="224" spans="7:7" ht="14.45">
      <c r="G224" s="5" t="s">
        <v>40</v>
      </c>
    </row>
    <row r="225" spans="7:7" ht="14.45">
      <c r="G225" s="5" t="s">
        <v>136</v>
      </c>
    </row>
    <row r="226" spans="7:7" ht="14.45">
      <c r="G226" s="5" t="s">
        <v>50</v>
      </c>
    </row>
    <row r="227" spans="7:7" ht="14.45">
      <c r="G227" s="5" t="s">
        <v>43</v>
      </c>
    </row>
    <row r="228" spans="7:7" ht="14.45">
      <c r="G228" s="5" t="s">
        <v>77</v>
      </c>
    </row>
    <row r="229" spans="7:7" ht="14.45">
      <c r="G229" s="5" t="s">
        <v>40</v>
      </c>
    </row>
    <row r="230" spans="7:7" ht="14.45">
      <c r="G230" s="5" t="s">
        <v>125</v>
      </c>
    </row>
    <row r="231" spans="7:7" ht="14.45">
      <c r="G231" s="5" t="s">
        <v>47</v>
      </c>
    </row>
    <row r="232" spans="7:7" ht="14.45">
      <c r="G232" s="5" t="s">
        <v>79</v>
      </c>
    </row>
    <row r="233" spans="7:7" ht="14.45">
      <c r="G233" s="5" t="s">
        <v>109</v>
      </c>
    </row>
    <row r="234" spans="7:7" ht="14.45">
      <c r="G234" s="5" t="s">
        <v>40</v>
      </c>
    </row>
    <row r="235" spans="7:7" ht="14.45">
      <c r="G235" s="5" t="s">
        <v>210</v>
      </c>
    </row>
    <row r="236" spans="7:7" ht="14.45">
      <c r="G236" s="5" t="s">
        <v>37</v>
      </c>
    </row>
    <row r="237" spans="7:7" ht="14.45">
      <c r="G237" s="5" t="s">
        <v>79</v>
      </c>
    </row>
    <row r="238" spans="7:7" ht="14.45">
      <c r="G238" s="5" t="s">
        <v>180</v>
      </c>
    </row>
    <row r="239" spans="7:7" ht="14.45">
      <c r="G239" s="5" t="s">
        <v>40</v>
      </c>
    </row>
    <row r="240" spans="7:7" ht="14.45">
      <c r="G240" s="5" t="s">
        <v>119</v>
      </c>
    </row>
    <row r="241" spans="7:7" ht="14.45">
      <c r="G241" s="5" t="s">
        <v>47</v>
      </c>
    </row>
    <row r="242" spans="7:7" ht="14.45">
      <c r="G242" s="5" t="s">
        <v>38</v>
      </c>
    </row>
    <row r="243" spans="7:7" ht="14.45">
      <c r="G243" s="5" t="s">
        <v>211</v>
      </c>
    </row>
    <row r="244" spans="7:7" ht="14.45">
      <c r="G244" s="5" t="s">
        <v>40</v>
      </c>
    </row>
    <row r="245" spans="7:7" ht="14.45">
      <c r="G245" s="5" t="s">
        <v>161</v>
      </c>
    </row>
    <row r="246" spans="7:7" ht="14.45">
      <c r="G246" s="5" t="s">
        <v>37</v>
      </c>
    </row>
    <row r="247" spans="7:7" ht="14.45">
      <c r="G247" s="5" t="s">
        <v>31</v>
      </c>
    </row>
    <row r="248" spans="7:7" ht="14.45">
      <c r="G248" s="5" t="s">
        <v>65</v>
      </c>
    </row>
    <row r="249" spans="7:7" ht="14.45">
      <c r="G249" s="5" t="s">
        <v>40</v>
      </c>
    </row>
    <row r="250" spans="7:7" ht="14.45">
      <c r="G250" s="5" t="s">
        <v>73</v>
      </c>
    </row>
    <row r="251" spans="7:7" ht="14.45">
      <c r="G251" s="5" t="s">
        <v>23</v>
      </c>
    </row>
    <row r="252" spans="7:7" ht="14.45">
      <c r="G252" s="5" t="s">
        <v>79</v>
      </c>
    </row>
    <row r="253" spans="7:7" ht="14.45">
      <c r="G253" s="5" t="s">
        <v>212</v>
      </c>
    </row>
    <row r="254" spans="7:7" ht="14.45">
      <c r="G254" s="5" t="s">
        <v>40</v>
      </c>
    </row>
    <row r="255" spans="7:7" ht="14.45">
      <c r="G255" s="5" t="s">
        <v>78</v>
      </c>
    </row>
    <row r="256" spans="7:7" ht="14.45">
      <c r="G256" s="5" t="s">
        <v>26</v>
      </c>
    </row>
    <row r="257" spans="7:7" ht="14.45">
      <c r="G257" s="5" t="s">
        <v>24</v>
      </c>
    </row>
    <row r="258" spans="7:7" ht="14.45">
      <c r="G258" s="5" t="s">
        <v>213</v>
      </c>
    </row>
    <row r="259" spans="7:7" ht="14.45">
      <c r="G259" s="5" t="s">
        <v>40</v>
      </c>
    </row>
    <row r="260" spans="7:7" ht="14.45">
      <c r="G260" s="5" t="s">
        <v>116</v>
      </c>
    </row>
    <row r="261" spans="7:7" ht="14.45">
      <c r="G261" s="5"/>
    </row>
    <row r="262" spans="7:7" ht="14.45">
      <c r="G262" s="5" t="s">
        <v>24</v>
      </c>
    </row>
    <row r="263" spans="7:7" ht="14.45">
      <c r="G263" s="5" t="s">
        <v>184</v>
      </c>
    </row>
    <row r="264" spans="7:7" ht="14.45">
      <c r="G264" s="5" t="s">
        <v>40</v>
      </c>
    </row>
    <row r="265" spans="7:7" ht="14.45">
      <c r="G265" s="5" t="s">
        <v>100</v>
      </c>
    </row>
    <row r="266" spans="7:7" ht="14.45">
      <c r="G266" s="5" t="s">
        <v>42</v>
      </c>
    </row>
    <row r="267" spans="7:7" ht="14.45">
      <c r="G267" s="5" t="s">
        <v>43</v>
      </c>
    </row>
    <row r="268" spans="7:7" ht="14.45">
      <c r="G268" s="5" t="s">
        <v>214</v>
      </c>
    </row>
    <row r="269" spans="7:7" ht="14.45">
      <c r="G269" s="5" t="s">
        <v>40</v>
      </c>
    </row>
    <row r="270" spans="7:7" ht="14.45">
      <c r="G270" s="5" t="s">
        <v>73</v>
      </c>
    </row>
    <row r="271" spans="7:7" ht="14.45">
      <c r="G271" s="5" t="s">
        <v>63</v>
      </c>
    </row>
    <row r="272" spans="7:7" ht="14.45">
      <c r="G272" s="5" t="s">
        <v>81</v>
      </c>
    </row>
    <row r="273" spans="7:7" ht="14.45">
      <c r="G273" s="5" t="s">
        <v>215</v>
      </c>
    </row>
    <row r="274" spans="7:7" ht="14.45">
      <c r="G274" s="5" t="s">
        <v>40</v>
      </c>
    </row>
    <row r="275" spans="7:7" ht="14.45">
      <c r="G275" s="5" t="s">
        <v>45</v>
      </c>
    </row>
    <row r="276" spans="7:7" ht="14.45">
      <c r="G276" s="5" t="s">
        <v>110</v>
      </c>
    </row>
    <row r="277" spans="7:7" ht="14.45">
      <c r="G277" s="5" t="s">
        <v>38</v>
      </c>
    </row>
    <row r="278" spans="7:7" ht="14.45">
      <c r="G278" s="5" t="s">
        <v>216</v>
      </c>
    </row>
    <row r="279" spans="7:7" ht="14.45">
      <c r="G279" s="5" t="s">
        <v>40</v>
      </c>
    </row>
    <row r="280" spans="7:7" ht="14.45">
      <c r="G280" s="5" t="s">
        <v>58</v>
      </c>
    </row>
    <row r="281" spans="7:7" ht="14.45">
      <c r="G281" s="5" t="s">
        <v>50</v>
      </c>
    </row>
    <row r="282" spans="7:7" ht="14.45">
      <c r="G282" s="5" t="s">
        <v>24</v>
      </c>
    </row>
    <row r="283" spans="7:7" ht="14.45">
      <c r="G283" s="5" t="s">
        <v>217</v>
      </c>
    </row>
    <row r="284" spans="7:7" ht="14.45">
      <c r="G284" s="5" t="s">
        <v>40</v>
      </c>
    </row>
    <row r="285" spans="7:7" ht="14.45">
      <c r="G285" s="5" t="s">
        <v>56</v>
      </c>
    </row>
    <row r="286" spans="7:7" ht="14.45">
      <c r="G286" s="5" t="s">
        <v>59</v>
      </c>
    </row>
    <row r="287" spans="7:7" ht="14.45">
      <c r="G287" s="5" t="s">
        <v>31</v>
      </c>
    </row>
    <row r="288" spans="7:7" ht="14.45">
      <c r="G288" s="5" t="s">
        <v>218</v>
      </c>
    </row>
    <row r="289" spans="7:7" ht="14.45">
      <c r="G289" s="5" t="s">
        <v>40</v>
      </c>
    </row>
    <row r="290" spans="7:7" ht="14.45">
      <c r="G290" s="5" t="s">
        <v>161</v>
      </c>
    </row>
    <row r="291" spans="7:7" ht="14.45">
      <c r="G291" s="5" t="s">
        <v>110</v>
      </c>
    </row>
    <row r="292" spans="7:7" ht="14.45">
      <c r="G292" s="5" t="s">
        <v>102</v>
      </c>
    </row>
    <row r="293" spans="7:7" ht="14.45">
      <c r="G293" s="5" t="s">
        <v>219</v>
      </c>
    </row>
    <row r="294" spans="7:7" ht="14.45">
      <c r="G294" s="5" t="s">
        <v>40</v>
      </c>
    </row>
    <row r="295" spans="7:7" ht="14.45">
      <c r="G295" s="5" t="s">
        <v>75</v>
      </c>
    </row>
    <row r="296" spans="7:7" ht="14.45">
      <c r="G296" s="5" t="s">
        <v>37</v>
      </c>
    </row>
    <row r="297" spans="7:7" ht="14.45">
      <c r="G297" s="5" t="s">
        <v>79</v>
      </c>
    </row>
    <row r="298" spans="7:7" ht="14.45">
      <c r="G298" s="5" t="s">
        <v>65</v>
      </c>
    </row>
    <row r="299" spans="7:7" ht="14.45">
      <c r="G299" s="5" t="s">
        <v>40</v>
      </c>
    </row>
    <row r="300" spans="7:7" ht="14.45">
      <c r="G300" s="5" t="s">
        <v>116</v>
      </c>
    </row>
    <row r="301" spans="7:7" ht="14.45">
      <c r="G301" s="5" t="s">
        <v>63</v>
      </c>
    </row>
    <row r="302" spans="7:7" ht="14.45">
      <c r="G302" s="5" t="s">
        <v>38</v>
      </c>
    </row>
    <row r="303" spans="7:7" ht="14.45">
      <c r="G303" s="5" t="s">
        <v>220</v>
      </c>
    </row>
    <row r="304" spans="7:7" ht="14.45">
      <c r="G304" s="5" t="s">
        <v>40</v>
      </c>
    </row>
    <row r="305" spans="7:7" ht="14.45">
      <c r="G305" s="5" t="s">
        <v>107</v>
      </c>
    </row>
    <row r="306" spans="7:7" ht="14.45">
      <c r="G306" s="5" t="s">
        <v>28</v>
      </c>
    </row>
    <row r="307" spans="7:7" ht="14.45">
      <c r="G307" s="5" t="s">
        <v>81</v>
      </c>
    </row>
    <row r="308" spans="7:7" ht="14.45">
      <c r="G308" s="5" t="s">
        <v>92</v>
      </c>
    </row>
    <row r="309" spans="7:7" ht="14.45">
      <c r="G309" s="5" t="s">
        <v>40</v>
      </c>
    </row>
    <row r="310" spans="7:7" ht="14.45">
      <c r="G310" s="5" t="s">
        <v>61</v>
      </c>
    </row>
    <row r="311" spans="7:7" ht="14.45">
      <c r="G311" s="5" t="s">
        <v>47</v>
      </c>
    </row>
    <row r="312" spans="7:7" ht="14.45">
      <c r="G312" s="5" t="s">
        <v>31</v>
      </c>
    </row>
    <row r="313" spans="7:7" ht="14.45">
      <c r="G313" s="5" t="s">
        <v>221</v>
      </c>
    </row>
    <row r="314" spans="7:7" ht="14.45">
      <c r="G314" s="5" t="s">
        <v>40</v>
      </c>
    </row>
    <row r="315" spans="7:7" ht="14.45">
      <c r="G315" s="5" t="s">
        <v>56</v>
      </c>
    </row>
    <row r="316" spans="7:7" ht="14.45">
      <c r="G316" s="5" t="s">
        <v>42</v>
      </c>
    </row>
    <row r="317" spans="7:7" ht="14.45">
      <c r="G317" s="5" t="s">
        <v>79</v>
      </c>
    </row>
    <row r="318" spans="7:7" ht="14.45">
      <c r="G318" s="5" t="s">
        <v>222</v>
      </c>
    </row>
    <row r="319" spans="7:7" ht="14.45">
      <c r="G319" s="5" t="s">
        <v>40</v>
      </c>
    </row>
    <row r="320" spans="7:7" ht="14.45">
      <c r="G320" s="5" t="s">
        <v>56</v>
      </c>
    </row>
    <row r="321" spans="7:7" ht="14.45">
      <c r="G321" s="5"/>
    </row>
    <row r="322" spans="7:7" ht="14.45">
      <c r="G322" s="5" t="s">
        <v>87</v>
      </c>
    </row>
    <row r="323" spans="7:7" ht="14.45">
      <c r="G323" s="5" t="s">
        <v>114</v>
      </c>
    </row>
    <row r="324" spans="7:7" ht="14.45">
      <c r="G324" s="5" t="s">
        <v>40</v>
      </c>
    </row>
    <row r="325" spans="7:7" ht="14.45">
      <c r="G325" s="5" t="s">
        <v>32</v>
      </c>
    </row>
    <row r="326" spans="7:7" ht="14.45">
      <c r="G326" s="5" t="s">
        <v>26</v>
      </c>
    </row>
    <row r="327" spans="7:7" ht="14.45">
      <c r="G327" s="5" t="s">
        <v>68</v>
      </c>
    </row>
    <row r="328" spans="7:7" ht="14.45">
      <c r="G328" s="5" t="s">
        <v>223</v>
      </c>
    </row>
    <row r="329" spans="7:7" ht="14.45">
      <c r="G329" s="5" t="s">
        <v>40</v>
      </c>
    </row>
    <row r="330" spans="7:7" ht="14.45">
      <c r="G330" s="5" t="s">
        <v>131</v>
      </c>
    </row>
    <row r="331" spans="7:7" ht="14.45">
      <c r="G331" s="5" t="s">
        <v>47</v>
      </c>
    </row>
    <row r="332" spans="7:7" ht="14.45">
      <c r="G332" s="5" t="s">
        <v>79</v>
      </c>
    </row>
    <row r="333" spans="7:7" ht="14.45">
      <c r="G333" s="5" t="s">
        <v>224</v>
      </c>
    </row>
    <row r="334" spans="7:7" ht="14.45">
      <c r="G334" s="5" t="s">
        <v>40</v>
      </c>
    </row>
    <row r="335" spans="7:7" ht="14.45">
      <c r="G335" s="5" t="s">
        <v>95</v>
      </c>
    </row>
    <row r="336" spans="7:7" ht="14.45">
      <c r="G336" s="5" t="s">
        <v>23</v>
      </c>
    </row>
    <row r="337" spans="7:7" ht="14.45">
      <c r="G337" s="5" t="s">
        <v>79</v>
      </c>
    </row>
    <row r="338" spans="7:7" ht="14.45">
      <c r="G338" s="5" t="s">
        <v>225</v>
      </c>
    </row>
    <row r="339" spans="7:7" ht="14.45">
      <c r="G339" s="5" t="s">
        <v>40</v>
      </c>
    </row>
    <row r="340" spans="7:7" ht="14.45">
      <c r="G340" s="5" t="s">
        <v>139</v>
      </c>
    </row>
    <row r="341" spans="7:7" ht="14.45">
      <c r="G341" s="5" t="s">
        <v>63</v>
      </c>
    </row>
    <row r="342" spans="7:7" ht="14.45">
      <c r="G342" s="5" t="s">
        <v>38</v>
      </c>
    </row>
    <row r="343" spans="7:7" ht="14.45">
      <c r="G343" s="5" t="s">
        <v>226</v>
      </c>
    </row>
    <row r="344" spans="7:7" ht="14.45">
      <c r="G344" s="5" t="s">
        <v>40</v>
      </c>
    </row>
    <row r="345" spans="7:7" ht="14.45">
      <c r="G345" s="5" t="s">
        <v>75</v>
      </c>
    </row>
    <row r="346" spans="7:7" ht="14.45">
      <c r="G346" s="5" t="s">
        <v>63</v>
      </c>
    </row>
    <row r="347" spans="7:7" ht="14.45">
      <c r="G347" s="5" t="s">
        <v>81</v>
      </c>
    </row>
    <row r="348" spans="7:7" ht="14.45">
      <c r="G348" s="5" t="s">
        <v>227</v>
      </c>
    </row>
    <row r="349" spans="7:7" ht="14.45">
      <c r="G349" s="5" t="s">
        <v>40</v>
      </c>
    </row>
    <row r="350" spans="7:7" ht="14.45">
      <c r="G350" s="5" t="s">
        <v>27</v>
      </c>
    </row>
    <row r="351" spans="7:7" ht="14.45">
      <c r="G351" s="5" t="s">
        <v>23</v>
      </c>
    </row>
    <row r="352" spans="7:7" ht="14.45">
      <c r="G352" s="5" t="s">
        <v>31</v>
      </c>
    </row>
    <row r="353" spans="7:7" ht="14.45">
      <c r="G353" s="5" t="s">
        <v>228</v>
      </c>
    </row>
    <row r="354" spans="7:7" ht="14.45">
      <c r="G354" s="5" t="s">
        <v>40</v>
      </c>
    </row>
    <row r="355" spans="7:7" ht="14.45">
      <c r="G355" s="5" t="s">
        <v>62</v>
      </c>
    </row>
    <row r="356" spans="7:7" ht="14.45">
      <c r="G356" s="5" t="s">
        <v>28</v>
      </c>
    </row>
    <row r="357" spans="7:7" ht="14.45">
      <c r="G357" s="5" t="s">
        <v>48</v>
      </c>
    </row>
    <row r="358" spans="7:7" ht="14.45">
      <c r="G358" s="5" t="s">
        <v>229</v>
      </c>
    </row>
    <row r="359" spans="7:7" ht="14.45">
      <c r="G359" s="5" t="s">
        <v>40</v>
      </c>
    </row>
    <row r="360" spans="7:7" ht="14.45">
      <c r="G360" s="5" t="s">
        <v>107</v>
      </c>
    </row>
    <row r="361" spans="7:7" ht="14.45">
      <c r="G361" s="5" t="s">
        <v>42</v>
      </c>
    </row>
    <row r="362" spans="7:7" ht="14.45">
      <c r="G362" s="5" t="s">
        <v>155</v>
      </c>
    </row>
    <row r="363" spans="7:7" ht="14.45">
      <c r="G363" s="5" t="s">
        <v>230</v>
      </c>
    </row>
    <row r="364" spans="7:7" ht="14.45">
      <c r="G364" s="5" t="s">
        <v>40</v>
      </c>
    </row>
    <row r="365" spans="7:7" ht="14.45">
      <c r="G365" s="5" t="s">
        <v>139</v>
      </c>
    </row>
    <row r="366" spans="7:7" ht="14.45">
      <c r="G366" s="5" t="s">
        <v>23</v>
      </c>
    </row>
    <row r="367" spans="7:7" ht="14.45">
      <c r="G367" s="5" t="s">
        <v>87</v>
      </c>
    </row>
    <row r="368" spans="7:7" ht="14.45">
      <c r="G368" s="5" t="s">
        <v>30</v>
      </c>
    </row>
    <row r="369" spans="7:7" ht="14.45">
      <c r="G369" s="5" t="s">
        <v>40</v>
      </c>
    </row>
    <row r="370" spans="7:7" ht="14.45">
      <c r="G370" s="5" t="s">
        <v>165</v>
      </c>
    </row>
    <row r="371" spans="7:7" ht="14.45">
      <c r="G371" s="5" t="s">
        <v>28</v>
      </c>
    </row>
    <row r="372" spans="7:7" ht="14.45">
      <c r="G372" s="5" t="s">
        <v>31</v>
      </c>
    </row>
    <row r="373" spans="7:7" ht="14.45">
      <c r="G373" s="5" t="s">
        <v>231</v>
      </c>
    </row>
    <row r="374" spans="7:7" ht="14.45">
      <c r="G374" s="5" t="s">
        <v>40</v>
      </c>
    </row>
    <row r="375" spans="7:7" ht="14.45">
      <c r="G375" s="5" t="s">
        <v>148</v>
      </c>
    </row>
    <row r="376" spans="7:7" ht="14.45">
      <c r="G376" s="5" t="s">
        <v>47</v>
      </c>
    </row>
    <row r="377" spans="7:7" ht="14.45">
      <c r="G377" s="5" t="s">
        <v>87</v>
      </c>
    </row>
    <row r="378" spans="7:7" ht="14.45">
      <c r="G378" s="5" t="s">
        <v>232</v>
      </c>
    </row>
    <row r="379" spans="7:7" ht="14.45">
      <c r="G379" s="5" t="s">
        <v>40</v>
      </c>
    </row>
    <row r="380" spans="7:7" ht="14.45">
      <c r="G380" s="5" t="s">
        <v>75</v>
      </c>
    </row>
    <row r="381" spans="7:7" ht="14.45">
      <c r="G381" s="5" t="s">
        <v>50</v>
      </c>
    </row>
    <row r="382" spans="7:7" ht="14.45">
      <c r="G382" s="5" t="s">
        <v>24</v>
      </c>
    </row>
    <row r="383" spans="7:7" ht="14.45">
      <c r="G383" s="5" t="s">
        <v>49</v>
      </c>
    </row>
    <row r="384" spans="7:7" ht="14.45">
      <c r="G384" s="5" t="s">
        <v>40</v>
      </c>
    </row>
    <row r="385" spans="7:7" ht="14.45">
      <c r="G385" s="5" t="s">
        <v>136</v>
      </c>
    </row>
    <row r="386" spans="7:7" ht="14.45">
      <c r="G386" s="5" t="s">
        <v>59</v>
      </c>
    </row>
    <row r="387" spans="7:7" ht="14.45">
      <c r="G387" s="5" t="s">
        <v>38</v>
      </c>
    </row>
    <row r="388" spans="7:7" ht="14.45">
      <c r="G388" s="5" t="s">
        <v>233</v>
      </c>
    </row>
    <row r="389" spans="7:7" ht="14.45">
      <c r="G389" s="5" t="s">
        <v>40</v>
      </c>
    </row>
    <row r="390" spans="7:7" ht="14.45">
      <c r="G390" s="5" t="s">
        <v>53</v>
      </c>
    </row>
    <row r="391" spans="7:7" ht="14.45">
      <c r="G391" s="5" t="s">
        <v>37</v>
      </c>
    </row>
    <row r="392" spans="7:7" ht="14.45">
      <c r="G392" s="5" t="s">
        <v>24</v>
      </c>
    </row>
    <row r="393" spans="7:7" ht="14.45">
      <c r="G393" s="5" t="s">
        <v>234</v>
      </c>
    </row>
    <row r="394" spans="7:7" ht="14.45">
      <c r="G394" s="5" t="s">
        <v>40</v>
      </c>
    </row>
    <row r="395" spans="7:7" ht="14.45">
      <c r="G395" s="5" t="s">
        <v>46</v>
      </c>
    </row>
    <row r="396" spans="7:7" ht="14.45">
      <c r="G396" s="5" t="s">
        <v>47</v>
      </c>
    </row>
    <row r="397" spans="7:7" ht="14.45">
      <c r="G397" s="5" t="s">
        <v>79</v>
      </c>
    </row>
    <row r="398" spans="7:7" ht="14.45">
      <c r="G398" s="5" t="s">
        <v>65</v>
      </c>
    </row>
    <row r="399" spans="7:7" ht="14.45">
      <c r="G399" s="5" t="s">
        <v>40</v>
      </c>
    </row>
    <row r="400" spans="7:7" ht="14.45">
      <c r="G400" s="5" t="s">
        <v>27</v>
      </c>
    </row>
    <row r="401" spans="7:7" ht="14.45">
      <c r="G401" s="5" t="s">
        <v>37</v>
      </c>
    </row>
    <row r="402" spans="7:7" ht="14.45">
      <c r="G402" s="5" t="s">
        <v>31</v>
      </c>
    </row>
    <row r="403" spans="7:7" ht="14.45">
      <c r="G403" s="5" t="s">
        <v>235</v>
      </c>
    </row>
    <row r="404" spans="7:7" ht="14.45">
      <c r="G404" s="5" t="s">
        <v>40</v>
      </c>
    </row>
    <row r="405" spans="7:7" ht="14.45"/>
    <row r="406" spans="7:7" ht="14.4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FCF3-B00D-47EB-A119-B1268BD8ED76}">
  <dimension ref="D3:I83"/>
  <sheetViews>
    <sheetView workbookViewId="0">
      <selection activeCell="D3" sqref="D3"/>
    </sheetView>
  </sheetViews>
  <sheetFormatPr defaultRowHeight="14.45"/>
  <cols>
    <col min="4" max="4" width="20.7109375" bestFit="1" customWidth="1"/>
    <col min="6" max="6" width="11.42578125" bestFit="1" customWidth="1"/>
    <col min="7" max="7" width="47.28515625" bestFit="1" customWidth="1"/>
    <col min="9" max="9" width="42.42578125" bestFit="1" customWidth="1"/>
  </cols>
  <sheetData>
    <row r="3" spans="4:9">
      <c r="D3" s="8" t="s">
        <v>17</v>
      </c>
      <c r="E3" s="8" t="s">
        <v>18</v>
      </c>
      <c r="F3" s="8" t="s">
        <v>19</v>
      </c>
      <c r="G3" s="8" t="s">
        <v>20</v>
      </c>
      <c r="I3" s="9" t="s">
        <v>236</v>
      </c>
    </row>
    <row r="4" spans="4:9">
      <c r="D4" t="str" cm="1">
        <f t="array" ref="D4:G83">_xlfn.TAKE(_xlfn.WRAPROWS(raw_data!G5:G404,5),,4)</f>
        <v>The Weekend Forecast</v>
      </c>
      <c r="E4" t="str">
        <v>Big Apple</v>
      </c>
      <c r="F4" t="str">
        <v>$200</v>
      </c>
      <c r="G4" t="str">
        <v>4 Hour show starting at 5PM</v>
      </c>
      <c r="I4" s="10" t="str">
        <f ca="1">_xlfn.FORMULATEXT(D4)</f>
        <v>=TAKE(WRAPROWS(raw_data!G5:G404,5),,4)</v>
      </c>
    </row>
    <row r="5" spans="4:9">
      <c r="D5" t="str">
        <v>Ed Shewalk</v>
      </c>
      <c r="E5" t="str">
        <v>Vegas</v>
      </c>
      <c r="F5" t="str">
        <v>$600</v>
      </c>
      <c r="G5" t="str">
        <v>4 Hour show starting at 8PM on 28 Sept (2025)</v>
      </c>
    </row>
    <row r="6" spans="4:9">
      <c r="D6" t="str">
        <v xml:space="preserve">Bruno Mars Bar </v>
      </c>
      <c r="E6" t="str">
        <v>London</v>
      </c>
      <c r="F6" t="str">
        <v>400</v>
      </c>
      <c r="G6" t="str">
        <v>Show starts at 7PM on 28 Jul (2025)</v>
      </c>
    </row>
    <row r="7" spans="4:9">
      <c r="D7" t="str">
        <v>Jonas Blizzards</v>
      </c>
      <c r="E7" t="str">
        <v>Las Vegas</v>
      </c>
      <c r="F7" t="str">
        <v>$100</v>
      </c>
      <c r="G7" t="str">
        <v>7PM Start</v>
      </c>
    </row>
    <row r="8" spans="4:9">
      <c r="D8" t="str">
        <v xml:space="preserve">Snoop Corgi </v>
      </c>
      <c r="E8" t="str">
        <v>Sydney</v>
      </c>
      <c r="F8" t="str">
        <v>£600</v>
      </c>
      <c r="G8" t="str">
        <v>3 Hour performance, begins at 5PM on 19 Oct (2026)</v>
      </c>
    </row>
    <row r="9" spans="4:9">
      <c r="D9" t="str">
        <v xml:space="preserve"> Imagine Wagons </v>
      </c>
      <c r="E9" t="str">
        <v>Bombay</v>
      </c>
      <c r="F9" t="str">
        <v>$500</v>
      </c>
      <c r="G9" t="str">
        <v>4 Hour show starting at 5PM on 31 Jul (2025)</v>
      </c>
    </row>
    <row r="10" spans="4:9">
      <c r="D10" t="str">
        <v>Lizzoard</v>
      </c>
      <c r="E10" t="str">
        <v>Singapore</v>
      </c>
      <c r="F10" t="str">
        <v>$300</v>
      </c>
      <c r="G10" t="str">
        <v>10PM Start</v>
      </c>
    </row>
    <row r="11" spans="4:9">
      <c r="D11" t="str">
        <v>Camila Cobello</v>
      </c>
      <c r="E11" t="str">
        <v>New York</v>
      </c>
      <c r="F11" t="str">
        <v>$200</v>
      </c>
      <c r="G11" t="str">
        <v>7PM Start</v>
      </c>
    </row>
    <row r="12" spans="4:9">
      <c r="D12" t="str">
        <v>Taylor Swiftly</v>
      </c>
      <c r="E12" t="str">
        <v>Vegas</v>
      </c>
      <c r="F12" t="str">
        <v>$100</v>
      </c>
      <c r="G12" t="str">
        <v>3 Hour performance, begins at 7PM on 14 Apr (2026)</v>
      </c>
    </row>
    <row r="13" spans="4:9">
      <c r="D13" t="str">
        <v>Post Lemon</v>
      </c>
      <c r="E13" t="str">
        <v>Vegas</v>
      </c>
      <c r="F13">
        <v>0</v>
      </c>
      <c r="G13" t="str">
        <v>TBA on 9 Aug (2025)</v>
      </c>
    </row>
    <row r="14" spans="4:9">
      <c r="D14" t="str">
        <v>Harry Styles of Hair</v>
      </c>
      <c r="E14" t="str">
        <v>Chicago</v>
      </c>
      <c r="F14" t="str">
        <v>$300</v>
      </c>
      <c r="G14" t="str">
        <v>Event begins at 10PM on 12 Jul (2025)</v>
      </c>
    </row>
    <row r="15" spans="4:9">
      <c r="D15" t="str">
        <v xml:space="preserve"> Bruno Mars Bar </v>
      </c>
      <c r="E15" t="str">
        <v>Sydney</v>
      </c>
      <c r="F15" t="str">
        <v>$300</v>
      </c>
      <c r="G15" t="str">
        <v>9PM Start on 17-Feb-2026</v>
      </c>
    </row>
    <row r="16" spans="4:9">
      <c r="D16" t="str">
        <v>Shawn Mender</v>
      </c>
      <c r="E16" t="str">
        <v>Sin city</v>
      </c>
      <c r="F16">
        <v>0</v>
      </c>
      <c r="G16" t="str">
        <v>4 Hour show starting at 6PM on 5 Feb (2026)</v>
      </c>
    </row>
    <row r="17" spans="4:7">
      <c r="D17" t="str">
        <v>Taylor Swiftly</v>
      </c>
      <c r="E17" t="str">
        <v>Singapore</v>
      </c>
      <c r="F17" t="str">
        <v>$500</v>
      </c>
      <c r="G17" t="str">
        <v>Event begins at 7PM on 18-Jun-2026</v>
      </c>
    </row>
    <row r="18" spans="4:7">
      <c r="D18" t="str">
        <v xml:space="preserve">Jonas Blizzards </v>
      </c>
      <c r="E18" t="str">
        <v>Chicago</v>
      </c>
      <c r="F18" t="str">
        <v>$400</v>
      </c>
      <c r="G18" t="str">
        <v>4 Hour show starting at 9PM on 19-Jul-2026</v>
      </c>
    </row>
    <row r="19" spans="4:7">
      <c r="D19" t="str">
        <v>Cardi Bee</v>
      </c>
      <c r="E19">
        <v>0</v>
      </c>
      <c r="F19" t="str">
        <v>$100</v>
      </c>
      <c r="G19" t="str">
        <v>Show starts at 8PM</v>
      </c>
    </row>
    <row r="20" spans="4:7">
      <c r="D20" t="str">
        <v>Shawn Mender</v>
      </c>
      <c r="E20" t="str">
        <v>Chicago</v>
      </c>
      <c r="F20" t="str">
        <v>600</v>
      </c>
      <c r="G20" t="str">
        <v>3 Hour performance, begins at 9PM</v>
      </c>
    </row>
    <row r="21" spans="4:7">
      <c r="D21" t="str">
        <v>Harry Styles of Hair</v>
      </c>
      <c r="E21" t="str">
        <v>Las Vegas</v>
      </c>
      <c r="F21" t="str">
        <v>£500</v>
      </c>
      <c r="G21" t="str">
        <v>7PM Start on 16 Dec (2025)</v>
      </c>
    </row>
    <row r="22" spans="4:7">
      <c r="D22" t="str">
        <v>Billie Eyelash</v>
      </c>
      <c r="E22" t="str">
        <v>Vegas</v>
      </c>
      <c r="F22" t="str">
        <v>£100</v>
      </c>
      <c r="G22" t="str">
        <v>3 Hour performance, begins at 9PM</v>
      </c>
    </row>
    <row r="23" spans="4:7">
      <c r="D23" t="str">
        <v>Selena Go-Go</v>
      </c>
      <c r="E23" t="str">
        <v>New York</v>
      </c>
      <c r="F23" t="str">
        <v>$400</v>
      </c>
      <c r="G23" t="str">
        <v>3 Hour performance, begins at 10PM on 27-Apr-2026</v>
      </c>
    </row>
    <row r="24" spans="4:7">
      <c r="D24" t="str">
        <v>Jonas Blizzards</v>
      </c>
      <c r="E24" t="str">
        <v>Singapore</v>
      </c>
      <c r="F24" t="str">
        <v>£100</v>
      </c>
      <c r="G24" t="str">
        <v>10PM Start</v>
      </c>
    </row>
    <row r="25" spans="4:7">
      <c r="D25" t="str">
        <v>Marooned 5</v>
      </c>
      <c r="E25" t="str">
        <v>Vegas</v>
      </c>
      <c r="F25" t="str">
        <v>$100</v>
      </c>
      <c r="G25" t="str">
        <v>Event begins at 7PM on 23-Oct-2025</v>
      </c>
    </row>
    <row r="26" spans="4:7">
      <c r="D26" t="str">
        <v>Post Lemon</v>
      </c>
      <c r="E26" t="str">
        <v>Sin city</v>
      </c>
      <c r="F26" t="str">
        <v>600</v>
      </c>
      <c r="G26" t="str">
        <v>Show starts at 9PM on 25 Dec (2025)</v>
      </c>
    </row>
    <row r="27" spans="4:7">
      <c r="D27" t="str">
        <v>Drake Mallard</v>
      </c>
      <c r="E27" t="str">
        <v>London</v>
      </c>
      <c r="F27" t="str">
        <v>$300</v>
      </c>
      <c r="G27" t="str">
        <v>Event begins at 8PM on 10-Jul-2025</v>
      </c>
    </row>
    <row r="28" spans="4:7">
      <c r="D28" t="str">
        <v>Sam Smithy</v>
      </c>
      <c r="E28" t="str">
        <v>Chicago</v>
      </c>
      <c r="F28" t="str">
        <v>$600</v>
      </c>
      <c r="G28" t="str">
        <v>7PM Start on 21-Nov-2026</v>
      </c>
    </row>
    <row r="29" spans="4:7">
      <c r="D29" t="str">
        <v>Marooned 5</v>
      </c>
      <c r="E29" t="str">
        <v>Mumbai</v>
      </c>
      <c r="F29" t="str">
        <v>100</v>
      </c>
      <c r="G29" t="str">
        <v>4 Hour show starting at 9PM on 23-Mar-2026</v>
      </c>
    </row>
    <row r="30" spans="4:7">
      <c r="D30" t="str">
        <v>Justin Woodenpond</v>
      </c>
      <c r="E30" t="str">
        <v>Chicago</v>
      </c>
      <c r="F30" t="str">
        <v>£100</v>
      </c>
      <c r="G30" t="str">
        <v>7PM Start</v>
      </c>
    </row>
    <row r="31" spans="4:7">
      <c r="D31" t="str">
        <v>Lady Gaggle</v>
      </c>
      <c r="E31" t="str">
        <v>Vegas</v>
      </c>
      <c r="F31" t="str">
        <v>400</v>
      </c>
      <c r="G31" t="str">
        <v>Event begins at 6PM on 8-Jun-2026</v>
      </c>
    </row>
    <row r="32" spans="4:7">
      <c r="D32" t="str">
        <v>Alicia Keys to the City</v>
      </c>
      <c r="E32" t="str">
        <v>Chicago</v>
      </c>
      <c r="F32" t="str">
        <v>$600</v>
      </c>
      <c r="G32" t="str">
        <v>5PM Start on 12 Dec (2026)</v>
      </c>
    </row>
    <row r="33" spans="4:7">
      <c r="D33" t="str">
        <v>Snoop Corgi</v>
      </c>
      <c r="E33" t="str">
        <v>Sin city</v>
      </c>
      <c r="F33" t="str">
        <v>$100</v>
      </c>
      <c r="G33" t="str">
        <v>4 Hour show starting at 9PM on 15-Dec-2026</v>
      </c>
    </row>
    <row r="34" spans="4:7">
      <c r="D34" t="str">
        <v>Harry Styles of Hair</v>
      </c>
      <c r="E34" t="str">
        <v>Sydney</v>
      </c>
      <c r="F34" t="str">
        <v>$400</v>
      </c>
      <c r="G34" t="str">
        <v>7PM Start</v>
      </c>
    </row>
    <row r="35" spans="4:7">
      <c r="D35" t="str">
        <v>Sam Smithy</v>
      </c>
      <c r="E35" t="str">
        <v>Mumbai</v>
      </c>
      <c r="F35" t="str">
        <v>$500</v>
      </c>
      <c r="G35" t="str">
        <v>3 Hour performance, begins at 6PM on 12 Nov (2025)</v>
      </c>
    </row>
    <row r="36" spans="4:7">
      <c r="D36" t="str">
        <v>Harry Styles of Hair</v>
      </c>
      <c r="E36" t="str">
        <v>Singapore</v>
      </c>
      <c r="F36" t="str">
        <v>$400</v>
      </c>
      <c r="G36" t="str">
        <v>4 Hour show starting at 10PM on 7 Nov (2025)</v>
      </c>
    </row>
    <row r="37" spans="4:7">
      <c r="D37" t="str">
        <v>Snoop Corgi</v>
      </c>
      <c r="E37" t="str">
        <v>Singapore</v>
      </c>
      <c r="F37" t="str">
        <v>$400</v>
      </c>
      <c r="G37" t="str">
        <v>6PM Start</v>
      </c>
    </row>
    <row r="38" spans="4:7">
      <c r="D38" t="str">
        <v>Bruno Mars Bar</v>
      </c>
      <c r="E38" t="str">
        <v>Chicago</v>
      </c>
      <c r="F38" t="str">
        <v>£100</v>
      </c>
      <c r="G38" t="str">
        <v>3 Hour performance, begins at 7PM</v>
      </c>
    </row>
    <row r="39" spans="4:7">
      <c r="D39" t="str">
        <v xml:space="preserve"> Ed Shewalk </v>
      </c>
      <c r="E39" t="str">
        <v>Vegas</v>
      </c>
      <c r="F39" t="str">
        <v>£500</v>
      </c>
      <c r="G39" t="str">
        <v>TBA</v>
      </c>
    </row>
    <row r="40" spans="4:7">
      <c r="D40" t="str">
        <v>Ellie Goldfish</v>
      </c>
      <c r="E40" t="str">
        <v>Bombay</v>
      </c>
      <c r="F40" t="str">
        <v>$300</v>
      </c>
      <c r="G40" t="str">
        <v>Show starts at 8PM on 21 Jan (2026)</v>
      </c>
    </row>
    <row r="41" spans="4:7">
      <c r="D41" t="str">
        <v>Sam Smithy</v>
      </c>
      <c r="E41" t="str">
        <v>Chicago</v>
      </c>
      <c r="F41" t="str">
        <v>$500</v>
      </c>
      <c r="G41" t="str">
        <v>Show starts at 6PM on 20-Mar-2026</v>
      </c>
    </row>
    <row r="42" spans="4:7">
      <c r="D42" t="str">
        <v>Jonas Blizzards</v>
      </c>
      <c r="E42" t="str">
        <v>London</v>
      </c>
      <c r="F42" t="str">
        <v>$600</v>
      </c>
      <c r="G42" t="str">
        <v>9PM Start on 1-Jul-2026</v>
      </c>
    </row>
    <row r="43" spans="4:7">
      <c r="D43" t="str">
        <v>Alicia Keys to the City</v>
      </c>
      <c r="E43" t="str">
        <v>Big Apple</v>
      </c>
      <c r="F43" t="str">
        <v>$200</v>
      </c>
      <c r="G43" t="str">
        <v>6PM Start</v>
      </c>
    </row>
    <row r="44" spans="4:7">
      <c r="D44" t="str">
        <v>Cardi Bee</v>
      </c>
      <c r="E44" t="str">
        <v>Big Apple</v>
      </c>
      <c r="F44" t="str">
        <v>$500</v>
      </c>
      <c r="G44" t="str">
        <v>Event begins at 10PM on 21-Dec-2025</v>
      </c>
    </row>
    <row r="45" spans="4:7">
      <c r="D45" t="str">
        <v>Shawn Mender</v>
      </c>
      <c r="E45" t="str">
        <v>Sydney</v>
      </c>
      <c r="F45" t="str">
        <v>$300</v>
      </c>
      <c r="G45" t="str">
        <v>Show starts at 8PM on 4-Jun-2025</v>
      </c>
    </row>
    <row r="46" spans="4:7">
      <c r="D46" t="str">
        <v>Alicia Keys to the City</v>
      </c>
      <c r="E46" t="str">
        <v>New York</v>
      </c>
      <c r="F46" t="str">
        <v>$300</v>
      </c>
      <c r="G46" t="str">
        <v>4 Hour show starting at 9PM on 5-Dec-2026</v>
      </c>
    </row>
    <row r="47" spans="4:7">
      <c r="D47" t="str">
        <v xml:space="preserve">Billie Eyelash </v>
      </c>
      <c r="E47" t="str">
        <v>Bombay</v>
      </c>
      <c r="F47" t="str">
        <v>$100</v>
      </c>
      <c r="G47" t="str">
        <v>TBA on 25 Nov (2026)</v>
      </c>
    </row>
    <row r="48" spans="4:7">
      <c r="D48" t="str">
        <v>Alicia Keys to the City</v>
      </c>
      <c r="E48" t="str">
        <v>Vegas</v>
      </c>
      <c r="F48" t="str">
        <v>$600</v>
      </c>
      <c r="G48" t="str">
        <v>Show starts at 6PM</v>
      </c>
    </row>
    <row r="49" spans="4:7">
      <c r="D49" t="str">
        <v>Ellie Goldfish</v>
      </c>
      <c r="E49" t="str">
        <v>New York</v>
      </c>
      <c r="F49" t="str">
        <v>$300</v>
      </c>
      <c r="G49" t="str">
        <v>Event begins at 9PM</v>
      </c>
    </row>
    <row r="50" spans="4:7">
      <c r="D50" t="str">
        <v xml:space="preserve">Harry Styles of Hair </v>
      </c>
      <c r="E50" t="str">
        <v>Bombay</v>
      </c>
      <c r="F50" t="str">
        <v>$300</v>
      </c>
      <c r="G50" t="str">
        <v>3 Hour performance, begins at 7PM</v>
      </c>
    </row>
    <row r="51" spans="4:7">
      <c r="D51" t="str">
        <v>Selena Go-Go</v>
      </c>
      <c r="E51" t="str">
        <v>New York</v>
      </c>
      <c r="F51" t="str">
        <v>$400</v>
      </c>
      <c r="G51" t="str">
        <v>9PM Start on 4 Mar (2026)</v>
      </c>
    </row>
    <row r="52" spans="4:7">
      <c r="D52" t="str">
        <v>Lady Gaggle</v>
      </c>
      <c r="E52" t="str">
        <v>Bombay</v>
      </c>
      <c r="F52" t="str">
        <v>$200</v>
      </c>
      <c r="G52" t="str">
        <v>TBA</v>
      </c>
    </row>
    <row r="53" spans="4:7">
      <c r="D53" t="str">
        <v>Snoop Corgi</v>
      </c>
      <c r="E53" t="str">
        <v>Chicago</v>
      </c>
      <c r="F53" t="str">
        <v>$300</v>
      </c>
      <c r="G53" t="str">
        <v>6PM Start on 27-Jun-2025</v>
      </c>
    </row>
    <row r="54" spans="4:7">
      <c r="D54" t="str">
        <v>Cardi Bee</v>
      </c>
      <c r="E54" t="str">
        <v>Big Apple</v>
      </c>
      <c r="F54" t="str">
        <v>$500</v>
      </c>
      <c r="G54" t="str">
        <v>3 Hour performance, begins at 6PM on 16-Jun-2025</v>
      </c>
    </row>
    <row r="55" spans="4:7">
      <c r="D55" t="str">
        <v>Camila Cobello</v>
      </c>
      <c r="E55">
        <v>0</v>
      </c>
      <c r="F55" t="str">
        <v>$500</v>
      </c>
      <c r="G55" t="str">
        <v>8PM Start</v>
      </c>
    </row>
    <row r="56" spans="4:7">
      <c r="D56" t="str">
        <v>Drake Mallard</v>
      </c>
      <c r="E56" t="str">
        <v>Sydney</v>
      </c>
      <c r="F56" t="str">
        <v>$600</v>
      </c>
      <c r="G56" t="str">
        <v>4 Hour show starting at 10PM on 6 Oct (2025)</v>
      </c>
    </row>
    <row r="57" spans="4:7">
      <c r="D57" t="str">
        <v>Snoop Corgi</v>
      </c>
      <c r="E57" t="str">
        <v>London</v>
      </c>
      <c r="F57" t="str">
        <v>$100</v>
      </c>
      <c r="G57" t="str">
        <v>6PM Start on 5 Feb (2026)</v>
      </c>
    </row>
    <row r="58" spans="4:7">
      <c r="D58" t="str">
        <v>Ed Shewalk</v>
      </c>
      <c r="E58" t="str">
        <v>Singapore</v>
      </c>
      <c r="F58" t="str">
        <v>$400</v>
      </c>
      <c r="G58" t="str">
        <v>TBA on 26 Jun (2025)</v>
      </c>
    </row>
    <row r="59" spans="4:7">
      <c r="D59" t="str">
        <v>Harry Styles of Hair</v>
      </c>
      <c r="E59" t="str">
        <v>Vegas</v>
      </c>
      <c r="F59" t="str">
        <v>$500</v>
      </c>
      <c r="G59" t="str">
        <v>Show starts at 9PM</v>
      </c>
    </row>
    <row r="60" spans="4:7">
      <c r="D60" t="str">
        <v>Bruno Mars Bar</v>
      </c>
      <c r="E60" t="str">
        <v>Mumbai</v>
      </c>
      <c r="F60" t="str">
        <v>$200</v>
      </c>
      <c r="G60" t="str">
        <v>Show starts at 6PM on 17-May-2026</v>
      </c>
    </row>
    <row r="61" spans="4:7">
      <c r="D61" t="str">
        <v>Lady Gaggle</v>
      </c>
      <c r="E61" t="str">
        <v>Singapore</v>
      </c>
      <c r="F61" t="str">
        <v>200</v>
      </c>
      <c r="G61" t="str">
        <v>7PM Start on 28-Oct-2026</v>
      </c>
    </row>
    <row r="62" spans="4:7">
      <c r="D62" t="str">
        <v>Taylor Swiftly</v>
      </c>
      <c r="E62" t="str">
        <v>Bombay</v>
      </c>
      <c r="F62" t="str">
        <v>$300</v>
      </c>
      <c r="G62" t="str">
        <v>TBA</v>
      </c>
    </row>
    <row r="63" spans="4:7">
      <c r="D63" t="str">
        <v>Camila Cobello</v>
      </c>
      <c r="E63" t="str">
        <v>London</v>
      </c>
      <c r="F63" t="str">
        <v>$400</v>
      </c>
      <c r="G63" t="str">
        <v>3 Hour performance, begins at 8PM on 21 Oct (2025)</v>
      </c>
    </row>
    <row r="64" spans="4:7">
      <c r="D64" t="str">
        <v>Khalid Kale</v>
      </c>
      <c r="E64" t="str">
        <v>Las Vegas</v>
      </c>
      <c r="F64" t="str">
        <v>$100</v>
      </c>
      <c r="G64" t="str">
        <v>Show starts at 7PM</v>
      </c>
    </row>
    <row r="65" spans="4:7">
      <c r="D65" t="str">
        <v xml:space="preserve">Bruno Mars Bar </v>
      </c>
      <c r="E65" t="str">
        <v>New York</v>
      </c>
      <c r="F65" t="str">
        <v>$200</v>
      </c>
      <c r="G65" t="str">
        <v>4 Hour show starting at 9PM on 30 Dec (2025)</v>
      </c>
    </row>
    <row r="66" spans="4:7">
      <c r="D66" t="str">
        <v>Bruno Mars Bar</v>
      </c>
      <c r="E66" t="str">
        <v>Sydney</v>
      </c>
      <c r="F66" t="str">
        <v>$300</v>
      </c>
      <c r="G66" t="str">
        <v>Event begins at 7PM on 14-Jul-2025</v>
      </c>
    </row>
    <row r="67" spans="4:7">
      <c r="D67" t="str">
        <v>Bruno Mars Bar</v>
      </c>
      <c r="E67">
        <v>0</v>
      </c>
      <c r="F67" t="str">
        <v>300</v>
      </c>
      <c r="G67" t="str">
        <v>9PM Start</v>
      </c>
    </row>
    <row r="68" spans="4:7">
      <c r="D68" t="str">
        <v>Shawn Mender</v>
      </c>
      <c r="E68" t="str">
        <v>Big Apple</v>
      </c>
      <c r="F68" t="str">
        <v>400</v>
      </c>
      <c r="G68" t="str">
        <v>3 Hour performance, begins at 6PM on 25 Jun (2026)</v>
      </c>
    </row>
    <row r="69" spans="4:7">
      <c r="D69" t="str">
        <v>Post Lemon</v>
      </c>
      <c r="E69" t="str">
        <v>New York</v>
      </c>
      <c r="F69" t="str">
        <v>$300</v>
      </c>
      <c r="G69" t="str">
        <v>Show starts at 10PM on 16-Jun-2026</v>
      </c>
    </row>
    <row r="70" spans="4:7">
      <c r="D70" t="str">
        <v>Justin Woodenpond</v>
      </c>
      <c r="E70" t="str">
        <v>Chicago</v>
      </c>
      <c r="F70" t="str">
        <v>$300</v>
      </c>
      <c r="G70" t="str">
        <v>TBA on 22 Feb (2026)</v>
      </c>
    </row>
    <row r="71" spans="4:7">
      <c r="D71" t="str">
        <v>Billie Eyelash</v>
      </c>
      <c r="E71" t="str">
        <v>London</v>
      </c>
      <c r="F71" t="str">
        <v>$400</v>
      </c>
      <c r="G71" t="str">
        <v>3 Hour performance, begins at 8PM on 8 Oct (2026)</v>
      </c>
    </row>
    <row r="72" spans="4:7">
      <c r="D72" t="str">
        <v>Taylor Swiftly</v>
      </c>
      <c r="E72" t="str">
        <v>London</v>
      </c>
      <c r="F72" t="str">
        <v>$100</v>
      </c>
      <c r="G72" t="str">
        <v>Show starts at 7PM on 23 Oct (2026)</v>
      </c>
    </row>
    <row r="73" spans="4:7">
      <c r="D73" t="str">
        <v>Jonas Blizzards</v>
      </c>
      <c r="E73" t="str">
        <v>Chicago</v>
      </c>
      <c r="F73" t="str">
        <v>$200</v>
      </c>
      <c r="G73" t="str">
        <v>9PM Start on 5 Oct (2025)</v>
      </c>
    </row>
    <row r="74" spans="4:7">
      <c r="D74" t="str">
        <v>Ariana Venti</v>
      </c>
      <c r="E74" t="str">
        <v>Las Vegas</v>
      </c>
      <c r="F74" t="str">
        <v>£300</v>
      </c>
      <c r="G74" t="str">
        <v>4 Hour show starting at 8PM on 3 Jun (2026)</v>
      </c>
    </row>
    <row r="75" spans="4:7">
      <c r="D75" t="str">
        <v>Khalid Kale</v>
      </c>
      <c r="E75" t="str">
        <v>Sydney</v>
      </c>
      <c r="F75" t="str">
        <v>£500</v>
      </c>
      <c r="G75" t="str">
        <v>4 Hour show starting at 10PM on 23-Sept-2025</v>
      </c>
    </row>
    <row r="76" spans="4:7">
      <c r="D76" t="str">
        <v>Billie Eyelash</v>
      </c>
      <c r="E76" t="str">
        <v>Chicago</v>
      </c>
      <c r="F76" t="str">
        <v>300</v>
      </c>
      <c r="G76" t="str">
        <v>10PM Start</v>
      </c>
    </row>
    <row r="77" spans="4:7">
      <c r="D77" t="str">
        <v xml:space="preserve">Drake Mallard </v>
      </c>
      <c r="E77" t="str">
        <v>Las Vegas</v>
      </c>
      <c r="F77" t="str">
        <v>$200</v>
      </c>
      <c r="G77" t="str">
        <v>3 Hour performance, begins at 6PM on 7-May-2026</v>
      </c>
    </row>
    <row r="78" spans="4:7">
      <c r="D78" t="str">
        <v>Marooned 5</v>
      </c>
      <c r="E78" t="str">
        <v>New York</v>
      </c>
      <c r="F78" t="str">
        <v>300</v>
      </c>
      <c r="G78" t="str">
        <v>TBA on 11-May-2026</v>
      </c>
    </row>
    <row r="79" spans="4:7">
      <c r="D79" t="str">
        <v>Taylor Swiftly</v>
      </c>
      <c r="E79" t="str">
        <v>Vegas</v>
      </c>
      <c r="F79" t="str">
        <v>$500</v>
      </c>
      <c r="G79" t="str">
        <v>4 Hour show starting at 9PM</v>
      </c>
    </row>
    <row r="80" spans="4:7">
      <c r="D80" t="str">
        <v>Alicia Keys to the City</v>
      </c>
      <c r="E80" t="str">
        <v>Mumbai</v>
      </c>
      <c r="F80" t="str">
        <v>$400</v>
      </c>
      <c r="G80" t="str">
        <v>Event begins at 8PM</v>
      </c>
    </row>
    <row r="81" spans="4:7">
      <c r="D81" t="str">
        <v>Katy Ferry</v>
      </c>
      <c r="E81" t="str">
        <v>Bombay</v>
      </c>
      <c r="F81" t="str">
        <v>$500</v>
      </c>
      <c r="G81" t="str">
        <v>3 Hour performance, begins at 7PM on 5 Jan (2026)</v>
      </c>
    </row>
    <row r="82" spans="4:7">
      <c r="D82" t="str">
        <v>Lizzoard</v>
      </c>
      <c r="E82" t="str">
        <v>New York</v>
      </c>
      <c r="F82" t="str">
        <v>$300</v>
      </c>
      <c r="G82" t="str">
        <v>TBA</v>
      </c>
    </row>
    <row r="83" spans="4:7">
      <c r="D83" t="str">
        <v>Jonas Blizzards</v>
      </c>
      <c r="E83" t="str">
        <v>Bombay</v>
      </c>
      <c r="F83" t="str">
        <v>$200</v>
      </c>
      <c r="G83" t="str">
        <v>Show starts at 5PM on 5 Jan (2026)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C53B-3D4B-45D6-8365-478E324E3DDE}">
  <dimension ref="A1:P172"/>
  <sheetViews>
    <sheetView topLeftCell="C1" workbookViewId="0">
      <selection activeCell="G10" sqref="G10"/>
    </sheetView>
  </sheetViews>
  <sheetFormatPr defaultRowHeight="14.45"/>
  <cols>
    <col min="1" max="1" width="88.140625" customWidth="1"/>
    <col min="3" max="3" width="20.7109375" bestFit="1" customWidth="1"/>
    <col min="5" max="5" width="11.5703125" customWidth="1"/>
    <col min="6" max="6" width="39.5703125" customWidth="1"/>
    <col min="8" max="8" width="20.7109375" bestFit="1" customWidth="1"/>
    <col min="10" max="10" width="17.140625" style="28" customWidth="1"/>
    <col min="11" max="11" width="38.5703125" customWidth="1"/>
    <col min="12" max="12" width="14.140625" customWidth="1"/>
    <col min="13" max="13" width="15.5703125" style="29" customWidth="1"/>
    <col min="14" max="14" width="16.85546875" style="28" bestFit="1" customWidth="1"/>
    <col min="16" max="16" width="22.140625" customWidth="1"/>
  </cols>
  <sheetData>
    <row r="1" spans="1:16">
      <c r="C1" s="33" t="s">
        <v>237</v>
      </c>
      <c r="D1" s="33"/>
      <c r="E1" s="33"/>
      <c r="F1" s="33"/>
      <c r="H1" s="32" t="s">
        <v>238</v>
      </c>
      <c r="I1" s="32"/>
      <c r="J1" s="32"/>
      <c r="K1" s="32"/>
      <c r="L1" s="32"/>
      <c r="M1" s="32"/>
      <c r="N1" s="32"/>
    </row>
    <row r="2" spans="1:16">
      <c r="A2" s="11" t="s">
        <v>239</v>
      </c>
      <c r="C2" s="17" t="str" cm="1">
        <f t="array" ref="C2:F172">_xlfn.VSTACK(raw_data!B5:E95,_xlfn.ANCHORARRAY(side_wrapcol!D4))</f>
        <v>Person</v>
      </c>
      <c r="D2" s="18" t="str">
        <v>City</v>
      </c>
      <c r="E2" s="18" t="str">
        <v>Ticket Price</v>
      </c>
      <c r="F2" s="19" t="str">
        <v>Event Detail</v>
      </c>
      <c r="H2" s="25" t="s">
        <v>17</v>
      </c>
      <c r="I2" s="18" t="s">
        <v>18</v>
      </c>
      <c r="J2" s="18" t="s">
        <v>19</v>
      </c>
      <c r="K2" s="18" t="s">
        <v>20</v>
      </c>
      <c r="L2" s="18" t="s">
        <v>240</v>
      </c>
      <c r="M2" s="18" t="s">
        <v>240</v>
      </c>
      <c r="N2" s="19" t="s">
        <v>241</v>
      </c>
    </row>
    <row r="3" spans="1:16">
      <c r="C3" s="20" t="str">
        <v xml:space="preserve"> Post Lemon </v>
      </c>
      <c r="D3" t="str">
        <v>Chicago</v>
      </c>
      <c r="E3" t="str">
        <v>$500</v>
      </c>
      <c r="F3" s="21" t="str">
        <v>TBA on 14 Aug (2026)</v>
      </c>
      <c r="G3" t="str">
        <f>RIGHT(E3,LEN(E3)-1)</f>
        <v>500</v>
      </c>
      <c r="H3" s="20" t="str" cm="1">
        <f t="array" ref="H3:H172">TRIM(_xlfn.CHOOSECOLS(C3:F172,1))</f>
        <v>Post Lemon</v>
      </c>
      <c r="I3" t="str" cm="1">
        <f t="array" ref="I3:I172">_xlfn.XLOOKUP(_xlfn.CHOOSECOLS(C3:F172,2),_xlfn.ANCHORARRAY(side_lookupform!B3),side_lookupform!C3:C16)</f>
        <v>Chicago</v>
      </c>
      <c r="J3" s="28" t="str" cm="1">
        <f t="array" ref="J3:J172">_xlfn.LET(_xlpm.tp,_xlfn.CHOOSECOLS(C3:F172,3), IF(_xlpm.tp=0,"TBA",_xlpm.tp))</f>
        <v>$500</v>
      </c>
      <c r="K3" t="str" cm="1">
        <f t="array" ref="K3:K172">_xlfn.CHOOSECOLS(C3:F172,4)</f>
        <v>TBA on 14 Aug (2026)</v>
      </c>
      <c r="L3" t="str" cm="1">
        <f t="array" ref="L3:L172">IFERROR(_xlfn.TEXTAFTER(_xlfn.ANCHORARRAY(K3),"on"),"TBA")</f>
        <v xml:space="preserve"> 14 Aug (2026)</v>
      </c>
      <c r="M3" s="29" cm="1">
        <f t="array" ref="M3:M172">IF(_xlfn.ANCHORARRAY(L3)="TBA","",IFERROR(DATEVALUE(_xlfn.ANCHORARRAY(L3)),DATEVALUE(SUBSTITUTE(SUBSTITUTE(_xlfn.ANCHORARRAY(L3),"(","-"),")",""))))</f>
        <v>46248</v>
      </c>
      <c r="N3" s="26" t="str" cm="1">
        <f t="array" ref="N3:N172">IFERROR(_xlfn.REGEXEXTRACT(_xlfn.ANCHORARRAY(K3),"\d+(PM|AM)"),"TBA")</f>
        <v>TBA</v>
      </c>
    </row>
    <row r="4" spans="1:16">
      <c r="A4" s="13" t="s">
        <v>242</v>
      </c>
      <c r="C4" s="20" t="str">
        <v>Jonas Blizzards</v>
      </c>
      <c r="D4" t="str">
        <v>Las Vegas</v>
      </c>
      <c r="E4" t="str">
        <v>£600</v>
      </c>
      <c r="F4" s="21" t="str">
        <v>10PM Start</v>
      </c>
      <c r="H4" s="20" t="str">
        <v>Jonas Blizzards</v>
      </c>
      <c r="I4" t="str">
        <v>Las Vegas</v>
      </c>
      <c r="J4" s="28" t="str">
        <v>£600</v>
      </c>
      <c r="K4" t="str">
        <v>10PM Start</v>
      </c>
      <c r="L4" t="str">
        <v>TBA</v>
      </c>
      <c r="M4" s="29" t="str">
        <v/>
      </c>
      <c r="N4" s="26" t="str">
        <v>10PM</v>
      </c>
    </row>
    <row r="5" spans="1:16">
      <c r="A5" s="12" t="str">
        <f ca="1">_xlfn.FORMULATEXT(C2)</f>
        <v>=VSTACK(raw_data!B5:E95,side_wrapcol!D4#)</v>
      </c>
      <c r="C5" s="20" t="str">
        <v>Shawn Mender</v>
      </c>
      <c r="D5" t="str">
        <v>Sin city</v>
      </c>
      <c r="E5" t="str">
        <v>$200</v>
      </c>
      <c r="F5" s="21" t="str">
        <v>Event begins at 8PM on 11 Nov (2026)</v>
      </c>
      <c r="H5" s="20" t="str">
        <v>Shawn Mender</v>
      </c>
      <c r="I5" t="str">
        <v>Las Vegas</v>
      </c>
      <c r="J5" s="28" t="str">
        <v>$200</v>
      </c>
      <c r="K5" t="str">
        <v>Event begins at 8PM on 11 Nov (2026)</v>
      </c>
      <c r="L5" t="str">
        <v xml:space="preserve"> 11 Nov (2026)</v>
      </c>
      <c r="M5" s="29">
        <v>46337</v>
      </c>
      <c r="N5" s="26" t="str">
        <v>8PM</v>
      </c>
    </row>
    <row r="6" spans="1:16">
      <c r="C6" s="20" t="str">
        <v xml:space="preserve">Ellie Goldfish </v>
      </c>
      <c r="D6" t="str">
        <v>Bombay</v>
      </c>
      <c r="E6" t="str">
        <v>$400</v>
      </c>
      <c r="F6" s="21" t="str">
        <v>6PM Start on 27-Sept-2025</v>
      </c>
      <c r="H6" s="20" t="str">
        <v>Ellie Goldfish</v>
      </c>
      <c r="I6" t="str">
        <v>Mumbai</v>
      </c>
      <c r="J6" s="28" t="str">
        <v>$400</v>
      </c>
      <c r="K6" t="str">
        <v>6PM Start on 27-Sept-2025</v>
      </c>
      <c r="L6" t="str">
        <v xml:space="preserve"> 27-Sept-2025</v>
      </c>
      <c r="M6" s="29">
        <v>45927</v>
      </c>
      <c r="N6" s="26" t="str">
        <v>6PM</v>
      </c>
    </row>
    <row r="7" spans="1:16">
      <c r="A7" s="13" t="s">
        <v>243</v>
      </c>
      <c r="C7" s="20" t="str">
        <v xml:space="preserve">Khalid Kale </v>
      </c>
      <c r="D7" t="str">
        <v>Sydney</v>
      </c>
      <c r="E7" t="str">
        <v>$600</v>
      </c>
      <c r="F7" s="21" t="str">
        <v>Event begins at 10PM</v>
      </c>
      <c r="H7" s="20" t="str">
        <v>Khalid Kale</v>
      </c>
      <c r="I7" t="str">
        <v>Sydney</v>
      </c>
      <c r="J7" s="28" t="str">
        <v>$600</v>
      </c>
      <c r="K7" t="str">
        <v>Event begins at 10PM</v>
      </c>
      <c r="L7" t="str">
        <v>TBA</v>
      </c>
      <c r="M7" s="29" t="str">
        <v/>
      </c>
      <c r="N7" s="26" t="str">
        <v>10PM</v>
      </c>
    </row>
    <row r="8" spans="1:16">
      <c r="A8" s="12" t="str">
        <f ca="1">_xlfn.FORMULATEXT(H3)</f>
        <v>=TRIM(CHOOSECOLS(C3:F172,1))</v>
      </c>
      <c r="C8" s="20" t="str">
        <v>Lizzoard</v>
      </c>
      <c r="D8" t="str">
        <v>New York</v>
      </c>
      <c r="E8" t="str">
        <v>£300</v>
      </c>
      <c r="F8" s="21" t="str">
        <v>4 Hour show starting at 9PM</v>
      </c>
      <c r="H8" s="20" t="str">
        <v>Lizzoard</v>
      </c>
      <c r="I8" t="str">
        <v>New York</v>
      </c>
      <c r="J8" s="28" t="str">
        <v>£300</v>
      </c>
      <c r="K8" t="str">
        <v>4 Hour show starting at 9PM</v>
      </c>
      <c r="L8" t="str">
        <v>TBA</v>
      </c>
      <c r="M8" s="29" t="str">
        <v/>
      </c>
      <c r="N8" s="26" t="str">
        <v>9PM</v>
      </c>
      <c r="P8" t="s">
        <v>244</v>
      </c>
    </row>
    <row r="9" spans="1:16">
      <c r="A9" t="s">
        <v>245</v>
      </c>
      <c r="C9" s="20" t="str">
        <v xml:space="preserve">Jonas Blizzards </v>
      </c>
      <c r="D9" t="str">
        <v>Big Apple</v>
      </c>
      <c r="E9" t="str">
        <v>£600</v>
      </c>
      <c r="F9" s="21" t="str">
        <v>TBA on 1-Apr-2026</v>
      </c>
      <c r="H9" s="20" t="str">
        <v>Jonas Blizzards</v>
      </c>
      <c r="I9" t="str">
        <v>New York</v>
      </c>
      <c r="J9" s="28" t="str">
        <v>£600</v>
      </c>
      <c r="K9" t="str">
        <v>TBA on 1-Apr-2026</v>
      </c>
      <c r="L9" t="str">
        <v xml:space="preserve"> 1-Apr-2026</v>
      </c>
      <c r="M9" s="29">
        <v>46113</v>
      </c>
      <c r="N9" s="26" t="str">
        <v>TBA</v>
      </c>
      <c r="P9" t="s">
        <v>246</v>
      </c>
    </row>
    <row r="10" spans="1:16">
      <c r="A10" t="s">
        <v>247</v>
      </c>
      <c r="C10" s="20" t="str">
        <v>Katy Ferry</v>
      </c>
      <c r="D10" t="str">
        <v>New York</v>
      </c>
      <c r="E10" t="str">
        <v>$500</v>
      </c>
      <c r="F10" s="21" t="str">
        <v>4 Hour show starting at 9PM on 7 Aug (2025)</v>
      </c>
      <c r="H10" s="20" t="str">
        <v>Katy Ferry</v>
      </c>
      <c r="I10" t="str">
        <v>New York</v>
      </c>
      <c r="J10" s="28" t="str">
        <v>$500</v>
      </c>
      <c r="K10" t="str">
        <v>4 Hour show starting at 9PM on 7 Aug (2025)</v>
      </c>
      <c r="L10" t="str">
        <v xml:space="preserve"> 7 Aug (2025)</v>
      </c>
      <c r="M10" s="29">
        <v>45876</v>
      </c>
      <c r="N10" s="26" t="str">
        <v>9PM</v>
      </c>
      <c r="P10" t="s">
        <v>248</v>
      </c>
    </row>
    <row r="11" spans="1:16">
      <c r="C11" s="20" t="str">
        <v>Bruno Mars Bar</v>
      </c>
      <c r="D11" t="str">
        <v>Sydney</v>
      </c>
      <c r="E11" t="str">
        <v>$500</v>
      </c>
      <c r="F11" s="21" t="str">
        <v>3 Hour performance, begins at 6PM</v>
      </c>
      <c r="H11" s="20" t="str">
        <v>Bruno Mars Bar</v>
      </c>
      <c r="I11" t="str">
        <v>Sydney</v>
      </c>
      <c r="J11" s="28" t="str">
        <v>$500</v>
      </c>
      <c r="K11" t="str">
        <v>3 Hour performance, begins at 6PM</v>
      </c>
      <c r="L11" t="str">
        <v>TBA</v>
      </c>
      <c r="M11" s="29" t="str">
        <v/>
      </c>
      <c r="N11" s="26" t="str">
        <v>6PM</v>
      </c>
      <c r="P11" t="s">
        <v>249</v>
      </c>
    </row>
    <row r="12" spans="1:16">
      <c r="A12" s="13" t="s">
        <v>250</v>
      </c>
      <c r="C12" s="20" t="str">
        <v>Harry Styles of Hair</v>
      </c>
      <c r="D12" t="str">
        <v>Mumbai</v>
      </c>
      <c r="E12">
        <v>0</v>
      </c>
      <c r="F12" s="21" t="str">
        <v>TBA on 7-Nov-2026</v>
      </c>
      <c r="H12" s="20" t="str">
        <v>Harry Styles of Hair</v>
      </c>
      <c r="I12" t="str">
        <v>Mumbai</v>
      </c>
      <c r="J12" s="28" t="str">
        <v>TBA</v>
      </c>
      <c r="K12" t="str">
        <v>TBA on 7-Nov-2026</v>
      </c>
      <c r="L12" t="str">
        <v xml:space="preserve"> 7-Nov-2026</v>
      </c>
      <c r="M12" s="29">
        <v>46333</v>
      </c>
      <c r="N12" s="26" t="str">
        <v>TBA</v>
      </c>
      <c r="P12" t="s">
        <v>251</v>
      </c>
    </row>
    <row r="13" spans="1:16">
      <c r="A13" s="12" t="str">
        <f ca="1">_xlfn.FORMULATEXT(I3)</f>
        <v>=XLOOKUP(CHOOSECOLS(C3:F172,2),side_lookupform!B3#,side_lookupform!C3:C16)</v>
      </c>
      <c r="C13" s="20" t="str">
        <v>Ariana Venti</v>
      </c>
      <c r="D13" t="str">
        <v>London</v>
      </c>
      <c r="E13" t="str">
        <v>100</v>
      </c>
      <c r="F13" s="21" t="str">
        <v>TBA</v>
      </c>
      <c r="H13" s="20" t="str">
        <v>Ariana Venti</v>
      </c>
      <c r="I13" t="str">
        <v>London</v>
      </c>
      <c r="J13" s="28" t="str">
        <v>100</v>
      </c>
      <c r="K13" t="str">
        <v>TBA</v>
      </c>
      <c r="L13" t="str">
        <v>TBA</v>
      </c>
      <c r="M13" s="29" t="str">
        <v/>
      </c>
      <c r="N13" s="26" t="str">
        <v>TBA</v>
      </c>
      <c r="P13" t="s">
        <v>252</v>
      </c>
    </row>
    <row r="14" spans="1:16">
      <c r="A14" t="s">
        <v>253</v>
      </c>
      <c r="C14" s="20" t="str">
        <v>Jonas Blizzards</v>
      </c>
      <c r="D14" t="str">
        <v>Bombay</v>
      </c>
      <c r="E14" t="str">
        <v>£100</v>
      </c>
      <c r="F14" s="21" t="str">
        <v>Event begins at 7PM on 28-Dec-2026</v>
      </c>
      <c r="H14" s="20" t="str">
        <v>Jonas Blizzards</v>
      </c>
      <c r="I14" t="str">
        <v>Mumbai</v>
      </c>
      <c r="J14" s="28" t="str">
        <v>£100</v>
      </c>
      <c r="K14" t="str">
        <v>Event begins at 7PM on 28-Dec-2026</v>
      </c>
      <c r="L14" t="str">
        <v xml:space="preserve"> 28-Dec-2026</v>
      </c>
      <c r="M14" s="29">
        <v>46384</v>
      </c>
      <c r="N14" s="26" t="str">
        <v>7PM</v>
      </c>
      <c r="P14" t="s">
        <v>254</v>
      </c>
    </row>
    <row r="15" spans="1:16">
      <c r="C15" s="20" t="str">
        <v xml:space="preserve">Justin Woodenpond </v>
      </c>
      <c r="D15" t="str">
        <v>Bombay</v>
      </c>
      <c r="E15" t="str">
        <v>£600</v>
      </c>
      <c r="F15" s="21" t="str">
        <v>Show starts at 9PM on 9-Jun-2026</v>
      </c>
      <c r="H15" s="20" t="str">
        <v>Justin Woodenpond</v>
      </c>
      <c r="I15" t="str">
        <v>Mumbai</v>
      </c>
      <c r="J15" s="28" t="str">
        <v>£600</v>
      </c>
      <c r="K15" t="str">
        <v>Show starts at 9PM on 9-Jun-2026</v>
      </c>
      <c r="L15" t="str">
        <v xml:space="preserve"> 9-Jun-2026</v>
      </c>
      <c r="M15" s="29">
        <v>46182</v>
      </c>
      <c r="N15" s="26" t="str">
        <v>9PM</v>
      </c>
      <c r="P15" t="s">
        <v>255</v>
      </c>
    </row>
    <row r="16" spans="1:16">
      <c r="A16" s="13" t="s">
        <v>19</v>
      </c>
      <c r="C16" s="20" t="str">
        <v>The Weekend Forecast</v>
      </c>
      <c r="D16" t="str">
        <v>Bombay</v>
      </c>
      <c r="E16" t="str">
        <v>$600</v>
      </c>
      <c r="F16" s="21" t="str">
        <v>Show starts at 5PM on 23 Oct (2025)</v>
      </c>
      <c r="H16" s="20" t="str">
        <v>The Weekend Forecast</v>
      </c>
      <c r="I16" t="str">
        <v>Mumbai</v>
      </c>
      <c r="J16" s="28" t="str">
        <v>$600</v>
      </c>
      <c r="K16" t="str">
        <v>Show starts at 5PM on 23 Oct (2025)</v>
      </c>
      <c r="L16" t="str">
        <v xml:space="preserve"> 23 Oct (2025)</v>
      </c>
      <c r="M16" s="29">
        <v>45953</v>
      </c>
      <c r="N16" s="26" t="str">
        <v>5PM</v>
      </c>
      <c r="P16" t="s">
        <v>256</v>
      </c>
    </row>
    <row r="17" spans="1:14">
      <c r="A17" s="12" t="str">
        <f ca="1">_xlfn.FORMULATEXT(J3)</f>
        <v>=LET(tp,CHOOSECOLS(C3:F172,3), IF(tp=0,"TBA",tp))</v>
      </c>
      <c r="C17" s="20" t="str">
        <v>Snoop Corgi</v>
      </c>
      <c r="D17" t="str">
        <v>Bombay</v>
      </c>
      <c r="E17" t="str">
        <v>$200</v>
      </c>
      <c r="F17" s="21" t="str">
        <v>TBA on 14-Jul-2026</v>
      </c>
      <c r="H17" s="20" t="str">
        <v>Snoop Corgi</v>
      </c>
      <c r="I17" t="str">
        <v>Mumbai</v>
      </c>
      <c r="J17" s="28" t="str">
        <v>$200</v>
      </c>
      <c r="K17" t="str">
        <v>TBA on 14-Jul-2026</v>
      </c>
      <c r="L17" t="str">
        <v xml:space="preserve"> 14-Jul-2026</v>
      </c>
      <c r="M17" s="29">
        <v>46217</v>
      </c>
      <c r="N17" s="26" t="str">
        <v>TBA</v>
      </c>
    </row>
    <row r="18" spans="1:14">
      <c r="A18" t="s">
        <v>257</v>
      </c>
      <c r="C18" s="20" t="str">
        <v>Taylor Swiftly</v>
      </c>
      <c r="D18" t="str">
        <v>Las Vegas</v>
      </c>
      <c r="E18" t="str">
        <v>£200</v>
      </c>
      <c r="F18" s="21" t="str">
        <v>Show starts at 6PM</v>
      </c>
      <c r="H18" s="20" t="str">
        <v>Taylor Swiftly</v>
      </c>
      <c r="I18" t="str">
        <v>Las Vegas</v>
      </c>
      <c r="J18" s="28" t="str">
        <v>£200</v>
      </c>
      <c r="K18" t="str">
        <v>Show starts at 6PM</v>
      </c>
      <c r="L18" t="str">
        <v>TBA</v>
      </c>
      <c r="M18" s="29" t="str">
        <v/>
      </c>
      <c r="N18" s="26" t="str">
        <v>6PM</v>
      </c>
    </row>
    <row r="19" spans="1:14">
      <c r="C19" s="20" t="str">
        <v>Cardi Bee</v>
      </c>
      <c r="D19" t="str">
        <v>Sydney</v>
      </c>
      <c r="E19" t="str">
        <v>$300</v>
      </c>
      <c r="F19" s="21" t="str">
        <v>6PM Start on 5 Dec (2025)</v>
      </c>
      <c r="H19" s="20" t="str">
        <v>Cardi Bee</v>
      </c>
      <c r="I19" t="str">
        <v>Sydney</v>
      </c>
      <c r="J19" s="28" t="str">
        <v>$300</v>
      </c>
      <c r="K19" t="str">
        <v>6PM Start on 5 Dec (2025)</v>
      </c>
      <c r="L19" t="str">
        <v xml:space="preserve"> 5 Dec (2025)</v>
      </c>
      <c r="M19" s="29">
        <v>45996</v>
      </c>
      <c r="N19" s="26" t="str">
        <v>6PM</v>
      </c>
    </row>
    <row r="20" spans="1:14">
      <c r="A20" s="13" t="s">
        <v>258</v>
      </c>
      <c r="C20" s="20" t="str">
        <v xml:space="preserve"> Lizzoard </v>
      </c>
      <c r="D20" t="str">
        <v>Sydney</v>
      </c>
      <c r="E20" t="str">
        <v>$100</v>
      </c>
      <c r="F20" s="21" t="str">
        <v>4 Hour show starting at 10PM</v>
      </c>
      <c r="H20" s="20" t="str">
        <v>Lizzoard</v>
      </c>
      <c r="I20" t="str">
        <v>Sydney</v>
      </c>
      <c r="J20" s="28" t="str">
        <v>$100</v>
      </c>
      <c r="K20" t="str">
        <v>4 Hour show starting at 10PM</v>
      </c>
      <c r="L20" t="str">
        <v>TBA</v>
      </c>
      <c r="M20" s="29" t="str">
        <v/>
      </c>
      <c r="N20" s="26" t="str">
        <v>10PM</v>
      </c>
    </row>
    <row r="21" spans="1:14">
      <c r="A21" s="12" t="str">
        <f ca="1">_xlfn.FORMULATEXT(L3)</f>
        <v>=IFERROR(TEXTAFTER(K3#,"on"),"TBA")</v>
      </c>
      <c r="C21" s="20" t="str">
        <v>Sam Smithy</v>
      </c>
      <c r="D21" t="str">
        <v>Sin city</v>
      </c>
      <c r="E21" t="str">
        <v>$100</v>
      </c>
      <c r="F21" s="21" t="str">
        <v>4 Hour show starting at 6PM</v>
      </c>
      <c r="H21" s="20" t="str">
        <v>Sam Smithy</v>
      </c>
      <c r="I21" t="str">
        <v>Las Vegas</v>
      </c>
      <c r="J21" s="28" t="str">
        <v>$100</v>
      </c>
      <c r="K21" t="str">
        <v>4 Hour show starting at 6PM</v>
      </c>
      <c r="L21" t="str">
        <v>TBA</v>
      </c>
      <c r="M21" s="29" t="str">
        <v/>
      </c>
      <c r="N21" s="26" t="str">
        <v>6PM</v>
      </c>
    </row>
    <row r="22" spans="1:14">
      <c r="C22" s="20" t="str">
        <v>Lizzoard</v>
      </c>
      <c r="D22" t="str">
        <v>London</v>
      </c>
      <c r="E22" t="str">
        <v>300</v>
      </c>
      <c r="F22" s="21" t="str">
        <v>7PM Start on 23 Jan (2026)</v>
      </c>
      <c r="H22" s="20" t="str">
        <v>Lizzoard</v>
      </c>
      <c r="I22" t="str">
        <v>London</v>
      </c>
      <c r="J22" s="28" t="str">
        <v>300</v>
      </c>
      <c r="K22" t="str">
        <v>7PM Start on 23 Jan (2026)</v>
      </c>
      <c r="L22" t="str">
        <v xml:space="preserve"> 23 Jan (2026)</v>
      </c>
      <c r="M22" s="29">
        <v>46045</v>
      </c>
      <c r="N22" s="26" t="str">
        <v>7PM</v>
      </c>
    </row>
    <row r="23" spans="1:14">
      <c r="A23" s="13" t="s">
        <v>259</v>
      </c>
      <c r="C23" s="20" t="str">
        <v>Katy Ferry</v>
      </c>
      <c r="D23">
        <v>0</v>
      </c>
      <c r="E23" t="str">
        <v>$400</v>
      </c>
      <c r="F23" s="21" t="str">
        <v>4 Hour show starting at 5PM</v>
      </c>
      <c r="H23" s="20" t="str">
        <v>Katy Ferry</v>
      </c>
      <c r="I23" t="str">
        <v>Unknown</v>
      </c>
      <c r="J23" s="28" t="str">
        <v>$400</v>
      </c>
      <c r="K23" t="str">
        <v>4 Hour show starting at 5PM</v>
      </c>
      <c r="L23" t="str">
        <v>TBA</v>
      </c>
      <c r="M23" s="29" t="str">
        <v/>
      </c>
      <c r="N23" s="26" t="str">
        <v>5PM</v>
      </c>
    </row>
    <row r="24" spans="1:14">
      <c r="A24" s="12" t="str">
        <f ca="1">_xlfn.FORMULATEXT(M3)</f>
        <v>=IF(L3#="TBA","",IFERROR(DATEVALUE(L3#),DATEVALUE(SUBSTITUTE(SUBSTITUTE(L3#,"(","-"),")",""))))</v>
      </c>
      <c r="C24" s="20" t="str">
        <v xml:space="preserve"> Jonas Blizzards </v>
      </c>
      <c r="D24" t="str">
        <v>Las Vegas</v>
      </c>
      <c r="E24" t="str">
        <v>$400</v>
      </c>
      <c r="F24" s="21" t="str">
        <v>TBA on 8 Jun (2026)</v>
      </c>
      <c r="H24" s="20" t="str">
        <v>Jonas Blizzards</v>
      </c>
      <c r="I24" t="str">
        <v>Las Vegas</v>
      </c>
      <c r="J24" s="28" t="str">
        <v>$400</v>
      </c>
      <c r="K24" t="str">
        <v>TBA on 8 Jun (2026)</v>
      </c>
      <c r="L24" t="str">
        <v xml:space="preserve"> 8 Jun (2026)</v>
      </c>
      <c r="M24" s="29">
        <v>46181</v>
      </c>
      <c r="N24" s="26" t="str">
        <v>TBA</v>
      </c>
    </row>
    <row r="25" spans="1:14">
      <c r="C25" s="20" t="str">
        <v>Snoop Corgi</v>
      </c>
      <c r="D25" t="str">
        <v>Las Vegas</v>
      </c>
      <c r="E25" t="str">
        <v>$600</v>
      </c>
      <c r="F25" s="21" t="str">
        <v>Show starts at 7PM</v>
      </c>
      <c r="H25" s="20" t="str">
        <v>Snoop Corgi</v>
      </c>
      <c r="I25" t="str">
        <v>Las Vegas</v>
      </c>
      <c r="J25" s="28" t="str">
        <v>$600</v>
      </c>
      <c r="K25" t="str">
        <v>Show starts at 7PM</v>
      </c>
      <c r="L25" t="str">
        <v>TBA</v>
      </c>
      <c r="M25" s="29" t="str">
        <v/>
      </c>
      <c r="N25" s="26" t="str">
        <v>7PM</v>
      </c>
    </row>
    <row r="26" spans="1:14">
      <c r="A26" s="13" t="s">
        <v>241</v>
      </c>
      <c r="C26" s="20" t="str">
        <v>Lizzoard</v>
      </c>
      <c r="D26" t="str">
        <v>Chicago</v>
      </c>
      <c r="E26" t="str">
        <v>$400</v>
      </c>
      <c r="F26" s="21" t="str">
        <v>TBA on 15 Nov (2026)</v>
      </c>
      <c r="H26" s="20" t="str">
        <v>Lizzoard</v>
      </c>
      <c r="I26" t="str">
        <v>Chicago</v>
      </c>
      <c r="J26" s="28" t="str">
        <v>$400</v>
      </c>
      <c r="K26" t="str">
        <v>TBA on 15 Nov (2026)</v>
      </c>
      <c r="L26" t="str">
        <v xml:space="preserve"> 15 Nov (2026)</v>
      </c>
      <c r="M26" s="29">
        <v>46341</v>
      </c>
      <c r="N26" s="26" t="str">
        <v>TBA</v>
      </c>
    </row>
    <row r="27" spans="1:14">
      <c r="A27" s="12" t="str">
        <f ca="1">_xlfn.FORMULATEXT(N3)</f>
        <v>=IFERROR(REGEXEXTRACT(K3#,"\d+(PM|AM)"),"TBA")</v>
      </c>
      <c r="C27" s="20" t="str">
        <v>Justin Woodenpond</v>
      </c>
      <c r="D27" t="str">
        <v>Mumbai</v>
      </c>
      <c r="E27" t="str">
        <v>$400</v>
      </c>
      <c r="F27" s="21" t="str">
        <v>9PM Start on 26-Apr-2026</v>
      </c>
      <c r="H27" s="20" t="str">
        <v>Justin Woodenpond</v>
      </c>
      <c r="I27" t="str">
        <v>Mumbai</v>
      </c>
      <c r="J27" s="28" t="str">
        <v>$400</v>
      </c>
      <c r="K27" t="str">
        <v>9PM Start on 26-Apr-2026</v>
      </c>
      <c r="L27" t="str">
        <v xml:space="preserve"> 26-Apr-2026</v>
      </c>
      <c r="M27" s="29">
        <v>46138</v>
      </c>
      <c r="N27" s="26" t="str">
        <v>9PM</v>
      </c>
    </row>
    <row r="28" spans="1:14">
      <c r="A28" t="s">
        <v>260</v>
      </c>
      <c r="C28" s="20" t="str">
        <v xml:space="preserve">Katy Ferry </v>
      </c>
      <c r="D28" t="str">
        <v>Bombay</v>
      </c>
      <c r="E28" t="str">
        <v>£600</v>
      </c>
      <c r="F28" s="21" t="str">
        <v>Event begins at 8PM on 15-Dec-2026</v>
      </c>
      <c r="H28" s="20" t="str">
        <v>Katy Ferry</v>
      </c>
      <c r="I28" t="str">
        <v>Mumbai</v>
      </c>
      <c r="J28" s="28" t="str">
        <v>£600</v>
      </c>
      <c r="K28" t="str">
        <v>Event begins at 8PM on 15-Dec-2026</v>
      </c>
      <c r="L28" t="str">
        <v xml:space="preserve"> 15-Dec-2026</v>
      </c>
      <c r="M28" s="29">
        <v>46371</v>
      </c>
      <c r="N28" s="26" t="str">
        <v>8PM</v>
      </c>
    </row>
    <row r="29" spans="1:14">
      <c r="A29" t="s">
        <v>261</v>
      </c>
      <c r="C29" s="20" t="str">
        <v>Drake Mallard</v>
      </c>
      <c r="D29" t="str">
        <v>Bombay</v>
      </c>
      <c r="E29" t="str">
        <v>$500</v>
      </c>
      <c r="F29" s="21" t="str">
        <v>3 Hour performance, begins at 9PM on 5 Nov (2026)</v>
      </c>
      <c r="H29" s="20" t="str">
        <v>Drake Mallard</v>
      </c>
      <c r="I29" t="str">
        <v>Mumbai</v>
      </c>
      <c r="J29" s="28" t="str">
        <v>$500</v>
      </c>
      <c r="K29" t="str">
        <v>3 Hour performance, begins at 9PM on 5 Nov (2026)</v>
      </c>
      <c r="L29" t="str">
        <v xml:space="preserve"> 5 Nov (2026)</v>
      </c>
      <c r="M29" s="29">
        <v>46331</v>
      </c>
      <c r="N29" s="26" t="str">
        <v>9PM</v>
      </c>
    </row>
    <row r="30" spans="1:14">
      <c r="C30" s="20" t="str">
        <v>Justin Woodenpond</v>
      </c>
      <c r="D30" t="str">
        <v>Las Vegas</v>
      </c>
      <c r="E30" t="str">
        <v>200</v>
      </c>
      <c r="F30" s="21" t="str">
        <v>7PM Start on 16-Oct-2025</v>
      </c>
      <c r="H30" s="20" t="str">
        <v>Justin Woodenpond</v>
      </c>
      <c r="I30" t="str">
        <v>Las Vegas</v>
      </c>
      <c r="J30" s="28" t="str">
        <v>200</v>
      </c>
      <c r="K30" t="str">
        <v>7PM Start on 16-Oct-2025</v>
      </c>
      <c r="L30" t="str">
        <v xml:space="preserve"> 16-Oct-2025</v>
      </c>
      <c r="M30" s="29">
        <v>45946</v>
      </c>
      <c r="N30" s="26" t="str">
        <v>7PM</v>
      </c>
    </row>
    <row r="31" spans="1:14">
      <c r="C31" s="20" t="str">
        <v xml:space="preserve">Alicia Keys to the City </v>
      </c>
      <c r="D31" t="str">
        <v>Sydney</v>
      </c>
      <c r="E31" t="str">
        <v>$300</v>
      </c>
      <c r="F31" s="21" t="str">
        <v>4 Hour show starting at 8PM on 21-May-2026</v>
      </c>
      <c r="H31" s="20" t="str">
        <v>Alicia Keys to the City</v>
      </c>
      <c r="I31" t="str">
        <v>Sydney</v>
      </c>
      <c r="J31" s="28" t="str">
        <v>$300</v>
      </c>
      <c r="K31" t="str">
        <v>4 Hour show starting at 8PM on 21-May-2026</v>
      </c>
      <c r="L31" t="str">
        <v xml:space="preserve"> 21-May-2026</v>
      </c>
      <c r="M31" s="29">
        <v>46163</v>
      </c>
      <c r="N31" s="26" t="str">
        <v>8PM</v>
      </c>
    </row>
    <row r="32" spans="1:14">
      <c r="C32" s="20" t="str">
        <v>Khalid Kale</v>
      </c>
      <c r="D32" t="str">
        <v>London</v>
      </c>
      <c r="E32" t="str">
        <v>$100</v>
      </c>
      <c r="F32" s="21" t="str">
        <v>4 Hour show starting at 7PM on 13-Nov-2025</v>
      </c>
      <c r="H32" s="20" t="str">
        <v>Khalid Kale</v>
      </c>
      <c r="I32" t="str">
        <v>London</v>
      </c>
      <c r="J32" s="28" t="str">
        <v>$100</v>
      </c>
      <c r="K32" t="str">
        <v>4 Hour show starting at 7PM on 13-Nov-2025</v>
      </c>
      <c r="L32" t="str">
        <v xml:space="preserve"> 13-Nov-2025</v>
      </c>
      <c r="M32" s="29">
        <v>45974</v>
      </c>
      <c r="N32" s="26" t="str">
        <v>7PM</v>
      </c>
    </row>
    <row r="33" spans="3:14">
      <c r="C33" s="20" t="str">
        <v>Snoop Corgi</v>
      </c>
      <c r="D33" t="str">
        <v>Bombay</v>
      </c>
      <c r="E33" t="str">
        <v>$300</v>
      </c>
      <c r="F33" s="21" t="str">
        <v>Event begins at 9PM</v>
      </c>
      <c r="H33" s="20" t="str">
        <v>Snoop Corgi</v>
      </c>
      <c r="I33" t="str">
        <v>Mumbai</v>
      </c>
      <c r="J33" s="28" t="str">
        <v>$300</v>
      </c>
      <c r="K33" t="str">
        <v>Event begins at 9PM</v>
      </c>
      <c r="L33" t="str">
        <v>TBA</v>
      </c>
      <c r="M33" s="29" t="str">
        <v/>
      </c>
      <c r="N33" s="26" t="str">
        <v>9PM</v>
      </c>
    </row>
    <row r="34" spans="3:14">
      <c r="C34" s="20" t="str">
        <v xml:space="preserve">Ed Shewalk </v>
      </c>
      <c r="D34" t="str">
        <v>Sydney</v>
      </c>
      <c r="E34" t="str">
        <v>$300</v>
      </c>
      <c r="F34" s="21" t="str">
        <v>3 Hour performance, begins at 9PM on 23-Jul-2026</v>
      </c>
      <c r="H34" s="20" t="str">
        <v>Ed Shewalk</v>
      </c>
      <c r="I34" t="str">
        <v>Sydney</v>
      </c>
      <c r="J34" s="28" t="str">
        <v>$300</v>
      </c>
      <c r="K34" t="str">
        <v>3 Hour performance, begins at 9PM on 23-Jul-2026</v>
      </c>
      <c r="L34" t="str">
        <v xml:space="preserve"> 23-Jul-2026</v>
      </c>
      <c r="M34" s="29">
        <v>46226</v>
      </c>
      <c r="N34" s="26" t="str">
        <v>9PM</v>
      </c>
    </row>
    <row r="35" spans="3:14">
      <c r="C35" s="20" t="str">
        <v>Shawn Mender</v>
      </c>
      <c r="D35" t="str">
        <v>Las Vegas</v>
      </c>
      <c r="E35" t="str">
        <v>$500</v>
      </c>
      <c r="F35" s="21" t="str">
        <v>10PM Start on 13-Aug-2026</v>
      </c>
      <c r="H35" s="20" t="str">
        <v>Shawn Mender</v>
      </c>
      <c r="I35" t="str">
        <v>Las Vegas</v>
      </c>
      <c r="J35" s="28" t="str">
        <v>$500</v>
      </c>
      <c r="K35" t="str">
        <v>10PM Start on 13-Aug-2026</v>
      </c>
      <c r="L35" t="str">
        <v xml:space="preserve"> 13-Aug-2026</v>
      </c>
      <c r="M35" s="29">
        <v>46247</v>
      </c>
      <c r="N35" s="26" t="str">
        <v>10PM</v>
      </c>
    </row>
    <row r="36" spans="3:14">
      <c r="C36" s="20" t="str">
        <v>Ariana Venti</v>
      </c>
      <c r="D36" t="str">
        <v>Mumbai</v>
      </c>
      <c r="E36" t="str">
        <v>$200</v>
      </c>
      <c r="F36" s="21" t="str">
        <v>9PM Start</v>
      </c>
      <c r="H36" s="20" t="str">
        <v>Ariana Venti</v>
      </c>
      <c r="I36" t="str">
        <v>Mumbai</v>
      </c>
      <c r="J36" s="28" t="str">
        <v>$200</v>
      </c>
      <c r="K36" t="str">
        <v>9PM Start</v>
      </c>
      <c r="L36" t="str">
        <v>TBA</v>
      </c>
      <c r="M36" s="29" t="str">
        <v/>
      </c>
      <c r="N36" s="26" t="str">
        <v>9PM</v>
      </c>
    </row>
    <row r="37" spans="3:14">
      <c r="C37" s="20" t="str">
        <v>Bruno Mars Bar</v>
      </c>
      <c r="D37" t="str">
        <v>Singapore</v>
      </c>
      <c r="E37" t="str">
        <v>$400</v>
      </c>
      <c r="F37" s="21" t="str">
        <v>6PM Start on 19 Nov (2026)</v>
      </c>
      <c r="H37" s="20" t="str">
        <v>Bruno Mars Bar</v>
      </c>
      <c r="I37" t="str">
        <v>Singapore</v>
      </c>
      <c r="J37" s="28" t="str">
        <v>$400</v>
      </c>
      <c r="K37" t="str">
        <v>6PM Start on 19 Nov (2026)</v>
      </c>
      <c r="L37" t="str">
        <v xml:space="preserve"> 19 Nov (2026)</v>
      </c>
      <c r="M37" s="29">
        <v>46345</v>
      </c>
      <c r="N37" s="26" t="str">
        <v>6PM</v>
      </c>
    </row>
    <row r="38" spans="3:14">
      <c r="C38" s="20" t="str">
        <v>Jonas Blizzards</v>
      </c>
      <c r="D38" t="str">
        <v>Chicago</v>
      </c>
      <c r="E38" t="str">
        <v>£300</v>
      </c>
      <c r="F38" s="21" t="str">
        <v>Show starts at 5PM on 6 May (2026)</v>
      </c>
      <c r="H38" s="20" t="str">
        <v>Jonas Blizzards</v>
      </c>
      <c r="I38" t="str">
        <v>Chicago</v>
      </c>
      <c r="J38" s="28" t="str">
        <v>£300</v>
      </c>
      <c r="K38" t="str">
        <v>Show starts at 5PM on 6 May (2026)</v>
      </c>
      <c r="L38" t="str">
        <v xml:space="preserve"> 6 May (2026)</v>
      </c>
      <c r="M38" s="29">
        <v>46148</v>
      </c>
      <c r="N38" s="26" t="str">
        <v>5PM</v>
      </c>
    </row>
    <row r="39" spans="3:14">
      <c r="C39" s="20" t="str">
        <v xml:space="preserve">Ellie Goldfish </v>
      </c>
      <c r="D39" t="str">
        <v>Sin city</v>
      </c>
      <c r="E39" t="str">
        <v>$300</v>
      </c>
      <c r="F39" s="21" t="str">
        <v>3 Hour performance, begins at 8PM on 28-Jul-2025</v>
      </c>
      <c r="H39" s="20" t="str">
        <v>Ellie Goldfish</v>
      </c>
      <c r="I39" t="str">
        <v>Las Vegas</v>
      </c>
      <c r="J39" s="28" t="str">
        <v>$300</v>
      </c>
      <c r="K39" t="str">
        <v>3 Hour performance, begins at 8PM on 28-Jul-2025</v>
      </c>
      <c r="L39" t="str">
        <v xml:space="preserve"> 28-Jul-2025</v>
      </c>
      <c r="M39" s="29">
        <v>45866</v>
      </c>
      <c r="N39" s="26" t="str">
        <v>8PM</v>
      </c>
    </row>
    <row r="40" spans="3:14">
      <c r="C40" s="20" t="str">
        <v>Selena Go-Go</v>
      </c>
      <c r="D40" t="str">
        <v>New York</v>
      </c>
      <c r="E40" t="str">
        <v>$100</v>
      </c>
      <c r="F40" s="21" t="str">
        <v>4 Hour show starting at 9PM on 25 Aug (2026)</v>
      </c>
      <c r="H40" s="20" t="str">
        <v>Selena Go-Go</v>
      </c>
      <c r="I40" t="str">
        <v>New York</v>
      </c>
      <c r="J40" s="28" t="str">
        <v>$100</v>
      </c>
      <c r="K40" t="str">
        <v>4 Hour show starting at 9PM on 25 Aug (2026)</v>
      </c>
      <c r="L40" t="str">
        <v xml:space="preserve"> 25 Aug (2026)</v>
      </c>
      <c r="M40" s="29">
        <v>46259</v>
      </c>
      <c r="N40" s="26" t="str">
        <v>9PM</v>
      </c>
    </row>
    <row r="41" spans="3:14">
      <c r="C41" s="20" t="str">
        <v>The Weekend Forecast</v>
      </c>
      <c r="D41" t="str">
        <v>Bombay</v>
      </c>
      <c r="E41" t="str">
        <v>$400</v>
      </c>
      <c r="F41" s="21" t="str">
        <v>TBA on 9 Oct (2025)</v>
      </c>
      <c r="H41" s="20" t="str">
        <v>The Weekend Forecast</v>
      </c>
      <c r="I41" t="str">
        <v>Mumbai</v>
      </c>
      <c r="J41" s="28" t="str">
        <v>$400</v>
      </c>
      <c r="K41" t="str">
        <v>TBA on 9 Oct (2025)</v>
      </c>
      <c r="L41" t="str">
        <v xml:space="preserve"> 9 Oct (2025)</v>
      </c>
      <c r="M41" s="29">
        <v>45939</v>
      </c>
      <c r="N41" s="26" t="str">
        <v>TBA</v>
      </c>
    </row>
    <row r="42" spans="3:14">
      <c r="C42" s="20" t="str">
        <v>Justin Woodenpond</v>
      </c>
      <c r="D42" t="str">
        <v>Bombay</v>
      </c>
      <c r="E42" t="str">
        <v>$600</v>
      </c>
      <c r="F42" s="21" t="str">
        <v>4 Hour show starting at 10PM on 19 Sept (2025)</v>
      </c>
      <c r="H42" s="20" t="str">
        <v>Justin Woodenpond</v>
      </c>
      <c r="I42" t="str">
        <v>Mumbai</v>
      </c>
      <c r="J42" s="28" t="str">
        <v>$600</v>
      </c>
      <c r="K42" t="str">
        <v>4 Hour show starting at 10PM on 19 Sept (2025)</v>
      </c>
      <c r="L42" t="str">
        <v xml:space="preserve"> 19 Sept (2025)</v>
      </c>
      <c r="M42" s="29">
        <v>45919</v>
      </c>
      <c r="N42" s="26" t="str">
        <v>10PM</v>
      </c>
    </row>
    <row r="43" spans="3:14">
      <c r="C43" s="20" t="str">
        <v>Cardi Bee</v>
      </c>
      <c r="D43" t="str">
        <v>New York</v>
      </c>
      <c r="E43" t="str">
        <v>$400</v>
      </c>
      <c r="F43" s="21" t="str">
        <v>TBA</v>
      </c>
      <c r="H43" s="20" t="str">
        <v>Cardi Bee</v>
      </c>
      <c r="I43" t="str">
        <v>New York</v>
      </c>
      <c r="J43" s="28" t="str">
        <v>$400</v>
      </c>
      <c r="K43" t="str">
        <v>TBA</v>
      </c>
      <c r="L43" t="str">
        <v>TBA</v>
      </c>
      <c r="M43" s="29" t="str">
        <v/>
      </c>
      <c r="N43" s="26" t="str">
        <v>TBA</v>
      </c>
    </row>
    <row r="44" spans="3:14">
      <c r="C44" s="20" t="str">
        <v xml:space="preserve"> Harry Styles of Hair </v>
      </c>
      <c r="D44" t="str">
        <v>New York</v>
      </c>
      <c r="E44" t="str">
        <v>$300</v>
      </c>
      <c r="F44" s="21" t="str">
        <v>3 Hour performance, begins at 7PM on 31 May (2026)</v>
      </c>
      <c r="H44" s="20" t="str">
        <v>Harry Styles of Hair</v>
      </c>
      <c r="I44" t="str">
        <v>New York</v>
      </c>
      <c r="J44" s="28" t="str">
        <v>$300</v>
      </c>
      <c r="K44" t="str">
        <v>3 Hour performance, begins at 7PM on 31 May (2026)</v>
      </c>
      <c r="L44" t="str">
        <v xml:space="preserve"> 31 May (2026)</v>
      </c>
      <c r="M44" s="29">
        <v>46173</v>
      </c>
      <c r="N44" s="26" t="str">
        <v>7PM</v>
      </c>
    </row>
    <row r="45" spans="3:14">
      <c r="C45" s="20" t="str">
        <v>Ellie Goldfish</v>
      </c>
      <c r="D45" t="str">
        <v>Chicago</v>
      </c>
      <c r="E45" t="str">
        <v>$500</v>
      </c>
      <c r="F45" s="21" t="str">
        <v>5PM Start on 1 Sept (2026)</v>
      </c>
      <c r="H45" s="20" t="str">
        <v>Ellie Goldfish</v>
      </c>
      <c r="I45" t="str">
        <v>Chicago</v>
      </c>
      <c r="J45" s="28" t="str">
        <v>$500</v>
      </c>
      <c r="K45" t="str">
        <v>5PM Start on 1 Sept (2026)</v>
      </c>
      <c r="L45" t="str">
        <v xml:space="preserve"> 1 Sept (2026)</v>
      </c>
      <c r="M45" s="29">
        <v>46266</v>
      </c>
      <c r="N45" s="26" t="str">
        <v>5PM</v>
      </c>
    </row>
    <row r="46" spans="3:14">
      <c r="C46" s="20" t="str">
        <v xml:space="preserve">Imagine Wagons </v>
      </c>
      <c r="D46" t="str">
        <v>Chicago</v>
      </c>
      <c r="E46" t="str">
        <v>$200</v>
      </c>
      <c r="F46" s="21" t="str">
        <v>Show starts at 9PM on 11 Sept (2026)</v>
      </c>
      <c r="H46" s="20" t="str">
        <v>Imagine Wagons</v>
      </c>
      <c r="I46" t="str">
        <v>Chicago</v>
      </c>
      <c r="J46" s="28" t="str">
        <v>$200</v>
      </c>
      <c r="K46" t="str">
        <v>Show starts at 9PM on 11 Sept (2026)</v>
      </c>
      <c r="L46" t="str">
        <v xml:space="preserve"> 11 Sept (2026)</v>
      </c>
      <c r="M46" s="29">
        <v>46276</v>
      </c>
      <c r="N46" s="26" t="str">
        <v>9PM</v>
      </c>
    </row>
    <row r="47" spans="3:14">
      <c r="C47" s="20" t="str">
        <v>The Weekend Forecast</v>
      </c>
      <c r="D47" t="str">
        <v>Mumbai</v>
      </c>
      <c r="E47" t="str">
        <v>$200</v>
      </c>
      <c r="F47" s="21" t="str">
        <v>4 Hour show starting at 7PM on 30-Dec-2025</v>
      </c>
      <c r="H47" s="20" t="str">
        <v>The Weekend Forecast</v>
      </c>
      <c r="I47" t="str">
        <v>Mumbai</v>
      </c>
      <c r="J47" s="28" t="str">
        <v>$200</v>
      </c>
      <c r="K47" t="str">
        <v>4 Hour show starting at 7PM on 30-Dec-2025</v>
      </c>
      <c r="L47" t="str">
        <v xml:space="preserve"> 30-Dec-2025</v>
      </c>
      <c r="M47" s="29">
        <v>46021</v>
      </c>
      <c r="N47" s="26" t="str">
        <v>7PM</v>
      </c>
    </row>
    <row r="48" spans="3:14">
      <c r="C48" s="20" t="str">
        <v>The Weekend Forecast</v>
      </c>
      <c r="D48" t="str">
        <v>New York</v>
      </c>
      <c r="E48" t="str">
        <v>$300</v>
      </c>
      <c r="F48" s="21" t="str">
        <v>TBA</v>
      </c>
      <c r="H48" s="20" t="str">
        <v>The Weekend Forecast</v>
      </c>
      <c r="I48" t="str">
        <v>New York</v>
      </c>
      <c r="J48" s="28" t="str">
        <v>$300</v>
      </c>
      <c r="K48" t="str">
        <v>TBA</v>
      </c>
      <c r="L48" t="str">
        <v>TBA</v>
      </c>
      <c r="M48" s="29" t="str">
        <v/>
      </c>
      <c r="N48" s="26" t="str">
        <v>TBA</v>
      </c>
    </row>
    <row r="49" spans="3:14">
      <c r="C49" s="20" t="str">
        <v>Harry Styles of Hair</v>
      </c>
      <c r="D49" t="str">
        <v>Sydney</v>
      </c>
      <c r="E49" t="str">
        <v>$300</v>
      </c>
      <c r="F49" s="21" t="str">
        <v>Event begins at 5PM on 2 Jan (2026)</v>
      </c>
      <c r="H49" s="20" t="str">
        <v>Harry Styles of Hair</v>
      </c>
      <c r="I49" t="str">
        <v>Sydney</v>
      </c>
      <c r="J49" s="28" t="str">
        <v>$300</v>
      </c>
      <c r="K49" t="str">
        <v>Event begins at 5PM on 2 Jan (2026)</v>
      </c>
      <c r="L49" t="str">
        <v xml:space="preserve"> 2 Jan (2026)</v>
      </c>
      <c r="M49" s="29">
        <v>46024</v>
      </c>
      <c r="N49" s="26" t="str">
        <v>5PM</v>
      </c>
    </row>
    <row r="50" spans="3:14">
      <c r="C50" s="20" t="str">
        <v>Cardi Bee</v>
      </c>
      <c r="D50" t="str">
        <v>Bombay</v>
      </c>
      <c r="E50" t="str">
        <v>$600</v>
      </c>
      <c r="F50" s="21" t="str">
        <v>4 Hour show starting at 8PM on 13-Jun-2026</v>
      </c>
      <c r="H50" s="20" t="str">
        <v>Cardi Bee</v>
      </c>
      <c r="I50" t="str">
        <v>Mumbai</v>
      </c>
      <c r="J50" s="28" t="str">
        <v>$600</v>
      </c>
      <c r="K50" t="str">
        <v>4 Hour show starting at 8PM on 13-Jun-2026</v>
      </c>
      <c r="L50" t="str">
        <v xml:space="preserve"> 13-Jun-2026</v>
      </c>
      <c r="M50" s="29">
        <v>46186</v>
      </c>
      <c r="N50" s="26" t="str">
        <v>8PM</v>
      </c>
    </row>
    <row r="51" spans="3:14">
      <c r="C51" s="20" t="str">
        <v>Snoop Corgi</v>
      </c>
      <c r="D51" t="str">
        <v>Vegas</v>
      </c>
      <c r="E51" t="str">
        <v>$600</v>
      </c>
      <c r="F51" s="21" t="str">
        <v>9PM Start</v>
      </c>
      <c r="H51" s="20" t="str">
        <v>Snoop Corgi</v>
      </c>
      <c r="I51" t="str">
        <v>Las Vegas</v>
      </c>
      <c r="J51" s="28" t="str">
        <v>$600</v>
      </c>
      <c r="K51" t="str">
        <v>9PM Start</v>
      </c>
      <c r="L51" t="str">
        <v>TBA</v>
      </c>
      <c r="M51" s="29" t="str">
        <v/>
      </c>
      <c r="N51" s="26" t="str">
        <v>9PM</v>
      </c>
    </row>
    <row r="52" spans="3:14">
      <c r="C52" s="20" t="str">
        <v>Ariana Venti</v>
      </c>
      <c r="D52" t="str">
        <v>Mumbai</v>
      </c>
      <c r="E52" t="str">
        <v>$200</v>
      </c>
      <c r="F52" s="21" t="str">
        <v>6PM Start on 14-Aug-2025</v>
      </c>
      <c r="H52" s="20" t="str">
        <v>Ariana Venti</v>
      </c>
      <c r="I52" t="str">
        <v>Mumbai</v>
      </c>
      <c r="J52" s="28" t="str">
        <v>$200</v>
      </c>
      <c r="K52" t="str">
        <v>6PM Start on 14-Aug-2025</v>
      </c>
      <c r="L52" t="str">
        <v xml:space="preserve"> 14-Aug-2025</v>
      </c>
      <c r="M52" s="29">
        <v>45883</v>
      </c>
      <c r="N52" s="26" t="str">
        <v>6PM</v>
      </c>
    </row>
    <row r="53" spans="3:14">
      <c r="C53" s="20" t="str">
        <v>Alicia Keys to the City</v>
      </c>
      <c r="D53" t="str">
        <v>Las Vegas</v>
      </c>
      <c r="E53">
        <v>0</v>
      </c>
      <c r="F53" s="21" t="str">
        <v>TBA on 20 May (2026)</v>
      </c>
      <c r="H53" s="20" t="str">
        <v>Alicia Keys to the City</v>
      </c>
      <c r="I53" t="str">
        <v>Las Vegas</v>
      </c>
      <c r="J53" s="28" t="str">
        <v>TBA</v>
      </c>
      <c r="K53" t="str">
        <v>TBA on 20 May (2026)</v>
      </c>
      <c r="L53" t="str">
        <v xml:space="preserve"> 20 May (2026)</v>
      </c>
      <c r="M53" s="29">
        <v>46162</v>
      </c>
      <c r="N53" s="26" t="str">
        <v>TBA</v>
      </c>
    </row>
    <row r="54" spans="3:14">
      <c r="C54" s="20" t="str">
        <v>Justin Woodenpond</v>
      </c>
      <c r="D54" t="str">
        <v>Sydney</v>
      </c>
      <c r="E54" t="str">
        <v>$400</v>
      </c>
      <c r="F54" s="21" t="str">
        <v>4 Hour show starting at 9PM on 5-Jun-2026</v>
      </c>
      <c r="H54" s="20" t="str">
        <v>Justin Woodenpond</v>
      </c>
      <c r="I54" t="str">
        <v>Sydney</v>
      </c>
      <c r="J54" s="28" t="str">
        <v>$400</v>
      </c>
      <c r="K54" t="str">
        <v>4 Hour show starting at 9PM on 5-Jun-2026</v>
      </c>
      <c r="L54" t="str">
        <v xml:space="preserve"> 5-Jun-2026</v>
      </c>
      <c r="M54" s="29">
        <v>46178</v>
      </c>
      <c r="N54" s="26" t="str">
        <v>9PM</v>
      </c>
    </row>
    <row r="55" spans="3:14">
      <c r="C55" s="20" t="str">
        <v>Billie Eyelash</v>
      </c>
      <c r="D55" t="str">
        <v>Sin city</v>
      </c>
      <c r="E55" t="str">
        <v>$500</v>
      </c>
      <c r="F55" s="21" t="str">
        <v>3 Hour performance, begins at 5PM on 20 Feb (2026)</v>
      </c>
      <c r="H55" s="20" t="str">
        <v>Billie Eyelash</v>
      </c>
      <c r="I55" t="str">
        <v>Las Vegas</v>
      </c>
      <c r="J55" s="28" t="str">
        <v>$500</v>
      </c>
      <c r="K55" t="str">
        <v>3 Hour performance, begins at 5PM on 20 Feb (2026)</v>
      </c>
      <c r="L55" t="str">
        <v xml:space="preserve"> 20 Feb (2026)</v>
      </c>
      <c r="M55" s="29">
        <v>46073</v>
      </c>
      <c r="N55" s="26" t="str">
        <v>5PM</v>
      </c>
    </row>
    <row r="56" spans="3:14">
      <c r="C56" s="20" t="str">
        <v>Imagine Wagons</v>
      </c>
      <c r="D56" t="str">
        <v>Bombay</v>
      </c>
      <c r="E56" t="str">
        <v>$500</v>
      </c>
      <c r="F56" s="21" t="str">
        <v>Show starts at 9PM on 30 Nov (2026)</v>
      </c>
      <c r="H56" s="20" t="str">
        <v>Imagine Wagons</v>
      </c>
      <c r="I56" t="str">
        <v>Mumbai</v>
      </c>
      <c r="J56" s="28" t="str">
        <v>$500</v>
      </c>
      <c r="K56" t="str">
        <v>Show starts at 9PM on 30 Nov (2026)</v>
      </c>
      <c r="L56" t="str">
        <v xml:space="preserve"> 30 Nov (2026)</v>
      </c>
      <c r="M56" s="29">
        <v>46356</v>
      </c>
      <c r="N56" s="26" t="str">
        <v>9PM</v>
      </c>
    </row>
    <row r="57" spans="3:14">
      <c r="C57" s="20" t="str">
        <v>Billie Eyelash</v>
      </c>
      <c r="D57" t="str">
        <v>Big Apple</v>
      </c>
      <c r="E57" t="str">
        <v>$200</v>
      </c>
      <c r="F57" s="21" t="str">
        <v>Event begins at 7PM</v>
      </c>
      <c r="H57" s="20" t="str">
        <v>Billie Eyelash</v>
      </c>
      <c r="I57" t="str">
        <v>New York</v>
      </c>
      <c r="J57" s="28" t="str">
        <v>$200</v>
      </c>
      <c r="K57" t="str">
        <v>Event begins at 7PM</v>
      </c>
      <c r="L57" t="str">
        <v>TBA</v>
      </c>
      <c r="M57" s="29" t="str">
        <v/>
      </c>
      <c r="N57" s="26" t="str">
        <v>7PM</v>
      </c>
    </row>
    <row r="58" spans="3:14">
      <c r="C58" s="20" t="str">
        <v xml:space="preserve">Katy Ferry </v>
      </c>
      <c r="D58" t="str">
        <v>New York</v>
      </c>
      <c r="E58" t="str">
        <v>$200</v>
      </c>
      <c r="F58" s="21" t="str">
        <v>4 Hour show starting at 6PM on 1-Feb-2026</v>
      </c>
      <c r="H58" s="20" t="str">
        <v>Katy Ferry</v>
      </c>
      <c r="I58" t="str">
        <v>New York</v>
      </c>
      <c r="J58" s="28" t="str">
        <v>$200</v>
      </c>
      <c r="K58" t="str">
        <v>4 Hour show starting at 6PM on 1-Feb-2026</v>
      </c>
      <c r="L58" t="str">
        <v xml:space="preserve"> 1-Feb-2026</v>
      </c>
      <c r="M58" s="29">
        <v>46054</v>
      </c>
      <c r="N58" s="26" t="str">
        <v>6PM</v>
      </c>
    </row>
    <row r="59" spans="3:14">
      <c r="C59" s="20" t="str">
        <v>Shawn Mender</v>
      </c>
      <c r="D59" t="str">
        <v>Sydney</v>
      </c>
      <c r="E59" t="str">
        <v>200</v>
      </c>
      <c r="F59" s="21" t="str">
        <v>3 Hour performance, begins at 9PM on 1 May (2026)</v>
      </c>
      <c r="H59" s="20" t="str">
        <v>Shawn Mender</v>
      </c>
      <c r="I59" t="str">
        <v>Sydney</v>
      </c>
      <c r="J59" s="28" t="str">
        <v>200</v>
      </c>
      <c r="K59" t="str">
        <v>3 Hour performance, begins at 9PM on 1 May (2026)</v>
      </c>
      <c r="L59" t="str">
        <v xml:space="preserve"> 1 May (2026)</v>
      </c>
      <c r="M59" s="29">
        <v>46143</v>
      </c>
      <c r="N59" s="26" t="str">
        <v>9PM</v>
      </c>
    </row>
    <row r="60" spans="3:14">
      <c r="C60" s="20" t="str">
        <v>Marooned 5</v>
      </c>
      <c r="D60" t="str">
        <v>Sydney</v>
      </c>
      <c r="E60" t="str">
        <v>$500</v>
      </c>
      <c r="F60" s="21" t="str">
        <v>Event begins at 8PM on 28-Feb-2026</v>
      </c>
      <c r="H60" s="20" t="str">
        <v>Marooned 5</v>
      </c>
      <c r="I60" t="str">
        <v>Sydney</v>
      </c>
      <c r="J60" s="28" t="str">
        <v>$500</v>
      </c>
      <c r="K60" t="str">
        <v>Event begins at 8PM on 28-Feb-2026</v>
      </c>
      <c r="L60" t="str">
        <v xml:space="preserve"> 28-Feb-2026</v>
      </c>
      <c r="M60" s="29">
        <v>46081</v>
      </c>
      <c r="N60" s="26" t="str">
        <v>8PM</v>
      </c>
    </row>
    <row r="61" spans="3:14">
      <c r="C61" s="20" t="str">
        <v>Drake Mallard</v>
      </c>
      <c r="D61">
        <v>0</v>
      </c>
      <c r="E61" t="str">
        <v>£400</v>
      </c>
      <c r="F61" s="21" t="str">
        <v>3 Hour performance, begins at 10PM on 27 Jan (2026)</v>
      </c>
      <c r="H61" s="20" t="str">
        <v>Drake Mallard</v>
      </c>
      <c r="I61" t="str">
        <v>Unknown</v>
      </c>
      <c r="J61" s="28" t="str">
        <v>£400</v>
      </c>
      <c r="K61" t="str">
        <v>3 Hour performance, begins at 10PM on 27 Jan (2026)</v>
      </c>
      <c r="L61" t="str">
        <v xml:space="preserve"> 27 Jan (2026)</v>
      </c>
      <c r="M61" s="29">
        <v>46049</v>
      </c>
      <c r="N61" s="26" t="str">
        <v>10PM</v>
      </c>
    </row>
    <row r="62" spans="3:14">
      <c r="C62" s="20" t="str">
        <v>Billie Eyelash</v>
      </c>
      <c r="D62" t="str">
        <v>New York</v>
      </c>
      <c r="E62" t="str">
        <v>£300</v>
      </c>
      <c r="F62" s="21" t="str">
        <v>3 Hour performance, begins at 5PM</v>
      </c>
      <c r="H62" s="20" t="str">
        <v>Billie Eyelash</v>
      </c>
      <c r="I62" t="str">
        <v>New York</v>
      </c>
      <c r="J62" s="28" t="str">
        <v>£300</v>
      </c>
      <c r="K62" t="str">
        <v>3 Hour performance, begins at 5PM</v>
      </c>
      <c r="L62" t="str">
        <v>TBA</v>
      </c>
      <c r="M62" s="29" t="str">
        <v/>
      </c>
      <c r="N62" s="26" t="str">
        <v>5PM</v>
      </c>
    </row>
    <row r="63" spans="3:14">
      <c r="C63" s="20" t="str">
        <v>Camila Cobello</v>
      </c>
      <c r="D63" t="str">
        <v>Vegas</v>
      </c>
      <c r="E63" t="str">
        <v>300</v>
      </c>
      <c r="F63" s="21" t="str">
        <v>Event begins at 7PM on 30-Dec-2025</v>
      </c>
      <c r="H63" s="20" t="str">
        <v>Camila Cobello</v>
      </c>
      <c r="I63" t="str">
        <v>Las Vegas</v>
      </c>
      <c r="J63" s="28" t="str">
        <v>300</v>
      </c>
      <c r="K63" t="str">
        <v>Event begins at 7PM on 30-Dec-2025</v>
      </c>
      <c r="L63" t="str">
        <v xml:space="preserve"> 30-Dec-2025</v>
      </c>
      <c r="M63" s="29">
        <v>46021</v>
      </c>
      <c r="N63" s="26" t="str">
        <v>7PM</v>
      </c>
    </row>
    <row r="64" spans="3:14">
      <c r="C64" s="20" t="str">
        <v>Ariana Venti</v>
      </c>
      <c r="D64" t="str">
        <v>Singapore</v>
      </c>
      <c r="E64" t="str">
        <v>£500</v>
      </c>
      <c r="F64" s="21" t="str">
        <v>3 Hour performance, begins at 8PM on 5 Jan (2026)</v>
      </c>
      <c r="H64" s="20" t="str">
        <v>Ariana Venti</v>
      </c>
      <c r="I64" t="str">
        <v>Singapore</v>
      </c>
      <c r="J64" s="28" t="str">
        <v>£500</v>
      </c>
      <c r="K64" t="str">
        <v>3 Hour performance, begins at 8PM on 5 Jan (2026)</v>
      </c>
      <c r="L64" t="str">
        <v xml:space="preserve"> 5 Jan (2026)</v>
      </c>
      <c r="M64" s="29">
        <v>46027</v>
      </c>
      <c r="N64" s="26" t="str">
        <v>8PM</v>
      </c>
    </row>
    <row r="65" spans="3:14">
      <c r="C65" s="20" t="str">
        <v>Khalid Kale</v>
      </c>
      <c r="D65" t="str">
        <v>Sin city</v>
      </c>
      <c r="E65" t="str">
        <v>$200</v>
      </c>
      <c r="F65" s="21" t="str">
        <v>4 Hour show starting at 7PM</v>
      </c>
      <c r="H65" s="20" t="str">
        <v>Khalid Kale</v>
      </c>
      <c r="I65" t="str">
        <v>Las Vegas</v>
      </c>
      <c r="J65" s="28" t="str">
        <v>$200</v>
      </c>
      <c r="K65" t="str">
        <v>4 Hour show starting at 7PM</v>
      </c>
      <c r="L65" t="str">
        <v>TBA</v>
      </c>
      <c r="M65" s="29" t="str">
        <v/>
      </c>
      <c r="N65" s="26" t="str">
        <v>7PM</v>
      </c>
    </row>
    <row r="66" spans="3:14">
      <c r="C66" s="20" t="str">
        <v xml:space="preserve">Marooned 5 </v>
      </c>
      <c r="D66" t="str">
        <v>Chicago</v>
      </c>
      <c r="E66" t="str">
        <v>$200</v>
      </c>
      <c r="F66" s="21" t="str">
        <v>3 Hour performance, begins at 10PM on 23 May (2026)</v>
      </c>
      <c r="H66" s="20" t="str">
        <v>Marooned 5</v>
      </c>
      <c r="I66" t="str">
        <v>Chicago</v>
      </c>
      <c r="J66" s="28" t="str">
        <v>$200</v>
      </c>
      <c r="K66" t="str">
        <v>3 Hour performance, begins at 10PM on 23 May (2026)</v>
      </c>
      <c r="L66" t="str">
        <v xml:space="preserve"> 23 May (2026)</v>
      </c>
      <c r="M66" s="29">
        <v>46165</v>
      </c>
      <c r="N66" s="26" t="str">
        <v>10PM</v>
      </c>
    </row>
    <row r="67" spans="3:14">
      <c r="C67" s="20" t="str">
        <v>Lady Gaggle</v>
      </c>
      <c r="D67" t="str">
        <v>Sydney</v>
      </c>
      <c r="E67" t="str">
        <v>$200</v>
      </c>
      <c r="F67" s="21" t="str">
        <v>9PM Start on 24 Jan (2026)</v>
      </c>
      <c r="H67" s="20" t="str">
        <v>Lady Gaggle</v>
      </c>
      <c r="I67" t="str">
        <v>Sydney</v>
      </c>
      <c r="J67" s="28" t="str">
        <v>$200</v>
      </c>
      <c r="K67" t="str">
        <v>9PM Start on 24 Jan (2026)</v>
      </c>
      <c r="L67" t="str">
        <v xml:space="preserve"> 24 Jan (2026)</v>
      </c>
      <c r="M67" s="29">
        <v>46046</v>
      </c>
      <c r="N67" s="26" t="str">
        <v>9PM</v>
      </c>
    </row>
    <row r="68" spans="3:14">
      <c r="C68" s="20" t="str">
        <v>Marooned 5</v>
      </c>
      <c r="D68" t="str">
        <v>Mumbai</v>
      </c>
      <c r="E68" t="str">
        <v>$400</v>
      </c>
      <c r="F68" s="21" t="str">
        <v>8PM Start on 19-Apr-2026</v>
      </c>
      <c r="H68" s="20" t="str">
        <v>Marooned 5</v>
      </c>
      <c r="I68" t="str">
        <v>Mumbai</v>
      </c>
      <c r="J68" s="28" t="str">
        <v>$400</v>
      </c>
      <c r="K68" t="str">
        <v>8PM Start on 19-Apr-2026</v>
      </c>
      <c r="L68" t="str">
        <v xml:space="preserve"> 19-Apr-2026</v>
      </c>
      <c r="M68" s="29">
        <v>46131</v>
      </c>
      <c r="N68" s="26" t="str">
        <v>8PM</v>
      </c>
    </row>
    <row r="69" spans="3:14">
      <c r="C69" s="20" t="str">
        <v>Khalid Kale</v>
      </c>
      <c r="D69" t="str">
        <v>Bombay</v>
      </c>
      <c r="E69" t="str">
        <v>$300</v>
      </c>
      <c r="F69" s="21" t="str">
        <v>3 Hour performance, begins at 5PM on 14-May-2026</v>
      </c>
      <c r="H69" s="20" t="str">
        <v>Khalid Kale</v>
      </c>
      <c r="I69" t="str">
        <v>Mumbai</v>
      </c>
      <c r="J69" s="28" t="str">
        <v>$300</v>
      </c>
      <c r="K69" t="str">
        <v>3 Hour performance, begins at 5PM on 14-May-2026</v>
      </c>
      <c r="L69" t="str">
        <v xml:space="preserve"> 14-May-2026</v>
      </c>
      <c r="M69" s="29">
        <v>46156</v>
      </c>
      <c r="N69" s="26" t="str">
        <v>5PM</v>
      </c>
    </row>
    <row r="70" spans="3:14">
      <c r="C70" s="20" t="str">
        <v xml:space="preserve">Drake Mallard </v>
      </c>
      <c r="D70" t="str">
        <v>Big Apple</v>
      </c>
      <c r="E70" t="str">
        <v>$500</v>
      </c>
      <c r="F70" s="21" t="str">
        <v>Event begins at 5PM on 7-Oct-2026</v>
      </c>
      <c r="H70" s="20" t="str">
        <v>Drake Mallard</v>
      </c>
      <c r="I70" t="str">
        <v>New York</v>
      </c>
      <c r="J70" s="28" t="str">
        <v>$500</v>
      </c>
      <c r="K70" t="str">
        <v>Event begins at 5PM on 7-Oct-2026</v>
      </c>
      <c r="L70" t="str">
        <v xml:space="preserve"> 7-Oct-2026</v>
      </c>
      <c r="M70" s="29">
        <v>46302</v>
      </c>
      <c r="N70" s="26" t="str">
        <v>5PM</v>
      </c>
    </row>
    <row r="71" spans="3:14">
      <c r="C71" s="20" t="str">
        <v>Sam Smithy</v>
      </c>
      <c r="D71" t="str">
        <v>Sydney</v>
      </c>
      <c r="E71" t="str">
        <v>£500</v>
      </c>
      <c r="F71" s="21" t="str">
        <v>4 Hour show starting at 8PM on 28 Nov (2025)</v>
      </c>
      <c r="H71" s="20" t="str">
        <v>Sam Smithy</v>
      </c>
      <c r="I71" t="str">
        <v>Sydney</v>
      </c>
      <c r="J71" s="28" t="str">
        <v>£500</v>
      </c>
      <c r="K71" t="str">
        <v>4 Hour show starting at 8PM on 28 Nov (2025)</v>
      </c>
      <c r="L71" t="str">
        <v xml:space="preserve"> 28 Nov (2025)</v>
      </c>
      <c r="M71" s="29">
        <v>45989</v>
      </c>
      <c r="N71" s="26" t="str">
        <v>8PM</v>
      </c>
    </row>
    <row r="72" spans="3:14">
      <c r="C72" s="20" t="str">
        <v>Harry Styles of Hair</v>
      </c>
      <c r="D72" t="str">
        <v>New York</v>
      </c>
      <c r="E72" t="str">
        <v>$500</v>
      </c>
      <c r="F72" s="21" t="str">
        <v>5PM Start on 15 Sept (2026)</v>
      </c>
      <c r="H72" s="20" t="str">
        <v>Harry Styles of Hair</v>
      </c>
      <c r="I72" t="str">
        <v>New York</v>
      </c>
      <c r="J72" s="28" t="str">
        <v>$500</v>
      </c>
      <c r="K72" t="str">
        <v>5PM Start on 15 Sept (2026)</v>
      </c>
      <c r="L72" t="str">
        <v xml:space="preserve"> 15 Sept (2026)</v>
      </c>
      <c r="M72" s="29">
        <v>46280</v>
      </c>
      <c r="N72" s="26" t="str">
        <v>5PM</v>
      </c>
    </row>
    <row r="73" spans="3:14">
      <c r="C73" s="20" t="str">
        <v>Jonas Blizzards</v>
      </c>
      <c r="D73" t="str">
        <v>Sin city</v>
      </c>
      <c r="E73" t="str">
        <v>$500</v>
      </c>
      <c r="F73" s="21" t="str">
        <v>Event begins at 6PM on 24-May-2026</v>
      </c>
      <c r="H73" s="20" t="str">
        <v>Jonas Blizzards</v>
      </c>
      <c r="I73" t="str">
        <v>Las Vegas</v>
      </c>
      <c r="J73" s="28" t="str">
        <v>$500</v>
      </c>
      <c r="K73" t="str">
        <v>Event begins at 6PM on 24-May-2026</v>
      </c>
      <c r="L73" t="str">
        <v xml:space="preserve"> 24-May-2026</v>
      </c>
      <c r="M73" s="29">
        <v>46166</v>
      </c>
      <c r="N73" s="26" t="str">
        <v>6PM</v>
      </c>
    </row>
    <row r="74" spans="3:14">
      <c r="C74" s="20" t="str">
        <v xml:space="preserve">Shawn Mender </v>
      </c>
      <c r="D74" t="str">
        <v>Singapore</v>
      </c>
      <c r="E74" t="str">
        <v>$600</v>
      </c>
      <c r="F74" s="21" t="str">
        <v>Show starts at 8PM on 7 Sept (2025)</v>
      </c>
      <c r="H74" s="20" t="str">
        <v>Shawn Mender</v>
      </c>
      <c r="I74" t="str">
        <v>Singapore</v>
      </c>
      <c r="J74" s="28" t="str">
        <v>$600</v>
      </c>
      <c r="K74" t="str">
        <v>Show starts at 8PM on 7 Sept (2025)</v>
      </c>
      <c r="L74" t="str">
        <v xml:space="preserve"> 7 Sept (2025)</v>
      </c>
      <c r="M74" s="29">
        <v>45907</v>
      </c>
      <c r="N74" s="26" t="str">
        <v>8PM</v>
      </c>
    </row>
    <row r="75" spans="3:14">
      <c r="C75" s="20" t="str">
        <v>Lady Gaggle</v>
      </c>
      <c r="D75" t="str">
        <v>Vegas</v>
      </c>
      <c r="E75" t="str">
        <v>£200</v>
      </c>
      <c r="F75" s="21" t="str">
        <v>4 Hour show starting at 7PM on 15 Jan (2026)</v>
      </c>
      <c r="H75" s="20" t="str">
        <v>Lady Gaggle</v>
      </c>
      <c r="I75" t="str">
        <v>Las Vegas</v>
      </c>
      <c r="J75" s="28" t="str">
        <v>£200</v>
      </c>
      <c r="K75" t="str">
        <v>4 Hour show starting at 7PM on 15 Jan (2026)</v>
      </c>
      <c r="L75" t="str">
        <v xml:space="preserve"> 15 Jan (2026)</v>
      </c>
      <c r="M75" s="29">
        <v>46037</v>
      </c>
      <c r="N75" s="26" t="str">
        <v>7PM</v>
      </c>
    </row>
    <row r="76" spans="3:14">
      <c r="C76" s="20" t="str">
        <v>Camila Cobello</v>
      </c>
      <c r="D76" t="str">
        <v>New York</v>
      </c>
      <c r="E76" t="str">
        <v>$300</v>
      </c>
      <c r="F76" s="21">
        <v>0</v>
      </c>
      <c r="H76" s="20" t="str">
        <v>Camila Cobello</v>
      </c>
      <c r="I76" t="str">
        <v>New York</v>
      </c>
      <c r="J76" s="28" t="str">
        <v>$300</v>
      </c>
      <c r="K76">
        <v>0</v>
      </c>
      <c r="L76" t="str">
        <v>TBA</v>
      </c>
      <c r="M76" s="29" t="str">
        <v/>
      </c>
      <c r="N76" s="26" t="str">
        <v>TBA</v>
      </c>
    </row>
    <row r="77" spans="3:14">
      <c r="C77" s="20" t="str">
        <v>Katy Ferry</v>
      </c>
      <c r="D77" t="str">
        <v>Chicago</v>
      </c>
      <c r="E77" t="str">
        <v>100</v>
      </c>
      <c r="F77" s="21" t="str">
        <v>Show starts at 8PM on 29-Jun-2026</v>
      </c>
      <c r="H77" s="20" t="str">
        <v>Katy Ferry</v>
      </c>
      <c r="I77" t="str">
        <v>Chicago</v>
      </c>
      <c r="J77" s="28" t="str">
        <v>100</v>
      </c>
      <c r="K77" t="str">
        <v>Show starts at 8PM on 29-Jun-2026</v>
      </c>
      <c r="L77" t="str">
        <v xml:space="preserve"> 29-Jun-2026</v>
      </c>
      <c r="M77" s="29">
        <v>46202</v>
      </c>
      <c r="N77" s="26" t="str">
        <v>8PM</v>
      </c>
    </row>
    <row r="78" spans="3:14">
      <c r="C78" s="20" t="str">
        <v xml:space="preserve">Katy Ferry </v>
      </c>
      <c r="D78" t="str">
        <v>Chicago</v>
      </c>
      <c r="E78" t="str">
        <v>£200</v>
      </c>
      <c r="F78" s="21" t="str">
        <v>4 Hour show starting at 5PM on 11 Oct (2025)</v>
      </c>
      <c r="H78" s="20" t="str">
        <v>Katy Ferry</v>
      </c>
      <c r="I78" t="str">
        <v>Chicago</v>
      </c>
      <c r="J78" s="28" t="str">
        <v>£200</v>
      </c>
      <c r="K78" t="str">
        <v>4 Hour show starting at 5PM on 11 Oct (2025)</v>
      </c>
      <c r="L78" t="str">
        <v xml:space="preserve"> 11 Oct (2025)</v>
      </c>
      <c r="M78" s="29">
        <v>45941</v>
      </c>
      <c r="N78" s="26" t="str">
        <v>5PM</v>
      </c>
    </row>
    <row r="79" spans="3:14">
      <c r="C79" s="20" t="str">
        <v>Marooned 5</v>
      </c>
      <c r="D79" t="str">
        <v>London</v>
      </c>
      <c r="E79" t="str">
        <v>$500</v>
      </c>
      <c r="F79" s="21" t="str">
        <v>4 Hour show starting at 5PM</v>
      </c>
      <c r="H79" s="20" t="str">
        <v>Marooned 5</v>
      </c>
      <c r="I79" t="str">
        <v>London</v>
      </c>
      <c r="J79" s="28" t="str">
        <v>$500</v>
      </c>
      <c r="K79" t="str">
        <v>4 Hour show starting at 5PM</v>
      </c>
      <c r="L79" t="str">
        <v>TBA</v>
      </c>
      <c r="M79" s="29" t="str">
        <v/>
      </c>
      <c r="N79" s="26" t="str">
        <v>5PM</v>
      </c>
    </row>
    <row r="80" spans="3:14">
      <c r="C80" s="20" t="str">
        <v xml:space="preserve">Alicia Keys to the City </v>
      </c>
      <c r="D80" t="str">
        <v>New York</v>
      </c>
      <c r="E80" t="str">
        <v>£100</v>
      </c>
      <c r="F80" s="21" t="str">
        <v>TBA on 28-Jun-2025</v>
      </c>
      <c r="H80" s="20" t="str">
        <v>Alicia Keys to the City</v>
      </c>
      <c r="I80" t="str">
        <v>New York</v>
      </c>
      <c r="J80" s="28" t="str">
        <v>£100</v>
      </c>
      <c r="K80" t="str">
        <v>TBA on 28-Jun-2025</v>
      </c>
      <c r="L80" t="str">
        <v xml:space="preserve"> 28-Jun-2025</v>
      </c>
      <c r="M80" s="29">
        <v>45836</v>
      </c>
      <c r="N80" s="26" t="str">
        <v>TBA</v>
      </c>
    </row>
    <row r="81" spans="3:14">
      <c r="C81" s="20" t="str">
        <v>The Weekend Forecast</v>
      </c>
      <c r="D81" t="str">
        <v>Sydney</v>
      </c>
      <c r="E81" t="str">
        <v>$300</v>
      </c>
      <c r="F81" s="21" t="str">
        <v>3 Hour performance, begins at 5PM on 29 Jul (2025)</v>
      </c>
      <c r="H81" s="20" t="str">
        <v>The Weekend Forecast</v>
      </c>
      <c r="I81" t="str">
        <v>Sydney</v>
      </c>
      <c r="J81" s="28" t="str">
        <v>$300</v>
      </c>
      <c r="K81" t="str">
        <v>3 Hour performance, begins at 5PM on 29 Jul (2025)</v>
      </c>
      <c r="L81" t="str">
        <v xml:space="preserve"> 29 Jul (2025)</v>
      </c>
      <c r="M81" s="29">
        <v>45867</v>
      </c>
      <c r="N81" s="26" t="str">
        <v>5PM</v>
      </c>
    </row>
    <row r="82" spans="3:14">
      <c r="C82" s="20" t="str">
        <v xml:space="preserve"> Jonas Blizzards </v>
      </c>
      <c r="D82" t="str">
        <v>New York</v>
      </c>
      <c r="E82" t="str">
        <v>$400</v>
      </c>
      <c r="F82" s="21" t="str">
        <v>3 Hour performance, begins at 7PM</v>
      </c>
      <c r="H82" s="20" t="str">
        <v>Jonas Blizzards</v>
      </c>
      <c r="I82" t="str">
        <v>New York</v>
      </c>
      <c r="J82" s="28" t="str">
        <v>$400</v>
      </c>
      <c r="K82" t="str">
        <v>3 Hour performance, begins at 7PM</v>
      </c>
      <c r="L82" t="str">
        <v>TBA</v>
      </c>
      <c r="M82" s="29" t="str">
        <v/>
      </c>
      <c r="N82" s="26" t="str">
        <v>7PM</v>
      </c>
    </row>
    <row r="83" spans="3:14">
      <c r="C83" s="20" t="str">
        <v>The Weekend Forecast</v>
      </c>
      <c r="D83" t="str">
        <v>Big Apple</v>
      </c>
      <c r="E83" t="str">
        <v>$200</v>
      </c>
      <c r="F83" s="21" t="str">
        <v>4 Hour show starting at 5PM</v>
      </c>
      <c r="H83" s="20" t="str">
        <v>The Weekend Forecast</v>
      </c>
      <c r="I83" t="str">
        <v>New York</v>
      </c>
      <c r="J83" s="28" t="str">
        <v>$200</v>
      </c>
      <c r="K83" t="str">
        <v>4 Hour show starting at 5PM</v>
      </c>
      <c r="L83" t="str">
        <v>TBA</v>
      </c>
      <c r="M83" s="29" t="str">
        <v/>
      </c>
      <c r="N83" s="26" t="str">
        <v>5PM</v>
      </c>
    </row>
    <row r="84" spans="3:14">
      <c r="C84" s="20" t="str">
        <v>Ed Shewalk</v>
      </c>
      <c r="D84" t="str">
        <v>Vegas</v>
      </c>
      <c r="E84" t="str">
        <v>$600</v>
      </c>
      <c r="F84" s="21" t="str">
        <v>4 Hour show starting at 8PM on 28 Sept (2025)</v>
      </c>
      <c r="H84" s="20" t="str">
        <v>Ed Shewalk</v>
      </c>
      <c r="I84" t="str">
        <v>Las Vegas</v>
      </c>
      <c r="J84" s="28" t="str">
        <v>$600</v>
      </c>
      <c r="K84" t="str">
        <v>4 Hour show starting at 8PM on 28 Sept (2025)</v>
      </c>
      <c r="L84" t="str">
        <v xml:space="preserve"> 28 Sept (2025)</v>
      </c>
      <c r="M84" s="29">
        <v>45928</v>
      </c>
      <c r="N84" s="26" t="str">
        <v>8PM</v>
      </c>
    </row>
    <row r="85" spans="3:14">
      <c r="C85" s="20" t="str">
        <v xml:space="preserve">Bruno Mars Bar </v>
      </c>
      <c r="D85" t="str">
        <v>London</v>
      </c>
      <c r="E85" t="str">
        <v>400</v>
      </c>
      <c r="F85" s="21" t="str">
        <v>Show starts at 7PM on 28 Jul (2025)</v>
      </c>
      <c r="H85" s="20" t="str">
        <v>Bruno Mars Bar</v>
      </c>
      <c r="I85" t="str">
        <v>London</v>
      </c>
      <c r="J85" s="28" t="str">
        <v>400</v>
      </c>
      <c r="K85" t="str">
        <v>Show starts at 7PM on 28 Jul (2025)</v>
      </c>
      <c r="L85" t="str">
        <v xml:space="preserve"> 28 Jul (2025)</v>
      </c>
      <c r="M85" s="29">
        <v>45866</v>
      </c>
      <c r="N85" s="26" t="str">
        <v>7PM</v>
      </c>
    </row>
    <row r="86" spans="3:14">
      <c r="C86" s="20" t="str">
        <v>Jonas Blizzards</v>
      </c>
      <c r="D86" t="str">
        <v>Las Vegas</v>
      </c>
      <c r="E86" t="str">
        <v>$100</v>
      </c>
      <c r="F86" s="21" t="str">
        <v>7PM Start</v>
      </c>
      <c r="H86" s="20" t="str">
        <v>Jonas Blizzards</v>
      </c>
      <c r="I86" t="str">
        <v>Las Vegas</v>
      </c>
      <c r="J86" s="28" t="str">
        <v>$100</v>
      </c>
      <c r="K86" t="str">
        <v>7PM Start</v>
      </c>
      <c r="L86" t="str">
        <v>TBA</v>
      </c>
      <c r="M86" s="29" t="str">
        <v/>
      </c>
      <c r="N86" s="26" t="str">
        <v>7PM</v>
      </c>
    </row>
    <row r="87" spans="3:14">
      <c r="C87" s="20" t="str">
        <v xml:space="preserve">Snoop Corgi </v>
      </c>
      <c r="D87" t="str">
        <v>Sydney</v>
      </c>
      <c r="E87" t="str">
        <v>£600</v>
      </c>
      <c r="F87" s="21" t="str">
        <v>3 Hour performance, begins at 5PM on 19 Oct (2026)</v>
      </c>
      <c r="H87" s="20" t="str">
        <v>Snoop Corgi</v>
      </c>
      <c r="I87" t="str">
        <v>Sydney</v>
      </c>
      <c r="J87" s="28" t="str">
        <v>£600</v>
      </c>
      <c r="K87" t="str">
        <v>3 Hour performance, begins at 5PM on 19 Oct (2026)</v>
      </c>
      <c r="L87" t="str">
        <v xml:space="preserve"> 19 Oct (2026)</v>
      </c>
      <c r="M87" s="29">
        <v>46314</v>
      </c>
      <c r="N87" s="26" t="str">
        <v>5PM</v>
      </c>
    </row>
    <row r="88" spans="3:14">
      <c r="C88" s="20" t="str">
        <v xml:space="preserve"> Imagine Wagons </v>
      </c>
      <c r="D88">
        <v>0</v>
      </c>
      <c r="E88" t="str">
        <v>$500</v>
      </c>
      <c r="F88" s="21" t="str">
        <v>4 Hour show starting at 5PM on 31 Jul (2025)</v>
      </c>
      <c r="H88" s="20" t="str">
        <v>Imagine Wagons</v>
      </c>
      <c r="I88" t="str">
        <v>Unknown</v>
      </c>
      <c r="J88" s="28" t="str">
        <v>$500</v>
      </c>
      <c r="K88" t="str">
        <v>4 Hour show starting at 5PM on 31 Jul (2025)</v>
      </c>
      <c r="L88" t="str">
        <v xml:space="preserve"> 31 Jul (2025)</v>
      </c>
      <c r="M88" s="29">
        <v>45869</v>
      </c>
      <c r="N88" s="26" t="str">
        <v>5PM</v>
      </c>
    </row>
    <row r="89" spans="3:14">
      <c r="C89" s="20" t="str">
        <v>Lizzoard</v>
      </c>
      <c r="D89" t="str">
        <v>Singapore</v>
      </c>
      <c r="E89" t="str">
        <v>$300</v>
      </c>
      <c r="F89" s="21" t="str">
        <v>10PM Start</v>
      </c>
      <c r="H89" s="20" t="str">
        <v>Lizzoard</v>
      </c>
      <c r="I89" t="str">
        <v>Singapore</v>
      </c>
      <c r="J89" s="28" t="str">
        <v>$300</v>
      </c>
      <c r="K89" t="str">
        <v>10PM Start</v>
      </c>
      <c r="L89" t="str">
        <v>TBA</v>
      </c>
      <c r="M89" s="29" t="str">
        <v/>
      </c>
      <c r="N89" s="26" t="str">
        <v>10PM</v>
      </c>
    </row>
    <row r="90" spans="3:14">
      <c r="C90" s="20" t="str">
        <v>Camila Cobello</v>
      </c>
      <c r="D90" t="str">
        <v>Auckland</v>
      </c>
      <c r="E90">
        <v>230</v>
      </c>
      <c r="F90" s="21" t="str">
        <v>8PM Start</v>
      </c>
      <c r="H90" s="20" t="str">
        <v>Camila Cobello</v>
      </c>
      <c r="I90" t="str">
        <v>Auckland</v>
      </c>
      <c r="J90" s="28">
        <v>230</v>
      </c>
      <c r="K90" t="str">
        <v>8PM Start</v>
      </c>
      <c r="L90" t="str">
        <v>TBA</v>
      </c>
      <c r="M90" s="29" t="str">
        <v/>
      </c>
      <c r="N90" s="26" t="str">
        <v>8PM</v>
      </c>
    </row>
    <row r="91" spans="3:14">
      <c r="C91" s="20" t="str">
        <v>Taylor Swiftly</v>
      </c>
      <c r="D91" t="str">
        <v>Wellington</v>
      </c>
      <c r="E91">
        <v>170</v>
      </c>
      <c r="F91" s="21" t="str">
        <v>3 Hour performance, begins at 7PM on 15 Apr (2026)</v>
      </c>
      <c r="H91" s="20" t="str">
        <v>Taylor Swiftly</v>
      </c>
      <c r="I91" t="str">
        <v>Wellington</v>
      </c>
      <c r="J91" s="28">
        <v>170</v>
      </c>
      <c r="K91" t="str">
        <v>3 Hour performance, begins at 7PM on 15 Apr (2026)</v>
      </c>
      <c r="L91" t="str">
        <v xml:space="preserve"> 15 Apr (2026)</v>
      </c>
      <c r="M91" s="29">
        <v>46127</v>
      </c>
      <c r="N91" s="26" t="str">
        <v>7PM</v>
      </c>
    </row>
    <row r="92" spans="3:14">
      <c r="C92" s="20" t="str">
        <v>Post Lemon</v>
      </c>
      <c r="D92" t="str">
        <v>Wellington</v>
      </c>
      <c r="E92">
        <v>420</v>
      </c>
      <c r="F92" s="21" t="str">
        <v>TBA on 8 Aug (2025)</v>
      </c>
      <c r="H92" s="20" t="str">
        <v>Post Lemon</v>
      </c>
      <c r="I92" t="str">
        <v>Wellington</v>
      </c>
      <c r="J92" s="28">
        <v>420</v>
      </c>
      <c r="K92" t="str">
        <v>TBA on 8 Aug (2025)</v>
      </c>
      <c r="L92" t="str">
        <v xml:space="preserve"> 8 Aug (2025)</v>
      </c>
      <c r="M92" s="29">
        <v>45877</v>
      </c>
      <c r="N92" s="26" t="str">
        <v>TBA</v>
      </c>
    </row>
    <row r="93" spans="3:14">
      <c r="C93" s="20" t="str">
        <v>The Weekend Forecast</v>
      </c>
      <c r="D93" t="str">
        <v>Big Apple</v>
      </c>
      <c r="E93" t="str">
        <v>$200</v>
      </c>
      <c r="F93" s="21" t="str">
        <v>4 Hour show starting at 5PM</v>
      </c>
      <c r="H93" s="20" t="str">
        <v>The Weekend Forecast</v>
      </c>
      <c r="I93" t="str">
        <v>New York</v>
      </c>
      <c r="J93" s="28" t="str">
        <v>$200</v>
      </c>
      <c r="K93" t="str">
        <v>4 Hour show starting at 5PM</v>
      </c>
      <c r="L93" t="str">
        <v>TBA</v>
      </c>
      <c r="M93" s="29" t="str">
        <v/>
      </c>
      <c r="N93" s="26" t="str">
        <v>5PM</v>
      </c>
    </row>
    <row r="94" spans="3:14">
      <c r="C94" s="20" t="str">
        <v>Ed Shewalk</v>
      </c>
      <c r="D94" t="str">
        <v>Vegas</v>
      </c>
      <c r="E94" t="str">
        <v>$600</v>
      </c>
      <c r="F94" s="21" t="str">
        <v>4 Hour show starting at 8PM on 28 Sept (2025)</v>
      </c>
      <c r="H94" s="20" t="str">
        <v>Ed Shewalk</v>
      </c>
      <c r="I94" t="str">
        <v>Las Vegas</v>
      </c>
      <c r="J94" s="28" t="str">
        <v>$600</v>
      </c>
      <c r="K94" t="str">
        <v>4 Hour show starting at 8PM on 28 Sept (2025)</v>
      </c>
      <c r="L94" t="str">
        <v xml:space="preserve"> 28 Sept (2025)</v>
      </c>
      <c r="M94" s="29">
        <v>45928</v>
      </c>
      <c r="N94" s="26" t="str">
        <v>8PM</v>
      </c>
    </row>
    <row r="95" spans="3:14">
      <c r="C95" s="20" t="str">
        <v xml:space="preserve">Bruno Mars Bar </v>
      </c>
      <c r="D95" t="str">
        <v>London</v>
      </c>
      <c r="E95" t="str">
        <v>400</v>
      </c>
      <c r="F95" s="21" t="str">
        <v>Show starts at 7PM on 28 Jul (2025)</v>
      </c>
      <c r="H95" s="20" t="str">
        <v>Bruno Mars Bar</v>
      </c>
      <c r="I95" t="str">
        <v>London</v>
      </c>
      <c r="J95" s="28" t="str">
        <v>400</v>
      </c>
      <c r="K95" t="str">
        <v>Show starts at 7PM on 28 Jul (2025)</v>
      </c>
      <c r="L95" t="str">
        <v xml:space="preserve"> 28 Jul (2025)</v>
      </c>
      <c r="M95" s="29">
        <v>45866</v>
      </c>
      <c r="N95" s="26" t="str">
        <v>7PM</v>
      </c>
    </row>
    <row r="96" spans="3:14">
      <c r="C96" s="20" t="str">
        <v>Jonas Blizzards</v>
      </c>
      <c r="D96" t="str">
        <v>Las Vegas</v>
      </c>
      <c r="E96" t="str">
        <v>$100</v>
      </c>
      <c r="F96" s="21" t="str">
        <v>7PM Start</v>
      </c>
      <c r="H96" s="20" t="str">
        <v>Jonas Blizzards</v>
      </c>
      <c r="I96" t="str">
        <v>Las Vegas</v>
      </c>
      <c r="J96" s="28" t="str">
        <v>$100</v>
      </c>
      <c r="K96" t="str">
        <v>7PM Start</v>
      </c>
      <c r="L96" t="str">
        <v>TBA</v>
      </c>
      <c r="M96" s="29" t="str">
        <v/>
      </c>
      <c r="N96" s="26" t="str">
        <v>7PM</v>
      </c>
    </row>
    <row r="97" spans="3:14">
      <c r="C97" s="20" t="str">
        <v xml:space="preserve">Snoop Corgi </v>
      </c>
      <c r="D97" t="str">
        <v>Sydney</v>
      </c>
      <c r="E97" t="str">
        <v>£600</v>
      </c>
      <c r="F97" s="21" t="str">
        <v>3 Hour performance, begins at 5PM on 19 Oct (2026)</v>
      </c>
      <c r="H97" s="20" t="str">
        <v>Snoop Corgi</v>
      </c>
      <c r="I97" t="str">
        <v>Sydney</v>
      </c>
      <c r="J97" s="28" t="str">
        <v>£600</v>
      </c>
      <c r="K97" t="str">
        <v>3 Hour performance, begins at 5PM on 19 Oct (2026)</v>
      </c>
      <c r="L97" t="str">
        <v xml:space="preserve"> 19 Oct (2026)</v>
      </c>
      <c r="M97" s="29">
        <v>46314</v>
      </c>
      <c r="N97" s="26" t="str">
        <v>5PM</v>
      </c>
    </row>
    <row r="98" spans="3:14">
      <c r="C98" s="20" t="str">
        <v xml:space="preserve"> Imagine Wagons </v>
      </c>
      <c r="D98" t="str">
        <v>Bombay</v>
      </c>
      <c r="E98" t="str">
        <v>$500</v>
      </c>
      <c r="F98" s="21" t="str">
        <v>4 Hour show starting at 5PM on 31 Jul (2025)</v>
      </c>
      <c r="H98" s="20" t="str">
        <v>Imagine Wagons</v>
      </c>
      <c r="I98" t="str">
        <v>Mumbai</v>
      </c>
      <c r="J98" s="28" t="str">
        <v>$500</v>
      </c>
      <c r="K98" t="str">
        <v>4 Hour show starting at 5PM on 31 Jul (2025)</v>
      </c>
      <c r="L98" t="str">
        <v xml:space="preserve"> 31 Jul (2025)</v>
      </c>
      <c r="M98" s="29">
        <v>45869</v>
      </c>
      <c r="N98" s="26" t="str">
        <v>5PM</v>
      </c>
    </row>
    <row r="99" spans="3:14">
      <c r="C99" s="20" t="str">
        <v>Lizzoard</v>
      </c>
      <c r="D99" t="str">
        <v>Singapore</v>
      </c>
      <c r="E99" t="str">
        <v>$300</v>
      </c>
      <c r="F99" s="21" t="str">
        <v>10PM Start</v>
      </c>
      <c r="H99" s="20" t="str">
        <v>Lizzoard</v>
      </c>
      <c r="I99" t="str">
        <v>Singapore</v>
      </c>
      <c r="J99" s="28" t="str">
        <v>$300</v>
      </c>
      <c r="K99" t="str">
        <v>10PM Start</v>
      </c>
      <c r="L99" t="str">
        <v>TBA</v>
      </c>
      <c r="M99" s="29" t="str">
        <v/>
      </c>
      <c r="N99" s="26" t="str">
        <v>10PM</v>
      </c>
    </row>
    <row r="100" spans="3:14">
      <c r="C100" s="20" t="str">
        <v>Camila Cobello</v>
      </c>
      <c r="D100" t="str">
        <v>New York</v>
      </c>
      <c r="E100" t="str">
        <v>$200</v>
      </c>
      <c r="F100" s="21" t="str">
        <v>7PM Start</v>
      </c>
      <c r="H100" s="20" t="str">
        <v>Camila Cobello</v>
      </c>
      <c r="I100" t="str">
        <v>New York</v>
      </c>
      <c r="J100" s="28" t="str">
        <v>$200</v>
      </c>
      <c r="K100" t="str">
        <v>7PM Start</v>
      </c>
      <c r="L100" t="str">
        <v>TBA</v>
      </c>
      <c r="M100" s="29" t="str">
        <v/>
      </c>
      <c r="N100" s="26" t="str">
        <v>7PM</v>
      </c>
    </row>
    <row r="101" spans="3:14">
      <c r="C101" s="20" t="str">
        <v>Taylor Swiftly</v>
      </c>
      <c r="D101" t="str">
        <v>Vegas</v>
      </c>
      <c r="E101" t="str">
        <v>$100</v>
      </c>
      <c r="F101" s="21" t="str">
        <v>3 Hour performance, begins at 7PM on 14 Apr (2026)</v>
      </c>
      <c r="H101" s="20" t="str">
        <v>Taylor Swiftly</v>
      </c>
      <c r="I101" t="str">
        <v>Las Vegas</v>
      </c>
      <c r="J101" s="28" t="str">
        <v>$100</v>
      </c>
      <c r="K101" t="str">
        <v>3 Hour performance, begins at 7PM on 14 Apr (2026)</v>
      </c>
      <c r="L101" t="str">
        <v xml:space="preserve"> 14 Apr (2026)</v>
      </c>
      <c r="M101" s="29">
        <v>46126</v>
      </c>
      <c r="N101" s="26" t="str">
        <v>7PM</v>
      </c>
    </row>
    <row r="102" spans="3:14">
      <c r="C102" s="20" t="str">
        <v>Post Lemon</v>
      </c>
      <c r="D102" t="str">
        <v>Vegas</v>
      </c>
      <c r="E102">
        <v>0</v>
      </c>
      <c r="F102" s="21" t="str">
        <v>TBA on 9 Aug (2025)</v>
      </c>
      <c r="H102" s="20" t="str">
        <v>Post Lemon</v>
      </c>
      <c r="I102" t="str">
        <v>Las Vegas</v>
      </c>
      <c r="J102" s="28" t="str">
        <v>TBA</v>
      </c>
      <c r="K102" t="str">
        <v>TBA on 9 Aug (2025)</v>
      </c>
      <c r="L102" t="str">
        <v xml:space="preserve"> 9 Aug (2025)</v>
      </c>
      <c r="M102" s="29">
        <v>45878</v>
      </c>
      <c r="N102" s="26" t="str">
        <v>TBA</v>
      </c>
    </row>
    <row r="103" spans="3:14">
      <c r="C103" s="20" t="str">
        <v>Harry Styles of Hair</v>
      </c>
      <c r="D103" t="str">
        <v>Chicago</v>
      </c>
      <c r="E103" t="str">
        <v>$300</v>
      </c>
      <c r="F103" s="21" t="str">
        <v>Event begins at 10PM on 12 Jul (2025)</v>
      </c>
      <c r="H103" s="20" t="str">
        <v>Harry Styles of Hair</v>
      </c>
      <c r="I103" t="str">
        <v>Chicago</v>
      </c>
      <c r="J103" s="28" t="str">
        <v>$300</v>
      </c>
      <c r="K103" t="str">
        <v>Event begins at 10PM on 12 Jul (2025)</v>
      </c>
      <c r="L103" t="str">
        <v xml:space="preserve"> 12 Jul (2025)</v>
      </c>
      <c r="M103" s="29">
        <v>45850</v>
      </c>
      <c r="N103" s="26" t="str">
        <v>10PM</v>
      </c>
    </row>
    <row r="104" spans="3:14">
      <c r="C104" s="20" t="str">
        <v xml:space="preserve"> Bruno Mars Bar </v>
      </c>
      <c r="D104" t="str">
        <v>Sydney</v>
      </c>
      <c r="E104" t="str">
        <v>$300</v>
      </c>
      <c r="F104" s="21" t="str">
        <v>9PM Start on 17-Feb-2026</v>
      </c>
      <c r="H104" s="20" t="str">
        <v>Bruno Mars Bar</v>
      </c>
      <c r="I104" t="str">
        <v>Sydney</v>
      </c>
      <c r="J104" s="28" t="str">
        <v>$300</v>
      </c>
      <c r="K104" t="str">
        <v>9PM Start on 17-Feb-2026</v>
      </c>
      <c r="L104" t="str">
        <v xml:space="preserve"> 17-Feb-2026</v>
      </c>
      <c r="M104" s="29">
        <v>46070</v>
      </c>
      <c r="N104" s="26" t="str">
        <v>9PM</v>
      </c>
    </row>
    <row r="105" spans="3:14">
      <c r="C105" s="20" t="str">
        <v>Shawn Mender</v>
      </c>
      <c r="D105" t="str">
        <v>Sin city</v>
      </c>
      <c r="E105">
        <v>0</v>
      </c>
      <c r="F105" s="21" t="str">
        <v>4 Hour show starting at 6PM on 5 Feb (2026)</v>
      </c>
      <c r="H105" s="20" t="str">
        <v>Shawn Mender</v>
      </c>
      <c r="I105" t="str">
        <v>Las Vegas</v>
      </c>
      <c r="J105" s="28" t="str">
        <v>TBA</v>
      </c>
      <c r="K105" t="str">
        <v>4 Hour show starting at 6PM on 5 Feb (2026)</v>
      </c>
      <c r="L105" t="str">
        <v xml:space="preserve"> 5 Feb (2026)</v>
      </c>
      <c r="M105" s="29">
        <v>46058</v>
      </c>
      <c r="N105" s="26" t="str">
        <v>6PM</v>
      </c>
    </row>
    <row r="106" spans="3:14">
      <c r="C106" s="20" t="str">
        <v>Taylor Swiftly</v>
      </c>
      <c r="D106" t="str">
        <v>Singapore</v>
      </c>
      <c r="E106" t="str">
        <v>$500</v>
      </c>
      <c r="F106" s="21" t="str">
        <v>Event begins at 7PM on 18-Jun-2026</v>
      </c>
      <c r="H106" s="20" t="str">
        <v>Taylor Swiftly</v>
      </c>
      <c r="I106" t="str">
        <v>Singapore</v>
      </c>
      <c r="J106" s="28" t="str">
        <v>$500</v>
      </c>
      <c r="K106" t="str">
        <v>Event begins at 7PM on 18-Jun-2026</v>
      </c>
      <c r="L106" t="str">
        <v xml:space="preserve"> 18-Jun-2026</v>
      </c>
      <c r="M106" s="29">
        <v>46191</v>
      </c>
      <c r="N106" s="26" t="str">
        <v>7PM</v>
      </c>
    </row>
    <row r="107" spans="3:14">
      <c r="C107" s="20" t="str">
        <v xml:space="preserve">Jonas Blizzards </v>
      </c>
      <c r="D107" t="str">
        <v>Chicago</v>
      </c>
      <c r="E107" t="str">
        <v>$400</v>
      </c>
      <c r="F107" s="21" t="str">
        <v>4 Hour show starting at 9PM on 19-Jul-2026</v>
      </c>
      <c r="H107" s="20" t="str">
        <v>Jonas Blizzards</v>
      </c>
      <c r="I107" t="str">
        <v>Chicago</v>
      </c>
      <c r="J107" s="28" t="str">
        <v>$400</v>
      </c>
      <c r="K107" t="str">
        <v>4 Hour show starting at 9PM on 19-Jul-2026</v>
      </c>
      <c r="L107" t="str">
        <v xml:space="preserve"> 19-Jul-2026</v>
      </c>
      <c r="M107" s="29">
        <v>46222</v>
      </c>
      <c r="N107" s="26" t="str">
        <v>9PM</v>
      </c>
    </row>
    <row r="108" spans="3:14">
      <c r="C108" s="20" t="str">
        <v>Cardi Bee</v>
      </c>
      <c r="D108">
        <v>0</v>
      </c>
      <c r="E108" t="str">
        <v>$100</v>
      </c>
      <c r="F108" s="21" t="str">
        <v>Show starts at 8PM</v>
      </c>
      <c r="H108" s="20" t="str">
        <v>Cardi Bee</v>
      </c>
      <c r="I108" t="str">
        <v>Unknown</v>
      </c>
      <c r="J108" s="28" t="str">
        <v>$100</v>
      </c>
      <c r="K108" t="str">
        <v>Show starts at 8PM</v>
      </c>
      <c r="L108" t="str">
        <v>TBA</v>
      </c>
      <c r="M108" s="29" t="str">
        <v/>
      </c>
      <c r="N108" s="26" t="str">
        <v>8PM</v>
      </c>
    </row>
    <row r="109" spans="3:14">
      <c r="C109" s="20" t="str">
        <v>Shawn Mender</v>
      </c>
      <c r="D109" t="str">
        <v>Chicago</v>
      </c>
      <c r="E109" t="str">
        <v>600</v>
      </c>
      <c r="F109" s="21" t="str">
        <v>3 Hour performance, begins at 9PM</v>
      </c>
      <c r="H109" s="20" t="str">
        <v>Shawn Mender</v>
      </c>
      <c r="I109" t="str">
        <v>Chicago</v>
      </c>
      <c r="J109" s="28" t="str">
        <v>600</v>
      </c>
      <c r="K109" t="str">
        <v>3 Hour performance, begins at 9PM</v>
      </c>
      <c r="L109" t="str">
        <v>TBA</v>
      </c>
      <c r="M109" s="29" t="str">
        <v/>
      </c>
      <c r="N109" s="26" t="str">
        <v>9PM</v>
      </c>
    </row>
    <row r="110" spans="3:14">
      <c r="C110" s="20" t="str">
        <v>Harry Styles of Hair</v>
      </c>
      <c r="D110" t="str">
        <v>Las Vegas</v>
      </c>
      <c r="E110" t="str">
        <v>£500</v>
      </c>
      <c r="F110" s="21" t="str">
        <v>7PM Start on 16 Dec (2025)</v>
      </c>
      <c r="H110" s="20" t="str">
        <v>Harry Styles of Hair</v>
      </c>
      <c r="I110" t="str">
        <v>Las Vegas</v>
      </c>
      <c r="J110" s="28" t="str">
        <v>£500</v>
      </c>
      <c r="K110" t="str">
        <v>7PM Start on 16 Dec (2025)</v>
      </c>
      <c r="L110" t="str">
        <v xml:space="preserve"> 16 Dec (2025)</v>
      </c>
      <c r="M110" s="29">
        <v>46007</v>
      </c>
      <c r="N110" s="26" t="str">
        <v>7PM</v>
      </c>
    </row>
    <row r="111" spans="3:14">
      <c r="C111" s="20" t="str">
        <v>Billie Eyelash</v>
      </c>
      <c r="D111" t="str">
        <v>Vegas</v>
      </c>
      <c r="E111" t="str">
        <v>£100</v>
      </c>
      <c r="F111" s="21" t="str">
        <v>3 Hour performance, begins at 9PM</v>
      </c>
      <c r="H111" s="20" t="str">
        <v>Billie Eyelash</v>
      </c>
      <c r="I111" t="str">
        <v>Las Vegas</v>
      </c>
      <c r="J111" s="28" t="str">
        <v>£100</v>
      </c>
      <c r="K111" t="str">
        <v>3 Hour performance, begins at 9PM</v>
      </c>
      <c r="L111" t="str">
        <v>TBA</v>
      </c>
      <c r="M111" s="29" t="str">
        <v/>
      </c>
      <c r="N111" s="26" t="str">
        <v>9PM</v>
      </c>
    </row>
    <row r="112" spans="3:14">
      <c r="C112" s="20" t="str">
        <v>Selena Go-Go</v>
      </c>
      <c r="D112" t="str">
        <v>New York</v>
      </c>
      <c r="E112" t="str">
        <v>$400</v>
      </c>
      <c r="F112" s="21" t="str">
        <v>3 Hour performance, begins at 10PM on 27-Apr-2026</v>
      </c>
      <c r="H112" s="20" t="str">
        <v>Selena Go-Go</v>
      </c>
      <c r="I112" t="str">
        <v>New York</v>
      </c>
      <c r="J112" s="28" t="str">
        <v>$400</v>
      </c>
      <c r="K112" t="str">
        <v>3 Hour performance, begins at 10PM on 27-Apr-2026</v>
      </c>
      <c r="L112" t="str">
        <v xml:space="preserve"> 27-Apr-2026</v>
      </c>
      <c r="M112" s="29">
        <v>46139</v>
      </c>
      <c r="N112" s="26" t="str">
        <v>10PM</v>
      </c>
    </row>
    <row r="113" spans="3:14">
      <c r="C113" s="20" t="str">
        <v>Jonas Blizzards</v>
      </c>
      <c r="D113" t="str">
        <v>Singapore</v>
      </c>
      <c r="E113" t="str">
        <v>£100</v>
      </c>
      <c r="F113" s="21" t="str">
        <v>10PM Start</v>
      </c>
      <c r="H113" s="20" t="str">
        <v>Jonas Blizzards</v>
      </c>
      <c r="I113" t="str">
        <v>Singapore</v>
      </c>
      <c r="J113" s="28" t="str">
        <v>£100</v>
      </c>
      <c r="K113" t="str">
        <v>10PM Start</v>
      </c>
      <c r="L113" t="str">
        <v>TBA</v>
      </c>
      <c r="M113" s="29" t="str">
        <v/>
      </c>
      <c r="N113" s="26" t="str">
        <v>10PM</v>
      </c>
    </row>
    <row r="114" spans="3:14">
      <c r="C114" s="20" t="str">
        <v>Marooned 5</v>
      </c>
      <c r="D114" t="str">
        <v>Vegas</v>
      </c>
      <c r="E114" t="str">
        <v>$100</v>
      </c>
      <c r="F114" s="21" t="str">
        <v>Event begins at 7PM on 23-Oct-2025</v>
      </c>
      <c r="H114" s="20" t="str">
        <v>Marooned 5</v>
      </c>
      <c r="I114" t="str">
        <v>Las Vegas</v>
      </c>
      <c r="J114" s="28" t="str">
        <v>$100</v>
      </c>
      <c r="K114" t="str">
        <v>Event begins at 7PM on 23-Oct-2025</v>
      </c>
      <c r="L114" t="str">
        <v xml:space="preserve"> 23-Oct-2025</v>
      </c>
      <c r="M114" s="29">
        <v>45953</v>
      </c>
      <c r="N114" s="26" t="str">
        <v>7PM</v>
      </c>
    </row>
    <row r="115" spans="3:14">
      <c r="C115" s="20" t="str">
        <v>Post Lemon</v>
      </c>
      <c r="D115" t="str">
        <v>Sin city</v>
      </c>
      <c r="E115" t="str">
        <v>600</v>
      </c>
      <c r="F115" s="21" t="str">
        <v>Show starts at 9PM on 25 Dec (2025)</v>
      </c>
      <c r="H115" s="20" t="str">
        <v>Post Lemon</v>
      </c>
      <c r="I115" t="str">
        <v>Las Vegas</v>
      </c>
      <c r="J115" s="28" t="str">
        <v>600</v>
      </c>
      <c r="K115" t="str">
        <v>Show starts at 9PM on 25 Dec (2025)</v>
      </c>
      <c r="L115" t="str">
        <v xml:space="preserve"> 25 Dec (2025)</v>
      </c>
      <c r="M115" s="29">
        <v>46016</v>
      </c>
      <c r="N115" s="26" t="str">
        <v>9PM</v>
      </c>
    </row>
    <row r="116" spans="3:14">
      <c r="C116" s="20" t="str">
        <v>Drake Mallard</v>
      </c>
      <c r="D116" t="str">
        <v>London</v>
      </c>
      <c r="E116" t="str">
        <v>$300</v>
      </c>
      <c r="F116" s="21" t="str">
        <v>Event begins at 8PM on 10-Jul-2025</v>
      </c>
      <c r="H116" s="20" t="str">
        <v>Drake Mallard</v>
      </c>
      <c r="I116" t="str">
        <v>London</v>
      </c>
      <c r="J116" s="28" t="str">
        <v>$300</v>
      </c>
      <c r="K116" t="str">
        <v>Event begins at 8PM on 10-Jul-2025</v>
      </c>
      <c r="L116" t="str">
        <v xml:space="preserve"> 10-Jul-2025</v>
      </c>
      <c r="M116" s="29">
        <v>45848</v>
      </c>
      <c r="N116" s="26" t="str">
        <v>8PM</v>
      </c>
    </row>
    <row r="117" spans="3:14">
      <c r="C117" s="20" t="str">
        <v>Sam Smithy</v>
      </c>
      <c r="D117" t="str">
        <v>Chicago</v>
      </c>
      <c r="E117" t="str">
        <v>$600</v>
      </c>
      <c r="F117" s="21" t="str">
        <v>7PM Start on 21-Nov-2026</v>
      </c>
      <c r="H117" s="20" t="str">
        <v>Sam Smithy</v>
      </c>
      <c r="I117" t="str">
        <v>Chicago</v>
      </c>
      <c r="J117" s="28" t="str">
        <v>$600</v>
      </c>
      <c r="K117" t="str">
        <v>7PM Start on 21-Nov-2026</v>
      </c>
      <c r="L117" t="str">
        <v xml:space="preserve"> 21-Nov-2026</v>
      </c>
      <c r="M117" s="29">
        <v>46347</v>
      </c>
      <c r="N117" s="26" t="str">
        <v>7PM</v>
      </c>
    </row>
    <row r="118" spans="3:14">
      <c r="C118" s="20" t="str">
        <v>Marooned 5</v>
      </c>
      <c r="D118" t="str">
        <v>Mumbai</v>
      </c>
      <c r="E118" t="str">
        <v>100</v>
      </c>
      <c r="F118" s="21" t="str">
        <v>4 Hour show starting at 9PM on 23-Mar-2026</v>
      </c>
      <c r="H118" s="20" t="str">
        <v>Marooned 5</v>
      </c>
      <c r="I118" t="str">
        <v>Mumbai</v>
      </c>
      <c r="J118" s="28" t="str">
        <v>100</v>
      </c>
      <c r="K118" t="str">
        <v>4 Hour show starting at 9PM on 23-Mar-2026</v>
      </c>
      <c r="L118" t="str">
        <v xml:space="preserve"> 23-Mar-2026</v>
      </c>
      <c r="M118" s="29">
        <v>46104</v>
      </c>
      <c r="N118" s="26" t="str">
        <v>9PM</v>
      </c>
    </row>
    <row r="119" spans="3:14">
      <c r="C119" s="20" t="str">
        <v>Justin Woodenpond</v>
      </c>
      <c r="D119" t="str">
        <v>Chicago</v>
      </c>
      <c r="E119" t="str">
        <v>£100</v>
      </c>
      <c r="F119" s="21" t="str">
        <v>7PM Start</v>
      </c>
      <c r="H119" s="20" t="str">
        <v>Justin Woodenpond</v>
      </c>
      <c r="I119" t="str">
        <v>Chicago</v>
      </c>
      <c r="J119" s="28" t="str">
        <v>£100</v>
      </c>
      <c r="K119" t="str">
        <v>7PM Start</v>
      </c>
      <c r="L119" t="str">
        <v>TBA</v>
      </c>
      <c r="M119" s="29" t="str">
        <v/>
      </c>
      <c r="N119" s="26" t="str">
        <v>7PM</v>
      </c>
    </row>
    <row r="120" spans="3:14">
      <c r="C120" s="20" t="str">
        <v>Lady Gaggle</v>
      </c>
      <c r="D120" t="str">
        <v>Vegas</v>
      </c>
      <c r="E120" t="str">
        <v>400</v>
      </c>
      <c r="F120" s="21" t="str">
        <v>Event begins at 6PM on 8-Jun-2026</v>
      </c>
      <c r="H120" s="20" t="str">
        <v>Lady Gaggle</v>
      </c>
      <c r="I120" t="str">
        <v>Las Vegas</v>
      </c>
      <c r="J120" s="28" t="str">
        <v>400</v>
      </c>
      <c r="K120" t="str">
        <v>Event begins at 6PM on 8-Jun-2026</v>
      </c>
      <c r="L120" t="str">
        <v xml:space="preserve"> 8-Jun-2026</v>
      </c>
      <c r="M120" s="29">
        <v>46181</v>
      </c>
      <c r="N120" s="26" t="str">
        <v>6PM</v>
      </c>
    </row>
    <row r="121" spans="3:14">
      <c r="C121" s="20" t="str">
        <v>Alicia Keys to the City</v>
      </c>
      <c r="D121" t="str">
        <v>Chicago</v>
      </c>
      <c r="E121" t="str">
        <v>$600</v>
      </c>
      <c r="F121" s="21" t="str">
        <v>5PM Start on 12 Dec (2026)</v>
      </c>
      <c r="H121" s="20" t="str">
        <v>Alicia Keys to the City</v>
      </c>
      <c r="I121" t="str">
        <v>Chicago</v>
      </c>
      <c r="J121" s="28" t="str">
        <v>$600</v>
      </c>
      <c r="K121" t="str">
        <v>5PM Start on 12 Dec (2026)</v>
      </c>
      <c r="L121" t="str">
        <v xml:space="preserve"> 12 Dec (2026)</v>
      </c>
      <c r="M121" s="29">
        <v>46368</v>
      </c>
      <c r="N121" s="26" t="str">
        <v>5PM</v>
      </c>
    </row>
    <row r="122" spans="3:14">
      <c r="C122" s="20" t="str">
        <v>Snoop Corgi</v>
      </c>
      <c r="D122" t="str">
        <v>Sin city</v>
      </c>
      <c r="E122" t="str">
        <v>$100</v>
      </c>
      <c r="F122" s="21" t="str">
        <v>4 Hour show starting at 9PM on 15-Dec-2026</v>
      </c>
      <c r="H122" s="20" t="str">
        <v>Snoop Corgi</v>
      </c>
      <c r="I122" t="str">
        <v>Las Vegas</v>
      </c>
      <c r="J122" s="28" t="str">
        <v>$100</v>
      </c>
      <c r="K122" t="str">
        <v>4 Hour show starting at 9PM on 15-Dec-2026</v>
      </c>
      <c r="L122" t="str">
        <v xml:space="preserve"> 15-Dec-2026</v>
      </c>
      <c r="M122" s="29">
        <v>46371</v>
      </c>
      <c r="N122" s="26" t="str">
        <v>9PM</v>
      </c>
    </row>
    <row r="123" spans="3:14">
      <c r="C123" s="20" t="str">
        <v>Harry Styles of Hair</v>
      </c>
      <c r="D123" t="str">
        <v>Sydney</v>
      </c>
      <c r="E123" t="str">
        <v>$400</v>
      </c>
      <c r="F123" s="21" t="str">
        <v>7PM Start</v>
      </c>
      <c r="H123" s="20" t="str">
        <v>Harry Styles of Hair</v>
      </c>
      <c r="I123" t="str">
        <v>Sydney</v>
      </c>
      <c r="J123" s="28" t="str">
        <v>$400</v>
      </c>
      <c r="K123" t="str">
        <v>7PM Start</v>
      </c>
      <c r="L123" t="str">
        <v>TBA</v>
      </c>
      <c r="M123" s="29" t="str">
        <v/>
      </c>
      <c r="N123" s="26" t="str">
        <v>7PM</v>
      </c>
    </row>
    <row r="124" spans="3:14">
      <c r="C124" s="20" t="str">
        <v>Sam Smithy</v>
      </c>
      <c r="D124" t="str">
        <v>Mumbai</v>
      </c>
      <c r="E124" t="str">
        <v>$500</v>
      </c>
      <c r="F124" s="21" t="str">
        <v>3 Hour performance, begins at 6PM on 12 Nov (2025)</v>
      </c>
      <c r="H124" s="20" t="str">
        <v>Sam Smithy</v>
      </c>
      <c r="I124" t="str">
        <v>Mumbai</v>
      </c>
      <c r="J124" s="28" t="str">
        <v>$500</v>
      </c>
      <c r="K124" t="str">
        <v>3 Hour performance, begins at 6PM on 12 Nov (2025)</v>
      </c>
      <c r="L124" t="str">
        <v xml:space="preserve"> 12 Nov (2025)</v>
      </c>
      <c r="M124" s="29">
        <v>45973</v>
      </c>
      <c r="N124" s="26" t="str">
        <v>6PM</v>
      </c>
    </row>
    <row r="125" spans="3:14">
      <c r="C125" s="20" t="str">
        <v>Harry Styles of Hair</v>
      </c>
      <c r="D125" t="str">
        <v>Singapore</v>
      </c>
      <c r="E125" t="str">
        <v>$400</v>
      </c>
      <c r="F125" s="21" t="str">
        <v>4 Hour show starting at 10PM on 7 Nov (2025)</v>
      </c>
      <c r="H125" s="20" t="str">
        <v>Harry Styles of Hair</v>
      </c>
      <c r="I125" t="str">
        <v>Singapore</v>
      </c>
      <c r="J125" s="28" t="str">
        <v>$400</v>
      </c>
      <c r="K125" t="str">
        <v>4 Hour show starting at 10PM on 7 Nov (2025)</v>
      </c>
      <c r="L125" t="str">
        <v xml:space="preserve"> 7 Nov (2025)</v>
      </c>
      <c r="M125" s="29">
        <v>45968</v>
      </c>
      <c r="N125" s="26" t="str">
        <v>10PM</v>
      </c>
    </row>
    <row r="126" spans="3:14">
      <c r="C126" s="20" t="str">
        <v>Snoop Corgi</v>
      </c>
      <c r="D126" t="str">
        <v>Singapore</v>
      </c>
      <c r="E126" t="str">
        <v>$400</v>
      </c>
      <c r="F126" s="21" t="str">
        <v>6PM Start</v>
      </c>
      <c r="H126" s="20" t="str">
        <v>Snoop Corgi</v>
      </c>
      <c r="I126" t="str">
        <v>Singapore</v>
      </c>
      <c r="J126" s="28" t="str">
        <v>$400</v>
      </c>
      <c r="K126" t="str">
        <v>6PM Start</v>
      </c>
      <c r="L126" t="str">
        <v>TBA</v>
      </c>
      <c r="M126" s="29" t="str">
        <v/>
      </c>
      <c r="N126" s="26" t="str">
        <v>6PM</v>
      </c>
    </row>
    <row r="127" spans="3:14">
      <c r="C127" s="20" t="str">
        <v>Bruno Mars Bar</v>
      </c>
      <c r="D127" t="str">
        <v>Chicago</v>
      </c>
      <c r="E127" t="str">
        <v>£100</v>
      </c>
      <c r="F127" s="21" t="str">
        <v>3 Hour performance, begins at 7PM</v>
      </c>
      <c r="H127" s="20" t="str">
        <v>Bruno Mars Bar</v>
      </c>
      <c r="I127" t="str">
        <v>Chicago</v>
      </c>
      <c r="J127" s="28" t="str">
        <v>£100</v>
      </c>
      <c r="K127" t="str">
        <v>3 Hour performance, begins at 7PM</v>
      </c>
      <c r="L127" t="str">
        <v>TBA</v>
      </c>
      <c r="M127" s="29" t="str">
        <v/>
      </c>
      <c r="N127" s="26" t="str">
        <v>7PM</v>
      </c>
    </row>
    <row r="128" spans="3:14">
      <c r="C128" s="20" t="str">
        <v xml:space="preserve"> Ed Shewalk </v>
      </c>
      <c r="D128" t="str">
        <v>Vegas</v>
      </c>
      <c r="E128" t="str">
        <v>£500</v>
      </c>
      <c r="F128" s="21" t="str">
        <v>TBA</v>
      </c>
      <c r="H128" s="20" t="str">
        <v>Ed Shewalk</v>
      </c>
      <c r="I128" t="str">
        <v>Las Vegas</v>
      </c>
      <c r="J128" s="28" t="str">
        <v>£500</v>
      </c>
      <c r="K128" t="str">
        <v>TBA</v>
      </c>
      <c r="L128" t="str">
        <v>TBA</v>
      </c>
      <c r="M128" s="29" t="str">
        <v/>
      </c>
      <c r="N128" s="26" t="str">
        <v>TBA</v>
      </c>
    </row>
    <row r="129" spans="3:14">
      <c r="C129" s="20" t="str">
        <v>Ellie Goldfish</v>
      </c>
      <c r="D129" t="str">
        <v>Bombay</v>
      </c>
      <c r="E129" t="str">
        <v>$300</v>
      </c>
      <c r="F129" s="21" t="str">
        <v>Show starts at 8PM on 21 Jan (2026)</v>
      </c>
      <c r="H129" s="20" t="str">
        <v>Ellie Goldfish</v>
      </c>
      <c r="I129" t="str">
        <v>Mumbai</v>
      </c>
      <c r="J129" s="28" t="str">
        <v>$300</v>
      </c>
      <c r="K129" t="str">
        <v>Show starts at 8PM on 21 Jan (2026)</v>
      </c>
      <c r="L129" t="str">
        <v xml:space="preserve"> 21 Jan (2026)</v>
      </c>
      <c r="M129" s="29">
        <v>46043</v>
      </c>
      <c r="N129" s="26" t="str">
        <v>8PM</v>
      </c>
    </row>
    <row r="130" spans="3:14">
      <c r="C130" s="20" t="str">
        <v>Sam Smithy</v>
      </c>
      <c r="D130" t="str">
        <v>Chicago</v>
      </c>
      <c r="E130" t="str">
        <v>$500</v>
      </c>
      <c r="F130" s="21" t="str">
        <v>Show starts at 6PM on 20-Mar-2026</v>
      </c>
      <c r="H130" s="20" t="str">
        <v>Sam Smithy</v>
      </c>
      <c r="I130" t="str">
        <v>Chicago</v>
      </c>
      <c r="J130" s="28" t="str">
        <v>$500</v>
      </c>
      <c r="K130" t="str">
        <v>Show starts at 6PM on 20-Mar-2026</v>
      </c>
      <c r="L130" t="str">
        <v xml:space="preserve"> 20-Mar-2026</v>
      </c>
      <c r="M130" s="29">
        <v>46101</v>
      </c>
      <c r="N130" s="26" t="str">
        <v>6PM</v>
      </c>
    </row>
    <row r="131" spans="3:14">
      <c r="C131" s="20" t="str">
        <v>Jonas Blizzards</v>
      </c>
      <c r="D131" t="str">
        <v>London</v>
      </c>
      <c r="E131" t="str">
        <v>$600</v>
      </c>
      <c r="F131" s="21" t="str">
        <v>9PM Start on 1-Jul-2026</v>
      </c>
      <c r="H131" s="20" t="str">
        <v>Jonas Blizzards</v>
      </c>
      <c r="I131" t="str">
        <v>London</v>
      </c>
      <c r="J131" s="28" t="str">
        <v>$600</v>
      </c>
      <c r="K131" t="str">
        <v>9PM Start on 1-Jul-2026</v>
      </c>
      <c r="L131" t="str">
        <v xml:space="preserve"> 1-Jul-2026</v>
      </c>
      <c r="M131" s="29">
        <v>46204</v>
      </c>
      <c r="N131" s="26" t="str">
        <v>9PM</v>
      </c>
    </row>
    <row r="132" spans="3:14">
      <c r="C132" s="20" t="str">
        <v>Alicia Keys to the City</v>
      </c>
      <c r="D132" t="str">
        <v>Big Apple</v>
      </c>
      <c r="E132" t="str">
        <v>$200</v>
      </c>
      <c r="F132" s="21" t="str">
        <v>6PM Start</v>
      </c>
      <c r="H132" s="20" t="str">
        <v>Alicia Keys to the City</v>
      </c>
      <c r="I132" t="str">
        <v>New York</v>
      </c>
      <c r="J132" s="28" t="str">
        <v>$200</v>
      </c>
      <c r="K132" t="str">
        <v>6PM Start</v>
      </c>
      <c r="L132" t="str">
        <v>TBA</v>
      </c>
      <c r="M132" s="29" t="str">
        <v/>
      </c>
      <c r="N132" s="26" t="str">
        <v>6PM</v>
      </c>
    </row>
    <row r="133" spans="3:14">
      <c r="C133" s="20" t="str">
        <v>Cardi Bee</v>
      </c>
      <c r="D133" t="str">
        <v>Big Apple</v>
      </c>
      <c r="E133" t="str">
        <v>$500</v>
      </c>
      <c r="F133" s="21" t="str">
        <v>Event begins at 10PM on 21-Dec-2025</v>
      </c>
      <c r="H133" s="20" t="str">
        <v>Cardi Bee</v>
      </c>
      <c r="I133" t="str">
        <v>New York</v>
      </c>
      <c r="J133" s="28" t="str">
        <v>$500</v>
      </c>
      <c r="K133" t="str">
        <v>Event begins at 10PM on 21-Dec-2025</v>
      </c>
      <c r="L133" t="str">
        <v xml:space="preserve"> 21-Dec-2025</v>
      </c>
      <c r="M133" s="29">
        <v>46012</v>
      </c>
      <c r="N133" s="26" t="str">
        <v>10PM</v>
      </c>
    </row>
    <row r="134" spans="3:14">
      <c r="C134" s="20" t="str">
        <v>Shawn Mender</v>
      </c>
      <c r="D134" t="str">
        <v>Sydney</v>
      </c>
      <c r="E134" t="str">
        <v>$300</v>
      </c>
      <c r="F134" s="21" t="str">
        <v>Show starts at 8PM on 4-Jun-2025</v>
      </c>
      <c r="H134" s="20" t="str">
        <v>Shawn Mender</v>
      </c>
      <c r="I134" t="str">
        <v>Sydney</v>
      </c>
      <c r="J134" s="28" t="str">
        <v>$300</v>
      </c>
      <c r="K134" t="str">
        <v>Show starts at 8PM on 4-Jun-2025</v>
      </c>
      <c r="L134" t="str">
        <v xml:space="preserve"> 4-Jun-2025</v>
      </c>
      <c r="M134" s="29">
        <v>45812</v>
      </c>
      <c r="N134" s="26" t="str">
        <v>8PM</v>
      </c>
    </row>
    <row r="135" spans="3:14">
      <c r="C135" s="20" t="str">
        <v>Alicia Keys to the City</v>
      </c>
      <c r="D135" t="str">
        <v>New York</v>
      </c>
      <c r="E135" t="str">
        <v>$300</v>
      </c>
      <c r="F135" s="21" t="str">
        <v>4 Hour show starting at 9PM on 5-Dec-2026</v>
      </c>
      <c r="H135" s="20" t="str">
        <v>Alicia Keys to the City</v>
      </c>
      <c r="I135" t="str">
        <v>New York</v>
      </c>
      <c r="J135" s="28" t="str">
        <v>$300</v>
      </c>
      <c r="K135" t="str">
        <v>4 Hour show starting at 9PM on 5-Dec-2026</v>
      </c>
      <c r="L135" t="str">
        <v xml:space="preserve"> 5-Dec-2026</v>
      </c>
      <c r="M135" s="29">
        <v>46361</v>
      </c>
      <c r="N135" s="26" t="str">
        <v>9PM</v>
      </c>
    </row>
    <row r="136" spans="3:14">
      <c r="C136" s="20" t="str">
        <v xml:space="preserve">Billie Eyelash </v>
      </c>
      <c r="D136" t="str">
        <v>Bombay</v>
      </c>
      <c r="E136" t="str">
        <v>$100</v>
      </c>
      <c r="F136" s="21" t="str">
        <v>TBA on 25 Nov (2026)</v>
      </c>
      <c r="H136" s="20" t="str">
        <v>Billie Eyelash</v>
      </c>
      <c r="I136" t="str">
        <v>Mumbai</v>
      </c>
      <c r="J136" s="28" t="str">
        <v>$100</v>
      </c>
      <c r="K136" t="str">
        <v>TBA on 25 Nov (2026)</v>
      </c>
      <c r="L136" t="str">
        <v xml:space="preserve"> 25 Nov (2026)</v>
      </c>
      <c r="M136" s="29">
        <v>46351</v>
      </c>
      <c r="N136" s="26" t="str">
        <v>TBA</v>
      </c>
    </row>
    <row r="137" spans="3:14">
      <c r="C137" s="20" t="str">
        <v>Alicia Keys to the City</v>
      </c>
      <c r="D137" t="str">
        <v>Vegas</v>
      </c>
      <c r="E137" t="str">
        <v>$600</v>
      </c>
      <c r="F137" s="21" t="str">
        <v>Show starts at 6PM</v>
      </c>
      <c r="H137" s="20" t="str">
        <v>Alicia Keys to the City</v>
      </c>
      <c r="I137" t="str">
        <v>Las Vegas</v>
      </c>
      <c r="J137" s="28" t="str">
        <v>$600</v>
      </c>
      <c r="K137" t="str">
        <v>Show starts at 6PM</v>
      </c>
      <c r="L137" t="str">
        <v>TBA</v>
      </c>
      <c r="M137" s="29" t="str">
        <v/>
      </c>
      <c r="N137" s="26" t="str">
        <v>6PM</v>
      </c>
    </row>
    <row r="138" spans="3:14">
      <c r="C138" s="20" t="str">
        <v>Ellie Goldfish</v>
      </c>
      <c r="D138" t="str">
        <v>New York</v>
      </c>
      <c r="E138" t="str">
        <v>$300</v>
      </c>
      <c r="F138" s="21" t="str">
        <v>Event begins at 9PM</v>
      </c>
      <c r="H138" s="20" t="str">
        <v>Ellie Goldfish</v>
      </c>
      <c r="I138" t="str">
        <v>New York</v>
      </c>
      <c r="J138" s="28" t="str">
        <v>$300</v>
      </c>
      <c r="K138" t="str">
        <v>Event begins at 9PM</v>
      </c>
      <c r="L138" t="str">
        <v>TBA</v>
      </c>
      <c r="M138" s="29" t="str">
        <v/>
      </c>
      <c r="N138" s="26" t="str">
        <v>9PM</v>
      </c>
    </row>
    <row r="139" spans="3:14">
      <c r="C139" s="20" t="str">
        <v xml:space="preserve">Harry Styles of Hair </v>
      </c>
      <c r="D139" t="str">
        <v>Bombay</v>
      </c>
      <c r="E139" t="str">
        <v>$300</v>
      </c>
      <c r="F139" s="21" t="str">
        <v>3 Hour performance, begins at 7PM</v>
      </c>
      <c r="H139" s="20" t="str">
        <v>Harry Styles of Hair</v>
      </c>
      <c r="I139" t="str">
        <v>Mumbai</v>
      </c>
      <c r="J139" s="28" t="str">
        <v>$300</v>
      </c>
      <c r="K139" t="str">
        <v>3 Hour performance, begins at 7PM</v>
      </c>
      <c r="L139" t="str">
        <v>TBA</v>
      </c>
      <c r="M139" s="29" t="str">
        <v/>
      </c>
      <c r="N139" s="26" t="str">
        <v>7PM</v>
      </c>
    </row>
    <row r="140" spans="3:14">
      <c r="C140" s="20" t="str">
        <v>Selena Go-Go</v>
      </c>
      <c r="D140" t="str">
        <v>New York</v>
      </c>
      <c r="E140" t="str">
        <v>$400</v>
      </c>
      <c r="F140" s="21" t="str">
        <v>9PM Start on 4 Mar (2026)</v>
      </c>
      <c r="H140" s="20" t="str">
        <v>Selena Go-Go</v>
      </c>
      <c r="I140" t="str">
        <v>New York</v>
      </c>
      <c r="J140" s="28" t="str">
        <v>$400</v>
      </c>
      <c r="K140" t="str">
        <v>9PM Start on 4 Mar (2026)</v>
      </c>
      <c r="L140" t="str">
        <v xml:space="preserve"> 4 Mar (2026)</v>
      </c>
      <c r="M140" s="29">
        <v>46085</v>
      </c>
      <c r="N140" s="26" t="str">
        <v>9PM</v>
      </c>
    </row>
    <row r="141" spans="3:14">
      <c r="C141" s="20" t="str">
        <v>Lady Gaggle</v>
      </c>
      <c r="D141" t="str">
        <v>Bombay</v>
      </c>
      <c r="E141" t="str">
        <v>$200</v>
      </c>
      <c r="F141" s="21" t="str">
        <v>TBA</v>
      </c>
      <c r="H141" s="20" t="str">
        <v>Lady Gaggle</v>
      </c>
      <c r="I141" t="str">
        <v>Mumbai</v>
      </c>
      <c r="J141" s="28" t="str">
        <v>$200</v>
      </c>
      <c r="K141" t="str">
        <v>TBA</v>
      </c>
      <c r="L141" t="str">
        <v>TBA</v>
      </c>
      <c r="M141" s="29" t="str">
        <v/>
      </c>
      <c r="N141" s="26" t="str">
        <v>TBA</v>
      </c>
    </row>
    <row r="142" spans="3:14">
      <c r="C142" s="20" t="str">
        <v>Snoop Corgi</v>
      </c>
      <c r="D142" t="str">
        <v>Chicago</v>
      </c>
      <c r="E142" t="str">
        <v>$300</v>
      </c>
      <c r="F142" s="21" t="str">
        <v>6PM Start on 27-Jun-2025</v>
      </c>
      <c r="H142" s="20" t="str">
        <v>Snoop Corgi</v>
      </c>
      <c r="I142" t="str">
        <v>Chicago</v>
      </c>
      <c r="J142" s="28" t="str">
        <v>$300</v>
      </c>
      <c r="K142" t="str">
        <v>6PM Start on 27-Jun-2025</v>
      </c>
      <c r="L142" t="str">
        <v xml:space="preserve"> 27-Jun-2025</v>
      </c>
      <c r="M142" s="29">
        <v>45835</v>
      </c>
      <c r="N142" s="26" t="str">
        <v>6PM</v>
      </c>
    </row>
    <row r="143" spans="3:14">
      <c r="C143" s="20" t="str">
        <v>Cardi Bee</v>
      </c>
      <c r="D143" t="str">
        <v>Big Apple</v>
      </c>
      <c r="E143" t="str">
        <v>$500</v>
      </c>
      <c r="F143" s="21" t="str">
        <v>3 Hour performance, begins at 6PM on 16-Jun-2025</v>
      </c>
      <c r="H143" s="20" t="str">
        <v>Cardi Bee</v>
      </c>
      <c r="I143" t="str">
        <v>New York</v>
      </c>
      <c r="J143" s="28" t="str">
        <v>$500</v>
      </c>
      <c r="K143" t="str">
        <v>3 Hour performance, begins at 6PM on 16-Jun-2025</v>
      </c>
      <c r="L143" t="str">
        <v xml:space="preserve"> 16-Jun-2025</v>
      </c>
      <c r="M143" s="29">
        <v>45824</v>
      </c>
      <c r="N143" s="26" t="str">
        <v>6PM</v>
      </c>
    </row>
    <row r="144" spans="3:14">
      <c r="C144" s="20" t="str">
        <v>Camila Cobello</v>
      </c>
      <c r="D144">
        <v>0</v>
      </c>
      <c r="E144" t="str">
        <v>$500</v>
      </c>
      <c r="F144" s="21" t="str">
        <v>8PM Start</v>
      </c>
      <c r="H144" s="20" t="str">
        <v>Camila Cobello</v>
      </c>
      <c r="I144" t="str">
        <v>Unknown</v>
      </c>
      <c r="J144" s="28" t="str">
        <v>$500</v>
      </c>
      <c r="K144" t="str">
        <v>8PM Start</v>
      </c>
      <c r="L144" t="str">
        <v>TBA</v>
      </c>
      <c r="M144" s="29" t="str">
        <v/>
      </c>
      <c r="N144" s="26" t="str">
        <v>8PM</v>
      </c>
    </row>
    <row r="145" spans="3:14">
      <c r="C145" s="20" t="str">
        <v>Drake Mallard</v>
      </c>
      <c r="D145" t="str">
        <v>Sydney</v>
      </c>
      <c r="E145" t="str">
        <v>$600</v>
      </c>
      <c r="F145" s="21" t="str">
        <v>4 Hour show starting at 10PM on 6 Oct (2025)</v>
      </c>
      <c r="H145" s="20" t="str">
        <v>Drake Mallard</v>
      </c>
      <c r="I145" t="str">
        <v>Sydney</v>
      </c>
      <c r="J145" s="28" t="str">
        <v>$600</v>
      </c>
      <c r="K145" t="str">
        <v>4 Hour show starting at 10PM on 6 Oct (2025)</v>
      </c>
      <c r="L145" t="str">
        <v xml:space="preserve"> 6 Oct (2025)</v>
      </c>
      <c r="M145" s="29">
        <v>45936</v>
      </c>
      <c r="N145" s="26" t="str">
        <v>10PM</v>
      </c>
    </row>
    <row r="146" spans="3:14">
      <c r="C146" s="20" t="str">
        <v>Snoop Corgi</v>
      </c>
      <c r="D146" t="str">
        <v>London</v>
      </c>
      <c r="E146" t="str">
        <v>$100</v>
      </c>
      <c r="F146" s="21" t="str">
        <v>6PM Start on 5 Feb (2026)</v>
      </c>
      <c r="H146" s="20" t="str">
        <v>Snoop Corgi</v>
      </c>
      <c r="I146" t="str">
        <v>London</v>
      </c>
      <c r="J146" s="28" t="str">
        <v>$100</v>
      </c>
      <c r="K146" t="str">
        <v>6PM Start on 5 Feb (2026)</v>
      </c>
      <c r="L146" t="str">
        <v xml:space="preserve"> 5 Feb (2026)</v>
      </c>
      <c r="M146" s="29">
        <v>46058</v>
      </c>
      <c r="N146" s="26" t="str">
        <v>6PM</v>
      </c>
    </row>
    <row r="147" spans="3:14">
      <c r="C147" s="20" t="str">
        <v>Ed Shewalk</v>
      </c>
      <c r="D147" t="str">
        <v>Singapore</v>
      </c>
      <c r="E147" t="str">
        <v>$400</v>
      </c>
      <c r="F147" s="21" t="str">
        <v>TBA on 26 Jun (2025)</v>
      </c>
      <c r="H147" s="20" t="str">
        <v>Ed Shewalk</v>
      </c>
      <c r="I147" t="str">
        <v>Singapore</v>
      </c>
      <c r="J147" s="28" t="str">
        <v>$400</v>
      </c>
      <c r="K147" t="str">
        <v>TBA on 26 Jun (2025)</v>
      </c>
      <c r="L147" t="str">
        <v xml:space="preserve"> 26 Jun (2025)</v>
      </c>
      <c r="M147" s="29">
        <v>45834</v>
      </c>
      <c r="N147" s="26" t="str">
        <v>TBA</v>
      </c>
    </row>
    <row r="148" spans="3:14">
      <c r="C148" s="20" t="str">
        <v>Harry Styles of Hair</v>
      </c>
      <c r="D148" t="str">
        <v>Vegas</v>
      </c>
      <c r="E148" t="str">
        <v>$500</v>
      </c>
      <c r="F148" s="21" t="str">
        <v>Show starts at 9PM</v>
      </c>
      <c r="H148" s="20" t="str">
        <v>Harry Styles of Hair</v>
      </c>
      <c r="I148" t="str">
        <v>Las Vegas</v>
      </c>
      <c r="J148" s="28" t="str">
        <v>$500</v>
      </c>
      <c r="K148" t="str">
        <v>Show starts at 9PM</v>
      </c>
      <c r="L148" t="str">
        <v>TBA</v>
      </c>
      <c r="M148" s="29" t="str">
        <v/>
      </c>
      <c r="N148" s="26" t="str">
        <v>9PM</v>
      </c>
    </row>
    <row r="149" spans="3:14">
      <c r="C149" s="20" t="str">
        <v>Bruno Mars Bar</v>
      </c>
      <c r="D149" t="str">
        <v>Mumbai</v>
      </c>
      <c r="E149" t="str">
        <v>$200</v>
      </c>
      <c r="F149" s="21" t="str">
        <v>Show starts at 6PM on 17-May-2026</v>
      </c>
      <c r="H149" s="20" t="str">
        <v>Bruno Mars Bar</v>
      </c>
      <c r="I149" t="str">
        <v>Mumbai</v>
      </c>
      <c r="J149" s="28" t="str">
        <v>$200</v>
      </c>
      <c r="K149" t="str">
        <v>Show starts at 6PM on 17-May-2026</v>
      </c>
      <c r="L149" t="str">
        <v xml:space="preserve"> 17-May-2026</v>
      </c>
      <c r="M149" s="29">
        <v>46159</v>
      </c>
      <c r="N149" s="26" t="str">
        <v>6PM</v>
      </c>
    </row>
    <row r="150" spans="3:14">
      <c r="C150" s="20" t="str">
        <v>Lady Gaggle</v>
      </c>
      <c r="D150" t="str">
        <v>Singapore</v>
      </c>
      <c r="E150" t="str">
        <v>200</v>
      </c>
      <c r="F150" s="21" t="str">
        <v>7PM Start on 28-Oct-2026</v>
      </c>
      <c r="H150" s="20" t="str">
        <v>Lady Gaggle</v>
      </c>
      <c r="I150" t="str">
        <v>Singapore</v>
      </c>
      <c r="J150" s="28" t="str">
        <v>200</v>
      </c>
      <c r="K150" t="str">
        <v>7PM Start on 28-Oct-2026</v>
      </c>
      <c r="L150" t="str">
        <v xml:space="preserve"> 28-Oct-2026</v>
      </c>
      <c r="M150" s="29">
        <v>46323</v>
      </c>
      <c r="N150" s="26" t="str">
        <v>7PM</v>
      </c>
    </row>
    <row r="151" spans="3:14">
      <c r="C151" s="20" t="str">
        <v>Taylor Swiftly</v>
      </c>
      <c r="D151" t="str">
        <v>Bombay</v>
      </c>
      <c r="E151" t="str">
        <v>$300</v>
      </c>
      <c r="F151" s="21" t="str">
        <v>TBA</v>
      </c>
      <c r="H151" s="20" t="str">
        <v>Taylor Swiftly</v>
      </c>
      <c r="I151" t="str">
        <v>Mumbai</v>
      </c>
      <c r="J151" s="28" t="str">
        <v>$300</v>
      </c>
      <c r="K151" t="str">
        <v>TBA</v>
      </c>
      <c r="L151" t="str">
        <v>TBA</v>
      </c>
      <c r="M151" s="29" t="str">
        <v/>
      </c>
      <c r="N151" s="26" t="str">
        <v>TBA</v>
      </c>
    </row>
    <row r="152" spans="3:14">
      <c r="C152" s="20" t="str">
        <v>Camila Cobello</v>
      </c>
      <c r="D152" t="str">
        <v>London</v>
      </c>
      <c r="E152" t="str">
        <v>$400</v>
      </c>
      <c r="F152" s="21" t="str">
        <v>3 Hour performance, begins at 8PM on 21 Oct (2025)</v>
      </c>
      <c r="H152" s="20" t="str">
        <v>Camila Cobello</v>
      </c>
      <c r="I152" t="str">
        <v>London</v>
      </c>
      <c r="J152" s="28" t="str">
        <v>$400</v>
      </c>
      <c r="K152" t="str">
        <v>3 Hour performance, begins at 8PM on 21 Oct (2025)</v>
      </c>
      <c r="L152" t="str">
        <v xml:space="preserve"> 21 Oct (2025)</v>
      </c>
      <c r="M152" s="29">
        <v>45951</v>
      </c>
      <c r="N152" s="26" t="str">
        <v>8PM</v>
      </c>
    </row>
    <row r="153" spans="3:14">
      <c r="C153" s="20" t="str">
        <v>Khalid Kale</v>
      </c>
      <c r="D153" t="str">
        <v>Las Vegas</v>
      </c>
      <c r="E153" t="str">
        <v>$100</v>
      </c>
      <c r="F153" s="21" t="str">
        <v>Show starts at 7PM</v>
      </c>
      <c r="H153" s="20" t="str">
        <v>Khalid Kale</v>
      </c>
      <c r="I153" t="str">
        <v>Las Vegas</v>
      </c>
      <c r="J153" s="28" t="str">
        <v>$100</v>
      </c>
      <c r="K153" t="str">
        <v>Show starts at 7PM</v>
      </c>
      <c r="L153" t="str">
        <v>TBA</v>
      </c>
      <c r="M153" s="29" t="str">
        <v/>
      </c>
      <c r="N153" s="26" t="str">
        <v>7PM</v>
      </c>
    </row>
    <row r="154" spans="3:14">
      <c r="C154" s="20" t="str">
        <v xml:space="preserve">Bruno Mars Bar </v>
      </c>
      <c r="D154" t="str">
        <v>New York</v>
      </c>
      <c r="E154" t="str">
        <v>$200</v>
      </c>
      <c r="F154" s="21" t="str">
        <v>4 Hour show starting at 9PM on 30 Dec (2025)</v>
      </c>
      <c r="H154" s="20" t="str">
        <v>Bruno Mars Bar</v>
      </c>
      <c r="I154" t="str">
        <v>New York</v>
      </c>
      <c r="J154" s="28" t="str">
        <v>$200</v>
      </c>
      <c r="K154" t="str">
        <v>4 Hour show starting at 9PM on 30 Dec (2025)</v>
      </c>
      <c r="L154" t="str">
        <v xml:space="preserve"> 30 Dec (2025)</v>
      </c>
      <c r="M154" s="29">
        <v>46021</v>
      </c>
      <c r="N154" s="26" t="str">
        <v>9PM</v>
      </c>
    </row>
    <row r="155" spans="3:14">
      <c r="C155" s="20" t="str">
        <v>Bruno Mars Bar</v>
      </c>
      <c r="D155" t="str">
        <v>Sydney</v>
      </c>
      <c r="E155" t="str">
        <v>$300</v>
      </c>
      <c r="F155" s="21" t="str">
        <v>Event begins at 7PM on 14-Jul-2025</v>
      </c>
      <c r="H155" s="20" t="str">
        <v>Bruno Mars Bar</v>
      </c>
      <c r="I155" t="str">
        <v>Sydney</v>
      </c>
      <c r="J155" s="28" t="str">
        <v>$300</v>
      </c>
      <c r="K155" t="str">
        <v>Event begins at 7PM on 14-Jul-2025</v>
      </c>
      <c r="L155" t="str">
        <v xml:space="preserve"> 14-Jul-2025</v>
      </c>
      <c r="M155" s="29">
        <v>45852</v>
      </c>
      <c r="N155" s="26" t="str">
        <v>7PM</v>
      </c>
    </row>
    <row r="156" spans="3:14">
      <c r="C156" s="20" t="str">
        <v>Bruno Mars Bar</v>
      </c>
      <c r="D156">
        <v>0</v>
      </c>
      <c r="E156" t="str">
        <v>300</v>
      </c>
      <c r="F156" s="21" t="str">
        <v>9PM Start</v>
      </c>
      <c r="H156" s="20" t="str">
        <v>Bruno Mars Bar</v>
      </c>
      <c r="I156" t="str">
        <v>Unknown</v>
      </c>
      <c r="J156" s="28" t="str">
        <v>300</v>
      </c>
      <c r="K156" t="str">
        <v>9PM Start</v>
      </c>
      <c r="L156" t="str">
        <v>TBA</v>
      </c>
      <c r="M156" s="29" t="str">
        <v/>
      </c>
      <c r="N156" s="26" t="str">
        <v>9PM</v>
      </c>
    </row>
    <row r="157" spans="3:14">
      <c r="C157" s="20" t="str">
        <v>Shawn Mender</v>
      </c>
      <c r="D157" t="str">
        <v>Big Apple</v>
      </c>
      <c r="E157" t="str">
        <v>400</v>
      </c>
      <c r="F157" s="21" t="str">
        <v>3 Hour performance, begins at 6PM on 25 Jun (2026)</v>
      </c>
      <c r="H157" s="20" t="str">
        <v>Shawn Mender</v>
      </c>
      <c r="I157" t="str">
        <v>New York</v>
      </c>
      <c r="J157" s="28" t="str">
        <v>400</v>
      </c>
      <c r="K157" t="str">
        <v>3 Hour performance, begins at 6PM on 25 Jun (2026)</v>
      </c>
      <c r="L157" t="str">
        <v xml:space="preserve"> 25 Jun (2026)</v>
      </c>
      <c r="M157" s="29">
        <v>46198</v>
      </c>
      <c r="N157" s="26" t="str">
        <v>6PM</v>
      </c>
    </row>
    <row r="158" spans="3:14">
      <c r="C158" s="20" t="str">
        <v>Post Lemon</v>
      </c>
      <c r="D158" t="str">
        <v>New York</v>
      </c>
      <c r="E158" t="str">
        <v>$300</v>
      </c>
      <c r="F158" s="21" t="str">
        <v>Show starts at 10PM on 16-Jun-2026</v>
      </c>
      <c r="H158" s="20" t="str">
        <v>Post Lemon</v>
      </c>
      <c r="I158" t="str">
        <v>New York</v>
      </c>
      <c r="J158" s="28" t="str">
        <v>$300</v>
      </c>
      <c r="K158" t="str">
        <v>Show starts at 10PM on 16-Jun-2026</v>
      </c>
      <c r="L158" t="str">
        <v xml:space="preserve"> 16-Jun-2026</v>
      </c>
      <c r="M158" s="29">
        <v>46189</v>
      </c>
      <c r="N158" s="26" t="str">
        <v>10PM</v>
      </c>
    </row>
    <row r="159" spans="3:14">
      <c r="C159" s="20" t="str">
        <v>Justin Woodenpond</v>
      </c>
      <c r="D159" t="str">
        <v>Chicago</v>
      </c>
      <c r="E159" t="str">
        <v>$300</v>
      </c>
      <c r="F159" s="21" t="str">
        <v>TBA on 22 Feb (2026)</v>
      </c>
      <c r="H159" s="20" t="str">
        <v>Justin Woodenpond</v>
      </c>
      <c r="I159" t="str">
        <v>Chicago</v>
      </c>
      <c r="J159" s="28" t="str">
        <v>$300</v>
      </c>
      <c r="K159" t="str">
        <v>TBA on 22 Feb (2026)</v>
      </c>
      <c r="L159" t="str">
        <v xml:space="preserve"> 22 Feb (2026)</v>
      </c>
      <c r="M159" s="29">
        <v>46075</v>
      </c>
      <c r="N159" s="26" t="str">
        <v>TBA</v>
      </c>
    </row>
    <row r="160" spans="3:14">
      <c r="C160" s="20" t="str">
        <v>Billie Eyelash</v>
      </c>
      <c r="D160" t="str">
        <v>London</v>
      </c>
      <c r="E160" t="str">
        <v>$400</v>
      </c>
      <c r="F160" s="21" t="str">
        <v>3 Hour performance, begins at 8PM on 8 Oct (2026)</v>
      </c>
      <c r="H160" s="20" t="str">
        <v>Billie Eyelash</v>
      </c>
      <c r="I160" t="str">
        <v>London</v>
      </c>
      <c r="J160" s="28" t="str">
        <v>$400</v>
      </c>
      <c r="K160" t="str">
        <v>3 Hour performance, begins at 8PM on 8 Oct (2026)</v>
      </c>
      <c r="L160" t="str">
        <v xml:space="preserve"> 8 Oct (2026)</v>
      </c>
      <c r="M160" s="29">
        <v>46303</v>
      </c>
      <c r="N160" s="26" t="str">
        <v>8PM</v>
      </c>
    </row>
    <row r="161" spans="3:14">
      <c r="C161" s="20" t="str">
        <v>Taylor Swiftly</v>
      </c>
      <c r="D161" t="str">
        <v>London</v>
      </c>
      <c r="E161" t="str">
        <v>$100</v>
      </c>
      <c r="F161" s="21" t="str">
        <v>Show starts at 7PM on 23 Oct (2026)</v>
      </c>
      <c r="H161" s="20" t="str">
        <v>Taylor Swiftly</v>
      </c>
      <c r="I161" t="str">
        <v>London</v>
      </c>
      <c r="J161" s="28" t="str">
        <v>$100</v>
      </c>
      <c r="K161" t="str">
        <v>Show starts at 7PM on 23 Oct (2026)</v>
      </c>
      <c r="L161" t="str">
        <v xml:space="preserve"> 23 Oct (2026)</v>
      </c>
      <c r="M161" s="29">
        <v>46318</v>
      </c>
      <c r="N161" s="26" t="str">
        <v>7PM</v>
      </c>
    </row>
    <row r="162" spans="3:14">
      <c r="C162" s="20" t="str">
        <v>Jonas Blizzards</v>
      </c>
      <c r="D162" t="str">
        <v>Chicago</v>
      </c>
      <c r="E162" t="str">
        <v>$200</v>
      </c>
      <c r="F162" s="21" t="str">
        <v>9PM Start on 5 Oct (2025)</v>
      </c>
      <c r="H162" s="20" t="str">
        <v>Jonas Blizzards</v>
      </c>
      <c r="I162" t="str">
        <v>Chicago</v>
      </c>
      <c r="J162" s="28" t="str">
        <v>$200</v>
      </c>
      <c r="K162" t="str">
        <v>9PM Start on 5 Oct (2025)</v>
      </c>
      <c r="L162" t="str">
        <v xml:space="preserve"> 5 Oct (2025)</v>
      </c>
      <c r="M162" s="29">
        <v>45935</v>
      </c>
      <c r="N162" s="26" t="str">
        <v>9PM</v>
      </c>
    </row>
    <row r="163" spans="3:14">
      <c r="C163" s="20" t="str">
        <v>Ariana Venti</v>
      </c>
      <c r="D163" t="str">
        <v>Las Vegas</v>
      </c>
      <c r="E163" t="str">
        <v>£300</v>
      </c>
      <c r="F163" s="21" t="str">
        <v>4 Hour show starting at 8PM on 3 Jun (2026)</v>
      </c>
      <c r="H163" s="20" t="str">
        <v>Ariana Venti</v>
      </c>
      <c r="I163" t="str">
        <v>Las Vegas</v>
      </c>
      <c r="J163" s="28" t="str">
        <v>£300</v>
      </c>
      <c r="K163" t="str">
        <v>4 Hour show starting at 8PM on 3 Jun (2026)</v>
      </c>
      <c r="L163" t="str">
        <v xml:space="preserve"> 3 Jun (2026)</v>
      </c>
      <c r="M163" s="29">
        <v>46176</v>
      </c>
      <c r="N163" s="26" t="str">
        <v>8PM</v>
      </c>
    </row>
    <row r="164" spans="3:14">
      <c r="C164" s="20" t="str">
        <v>Khalid Kale</v>
      </c>
      <c r="D164" t="str">
        <v>Sydney</v>
      </c>
      <c r="E164" t="str">
        <v>£500</v>
      </c>
      <c r="F164" s="21" t="str">
        <v>4 Hour show starting at 10PM on 23-Sept-2025</v>
      </c>
      <c r="H164" s="20" t="str">
        <v>Khalid Kale</v>
      </c>
      <c r="I164" t="str">
        <v>Sydney</v>
      </c>
      <c r="J164" s="28" t="str">
        <v>£500</v>
      </c>
      <c r="K164" t="str">
        <v>4 Hour show starting at 10PM on 23-Sept-2025</v>
      </c>
      <c r="L164" t="str">
        <v xml:space="preserve"> 23-Sept-2025</v>
      </c>
      <c r="M164" s="29">
        <v>45923</v>
      </c>
      <c r="N164" s="26" t="str">
        <v>10PM</v>
      </c>
    </row>
    <row r="165" spans="3:14">
      <c r="C165" s="20" t="str">
        <v>Billie Eyelash</v>
      </c>
      <c r="D165" t="str">
        <v>Chicago</v>
      </c>
      <c r="E165" t="str">
        <v>300</v>
      </c>
      <c r="F165" s="21" t="str">
        <v>10PM Start</v>
      </c>
      <c r="H165" s="20" t="str">
        <v>Billie Eyelash</v>
      </c>
      <c r="I165" t="str">
        <v>Chicago</v>
      </c>
      <c r="J165" s="28" t="str">
        <v>300</v>
      </c>
      <c r="K165" t="str">
        <v>10PM Start</v>
      </c>
      <c r="L165" t="str">
        <v>TBA</v>
      </c>
      <c r="M165" s="29" t="str">
        <v/>
      </c>
      <c r="N165" s="26" t="str">
        <v>10PM</v>
      </c>
    </row>
    <row r="166" spans="3:14">
      <c r="C166" s="20" t="str">
        <v xml:space="preserve">Drake Mallard </v>
      </c>
      <c r="D166" t="str">
        <v>Las Vegas</v>
      </c>
      <c r="E166" t="str">
        <v>$200</v>
      </c>
      <c r="F166" s="21" t="str">
        <v>3 Hour performance, begins at 6PM on 7-May-2026</v>
      </c>
      <c r="H166" s="20" t="str">
        <v>Drake Mallard</v>
      </c>
      <c r="I166" t="str">
        <v>Las Vegas</v>
      </c>
      <c r="J166" s="28" t="str">
        <v>$200</v>
      </c>
      <c r="K166" t="str">
        <v>3 Hour performance, begins at 6PM on 7-May-2026</v>
      </c>
      <c r="L166" t="str">
        <v xml:space="preserve"> 7-May-2026</v>
      </c>
      <c r="M166" s="29">
        <v>46149</v>
      </c>
      <c r="N166" s="26" t="str">
        <v>6PM</v>
      </c>
    </row>
    <row r="167" spans="3:14">
      <c r="C167" s="20" t="str">
        <v>Marooned 5</v>
      </c>
      <c r="D167" t="str">
        <v>New York</v>
      </c>
      <c r="E167" t="str">
        <v>300</v>
      </c>
      <c r="F167" s="21" t="str">
        <v>TBA on 11-May-2026</v>
      </c>
      <c r="H167" s="20" t="str">
        <v>Marooned 5</v>
      </c>
      <c r="I167" t="str">
        <v>New York</v>
      </c>
      <c r="J167" s="28" t="str">
        <v>300</v>
      </c>
      <c r="K167" t="str">
        <v>TBA on 11-May-2026</v>
      </c>
      <c r="L167" t="str">
        <v xml:space="preserve"> 11-May-2026</v>
      </c>
      <c r="M167" s="29">
        <v>46153</v>
      </c>
      <c r="N167" s="26" t="str">
        <v>TBA</v>
      </c>
    </row>
    <row r="168" spans="3:14">
      <c r="C168" s="20" t="str">
        <v>Taylor Swiftly</v>
      </c>
      <c r="D168" t="str">
        <v>Vegas</v>
      </c>
      <c r="E168" t="str">
        <v>$500</v>
      </c>
      <c r="F168" s="21" t="str">
        <v>4 Hour show starting at 9PM</v>
      </c>
      <c r="H168" s="20" t="str">
        <v>Taylor Swiftly</v>
      </c>
      <c r="I168" t="str">
        <v>Las Vegas</v>
      </c>
      <c r="J168" s="28" t="str">
        <v>$500</v>
      </c>
      <c r="K168" t="str">
        <v>4 Hour show starting at 9PM</v>
      </c>
      <c r="L168" t="str">
        <v>TBA</v>
      </c>
      <c r="M168" s="29" t="str">
        <v/>
      </c>
      <c r="N168" s="26" t="str">
        <v>9PM</v>
      </c>
    </row>
    <row r="169" spans="3:14">
      <c r="C169" s="20" t="str">
        <v>Alicia Keys to the City</v>
      </c>
      <c r="D169" t="str">
        <v>Mumbai</v>
      </c>
      <c r="E169" t="str">
        <v>$400</v>
      </c>
      <c r="F169" s="21" t="str">
        <v>Event begins at 8PM</v>
      </c>
      <c r="H169" s="20" t="str">
        <v>Alicia Keys to the City</v>
      </c>
      <c r="I169" t="str">
        <v>Mumbai</v>
      </c>
      <c r="J169" s="28" t="str">
        <v>$400</v>
      </c>
      <c r="K169" t="str">
        <v>Event begins at 8PM</v>
      </c>
      <c r="L169" t="str">
        <v>TBA</v>
      </c>
      <c r="M169" s="29" t="str">
        <v/>
      </c>
      <c r="N169" s="26" t="str">
        <v>8PM</v>
      </c>
    </row>
    <row r="170" spans="3:14">
      <c r="C170" s="20" t="str">
        <v>Katy Ferry</v>
      </c>
      <c r="D170" t="str">
        <v>Bombay</v>
      </c>
      <c r="E170" t="str">
        <v>$500</v>
      </c>
      <c r="F170" s="21" t="str">
        <v>3 Hour performance, begins at 7PM on 5 Jan (2026)</v>
      </c>
      <c r="H170" s="20" t="str">
        <v>Katy Ferry</v>
      </c>
      <c r="I170" t="str">
        <v>Mumbai</v>
      </c>
      <c r="J170" s="28" t="str">
        <v>$500</v>
      </c>
      <c r="K170" t="str">
        <v>3 Hour performance, begins at 7PM on 5 Jan (2026)</v>
      </c>
      <c r="L170" t="str">
        <v xml:space="preserve"> 5 Jan (2026)</v>
      </c>
      <c r="M170" s="29">
        <v>46027</v>
      </c>
      <c r="N170" s="26" t="str">
        <v>7PM</v>
      </c>
    </row>
    <row r="171" spans="3:14">
      <c r="C171" s="20" t="str">
        <v>Lizzoard</v>
      </c>
      <c r="D171" t="str">
        <v>New York</v>
      </c>
      <c r="E171" t="str">
        <v>$300</v>
      </c>
      <c r="F171" s="21" t="str">
        <v>TBA</v>
      </c>
      <c r="H171" s="20" t="str">
        <v>Lizzoard</v>
      </c>
      <c r="I171" t="str">
        <v>New York</v>
      </c>
      <c r="J171" s="28" t="str">
        <v>$300</v>
      </c>
      <c r="K171" t="str">
        <v>TBA</v>
      </c>
      <c r="L171" t="str">
        <v>TBA</v>
      </c>
      <c r="M171" s="29" t="str">
        <v/>
      </c>
      <c r="N171" s="26" t="str">
        <v>TBA</v>
      </c>
    </row>
    <row r="172" spans="3:14">
      <c r="C172" s="22" t="str">
        <v>Jonas Blizzards</v>
      </c>
      <c r="D172" s="23" t="str">
        <v>Bombay</v>
      </c>
      <c r="E172" s="23" t="str">
        <v>$200</v>
      </c>
      <c r="F172" s="24" t="str">
        <v>Show starts at 5PM on 5 Jan (2026)</v>
      </c>
      <c r="H172" s="22" t="str">
        <v>Jonas Blizzards</v>
      </c>
      <c r="I172" s="23" t="str">
        <v>Mumbai</v>
      </c>
      <c r="J172" s="31" t="str">
        <v>$200</v>
      </c>
      <c r="K172" s="23" t="str">
        <v>Show starts at 5PM on 5 Jan (2026)</v>
      </c>
      <c r="L172" s="23" t="str">
        <v xml:space="preserve"> 5 Jan (2026)</v>
      </c>
      <c r="M172" s="30">
        <v>46027</v>
      </c>
      <c r="N172" s="27" t="str">
        <v>5PM</v>
      </c>
    </row>
  </sheetData>
  <mergeCells count="2">
    <mergeCell ref="H1:N1"/>
    <mergeCell ref="C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6549-5D99-41CD-A5C4-B0680BF433C2}">
  <dimension ref="B2:F33"/>
  <sheetViews>
    <sheetView topLeftCell="A14" workbookViewId="0">
      <selection activeCell="E18" sqref="E18"/>
    </sheetView>
  </sheetViews>
  <sheetFormatPr defaultRowHeight="14.45"/>
  <cols>
    <col min="2" max="2" width="13" bestFit="1" customWidth="1"/>
    <col min="3" max="3" width="16.140625" customWidth="1"/>
    <col min="4" max="4" width="10.5703125" customWidth="1"/>
    <col min="6" max="6" width="53.140625" bestFit="1" customWidth="1"/>
  </cols>
  <sheetData>
    <row r="2" spans="2:6">
      <c r="B2" s="4" t="s">
        <v>262</v>
      </c>
      <c r="C2" t="s">
        <v>263</v>
      </c>
      <c r="F2" s="11" t="s">
        <v>239</v>
      </c>
    </row>
    <row r="3" spans="2:6">
      <c r="B3" cm="1">
        <f t="array" ref="B3:B16">_xlfn._xlws.SORT(_xlfn.UNIQUE(_xlfn.CHOOSECOLS(side_mergetables!C3:F172,2)))</f>
        <v>0</v>
      </c>
      <c r="C3" t="s">
        <v>264</v>
      </c>
    </row>
    <row r="4" spans="2:6">
      <c r="B4" t="str">
        <v>Auckland</v>
      </c>
      <c r="C4" t="s">
        <v>183</v>
      </c>
      <c r="F4" s="13" t="s">
        <v>242</v>
      </c>
    </row>
    <row r="5" spans="2:6">
      <c r="B5" t="str">
        <v>Big Apple</v>
      </c>
      <c r="C5" t="s">
        <v>47</v>
      </c>
      <c r="F5" s="12" t="str">
        <f ca="1">_xlfn.FORMULATEXT(B3)</f>
        <v>=SORT(UNIQUE(CHOOSECOLS(side_mergetables!C3:F172,2)))</v>
      </c>
    </row>
    <row r="6" spans="2:6">
      <c r="B6" t="str">
        <v>Bombay</v>
      </c>
      <c r="C6" t="s">
        <v>59</v>
      </c>
    </row>
    <row r="7" spans="2:6">
      <c r="B7" t="str">
        <v>Chicago</v>
      </c>
      <c r="C7" t="s">
        <v>23</v>
      </c>
    </row>
    <row r="8" spans="2:6">
      <c r="B8" t="str">
        <v>Las Vegas</v>
      </c>
      <c r="C8" t="s">
        <v>28</v>
      </c>
    </row>
    <row r="9" spans="2:6">
      <c r="B9" t="str">
        <v>London</v>
      </c>
      <c r="C9" t="s">
        <v>63</v>
      </c>
    </row>
    <row r="10" spans="2:6">
      <c r="B10" t="str">
        <v>Mumbai</v>
      </c>
      <c r="C10" t="s">
        <v>59</v>
      </c>
    </row>
    <row r="11" spans="2:6">
      <c r="B11" t="str">
        <v>New York</v>
      </c>
      <c r="C11" t="s">
        <v>47</v>
      </c>
    </row>
    <row r="12" spans="2:6">
      <c r="B12" t="str">
        <v>Sin city</v>
      </c>
      <c r="C12" t="s">
        <v>28</v>
      </c>
    </row>
    <row r="13" spans="2:6">
      <c r="B13" t="str">
        <v>Singapore</v>
      </c>
      <c r="C13" t="s">
        <v>110</v>
      </c>
    </row>
    <row r="14" spans="2:6">
      <c r="B14" t="str">
        <v>Sydney</v>
      </c>
      <c r="C14" t="s">
        <v>42</v>
      </c>
    </row>
    <row r="15" spans="2:6">
      <c r="B15" t="str">
        <v>Vegas</v>
      </c>
      <c r="C15" t="s">
        <v>28</v>
      </c>
    </row>
    <row r="16" spans="2:6">
      <c r="B16" t="str">
        <v>Wellington</v>
      </c>
      <c r="C16" t="s">
        <v>186</v>
      </c>
    </row>
    <row r="19" spans="2:3">
      <c r="B19" s="13" t="s">
        <v>265</v>
      </c>
      <c r="C19" s="13" t="s">
        <v>266</v>
      </c>
    </row>
    <row r="20" spans="2:3">
      <c r="B20" t="s">
        <v>264</v>
      </c>
      <c r="C20" t="s">
        <v>267</v>
      </c>
    </row>
    <row r="21" spans="2:3">
      <c r="B21" t="s">
        <v>183</v>
      </c>
      <c r="C21" t="s">
        <v>268</v>
      </c>
    </row>
    <row r="22" spans="2:3">
      <c r="B22" t="s">
        <v>47</v>
      </c>
      <c r="C22" t="s">
        <v>269</v>
      </c>
    </row>
    <row r="23" spans="2:3">
      <c r="B23" t="s">
        <v>59</v>
      </c>
      <c r="C23" t="s">
        <v>270</v>
      </c>
    </row>
    <row r="24" spans="2:3">
      <c r="B24" t="s">
        <v>23</v>
      </c>
      <c r="C24" t="s">
        <v>269</v>
      </c>
    </row>
    <row r="25" spans="2:3">
      <c r="B25" t="s">
        <v>28</v>
      </c>
      <c r="C25" t="s">
        <v>269</v>
      </c>
    </row>
    <row r="26" spans="2:3">
      <c r="B26" t="s">
        <v>63</v>
      </c>
      <c r="C26" s="14" t="s">
        <v>271</v>
      </c>
    </row>
    <row r="27" spans="2:3">
      <c r="B27" t="s">
        <v>59</v>
      </c>
      <c r="C27" t="s">
        <v>270</v>
      </c>
    </row>
    <row r="28" spans="2:3">
      <c r="B28" t="s">
        <v>47</v>
      </c>
      <c r="C28" t="s">
        <v>269</v>
      </c>
    </row>
    <row r="29" spans="2:3">
      <c r="B29" t="s">
        <v>28</v>
      </c>
      <c r="C29" t="s">
        <v>269</v>
      </c>
    </row>
    <row r="30" spans="2:3">
      <c r="B30" t="s">
        <v>110</v>
      </c>
      <c r="C30" t="s">
        <v>272</v>
      </c>
    </row>
    <row r="31" spans="2:3">
      <c r="B31" t="s">
        <v>42</v>
      </c>
      <c r="C31" t="s">
        <v>273</v>
      </c>
    </row>
    <row r="32" spans="2:3">
      <c r="B32" t="s">
        <v>28</v>
      </c>
      <c r="C32" t="s">
        <v>269</v>
      </c>
    </row>
    <row r="33" spans="2:3">
      <c r="B33" t="s">
        <v>186</v>
      </c>
      <c r="C33" t="s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6478-1E0E-40F8-8806-29A34D1FE324}">
  <dimension ref="A1:K171"/>
  <sheetViews>
    <sheetView workbookViewId="0">
      <selection activeCell="I5" sqref="I5"/>
    </sheetView>
  </sheetViews>
  <sheetFormatPr defaultRowHeight="15" customHeight="1"/>
  <cols>
    <col min="1" max="1" width="20.7109375" bestFit="1" customWidth="1"/>
    <col min="2" max="2" width="10.28515625" bestFit="1" customWidth="1"/>
    <col min="3" max="3" width="10.42578125" style="38" customWidth="1"/>
    <col min="4" max="4" width="15.140625" hidden="1" customWidth="1"/>
    <col min="5" max="5" width="14.140625" customWidth="1"/>
    <col min="6" max="6" width="15.28515625" bestFit="1" customWidth="1"/>
    <col min="7" max="7" width="19.140625" bestFit="1" customWidth="1"/>
    <col min="8" max="8" width="10.28515625" bestFit="1" customWidth="1"/>
    <col min="9" max="9" width="13.7109375" bestFit="1" customWidth="1"/>
    <col min="10" max="10" width="48.5703125" hidden="1" customWidth="1"/>
    <col min="11" max="11" width="14.140625" bestFit="1" customWidth="1"/>
    <col min="12" max="12" width="15.28515625" bestFit="1" customWidth="1"/>
    <col min="13" max="13" width="19.140625" bestFit="1" customWidth="1"/>
  </cols>
  <sheetData>
    <row r="1" spans="1:7" s="34" customFormat="1">
      <c r="A1" s="34" t="s">
        <v>17</v>
      </c>
      <c r="B1" s="34" t="s">
        <v>18</v>
      </c>
      <c r="C1" s="37" t="s">
        <v>19</v>
      </c>
      <c r="D1" s="34" t="s">
        <v>20</v>
      </c>
      <c r="E1" s="34" t="s">
        <v>240</v>
      </c>
      <c r="F1" s="35" t="s">
        <v>259</v>
      </c>
      <c r="G1" s="36" t="s">
        <v>241</v>
      </c>
    </row>
    <row r="2" spans="1:7">
      <c r="A2" t="s">
        <v>131</v>
      </c>
      <c r="B2" t="s">
        <v>23</v>
      </c>
      <c r="C2" s="38" t="s">
        <v>24</v>
      </c>
      <c r="D2" t="s">
        <v>25</v>
      </c>
      <c r="E2" t="s">
        <v>274</v>
      </c>
      <c r="F2" s="15">
        <v>46248</v>
      </c>
      <c r="G2" s="16" t="s">
        <v>65</v>
      </c>
    </row>
    <row r="3" spans="1:7">
      <c r="A3" t="s">
        <v>27</v>
      </c>
      <c r="B3" t="s">
        <v>28</v>
      </c>
      <c r="C3" s="38" t="s">
        <v>29</v>
      </c>
      <c r="D3" t="s">
        <v>30</v>
      </c>
      <c r="E3" t="s">
        <v>65</v>
      </c>
      <c r="F3" s="15" t="s">
        <v>275</v>
      </c>
      <c r="G3" s="16" t="s">
        <v>276</v>
      </c>
    </row>
    <row r="4" spans="1:7">
      <c r="A4" t="s">
        <v>32</v>
      </c>
      <c r="B4" t="s">
        <v>28</v>
      </c>
      <c r="C4" s="38" t="s">
        <v>31</v>
      </c>
      <c r="D4" t="s">
        <v>34</v>
      </c>
      <c r="E4" t="s">
        <v>277</v>
      </c>
      <c r="F4" s="15">
        <v>46337</v>
      </c>
      <c r="G4" s="16" t="s">
        <v>278</v>
      </c>
    </row>
    <row r="5" spans="1:7">
      <c r="A5" t="s">
        <v>125</v>
      </c>
      <c r="B5" t="s">
        <v>59</v>
      </c>
      <c r="C5" s="38" t="s">
        <v>38</v>
      </c>
      <c r="D5" t="s">
        <v>39</v>
      </c>
      <c r="E5" t="s">
        <v>279</v>
      </c>
      <c r="F5" s="15">
        <v>45927</v>
      </c>
      <c r="G5" s="16" t="s">
        <v>280</v>
      </c>
    </row>
    <row r="6" spans="1:7">
      <c r="A6" t="s">
        <v>107</v>
      </c>
      <c r="B6" t="s">
        <v>42</v>
      </c>
      <c r="C6" s="38" t="s">
        <v>43</v>
      </c>
      <c r="D6" t="s">
        <v>44</v>
      </c>
      <c r="E6" t="s">
        <v>65</v>
      </c>
      <c r="F6" s="15" t="s">
        <v>275</v>
      </c>
      <c r="G6" s="16" t="s">
        <v>276</v>
      </c>
    </row>
    <row r="7" spans="1:7">
      <c r="A7" t="s">
        <v>46</v>
      </c>
      <c r="B7" t="s">
        <v>47</v>
      </c>
      <c r="C7" s="38" t="s">
        <v>48</v>
      </c>
      <c r="D7" t="s">
        <v>49</v>
      </c>
      <c r="E7" t="s">
        <v>65</v>
      </c>
      <c r="F7" s="15" t="s">
        <v>275</v>
      </c>
      <c r="G7" s="16" t="s">
        <v>281</v>
      </c>
    </row>
    <row r="8" spans="1:7">
      <c r="A8" t="s">
        <v>27</v>
      </c>
      <c r="B8" t="s">
        <v>47</v>
      </c>
      <c r="C8" s="38" t="s">
        <v>29</v>
      </c>
      <c r="D8" t="s">
        <v>52</v>
      </c>
      <c r="E8" t="s">
        <v>282</v>
      </c>
      <c r="F8" s="15">
        <v>46113</v>
      </c>
      <c r="G8" s="16" t="s">
        <v>65</v>
      </c>
    </row>
    <row r="9" spans="1:7">
      <c r="A9" t="s">
        <v>53</v>
      </c>
      <c r="B9" t="s">
        <v>47</v>
      </c>
      <c r="C9" s="38" t="s">
        <v>24</v>
      </c>
      <c r="D9" t="s">
        <v>54</v>
      </c>
      <c r="E9" t="s">
        <v>283</v>
      </c>
      <c r="F9" s="15">
        <v>45876</v>
      </c>
      <c r="G9" s="16" t="s">
        <v>281</v>
      </c>
    </row>
    <row r="10" spans="1:7">
      <c r="A10" t="s">
        <v>56</v>
      </c>
      <c r="B10" t="s">
        <v>42</v>
      </c>
      <c r="C10" s="38" t="s">
        <v>24</v>
      </c>
      <c r="D10" t="s">
        <v>57</v>
      </c>
      <c r="E10" t="s">
        <v>65</v>
      </c>
      <c r="F10" s="15" t="s">
        <v>275</v>
      </c>
      <c r="G10" s="16" t="s">
        <v>280</v>
      </c>
    </row>
    <row r="11" spans="1:7">
      <c r="A11" t="s">
        <v>58</v>
      </c>
      <c r="B11" t="s">
        <v>59</v>
      </c>
      <c r="C11" s="38" t="s">
        <v>65</v>
      </c>
      <c r="D11" t="s">
        <v>60</v>
      </c>
      <c r="E11" t="s">
        <v>284</v>
      </c>
      <c r="F11" s="15">
        <v>46333</v>
      </c>
      <c r="G11" s="16" t="s">
        <v>65</v>
      </c>
    </row>
    <row r="12" spans="1:7">
      <c r="A12" t="s">
        <v>62</v>
      </c>
      <c r="B12" t="s">
        <v>63</v>
      </c>
      <c r="C12" s="38" t="s">
        <v>64</v>
      </c>
      <c r="D12" t="s">
        <v>65</v>
      </c>
      <c r="E12" t="s">
        <v>65</v>
      </c>
      <c r="F12" s="15" t="s">
        <v>275</v>
      </c>
      <c r="G12" s="16" t="s">
        <v>65</v>
      </c>
    </row>
    <row r="13" spans="1:7">
      <c r="A13" t="s">
        <v>27</v>
      </c>
      <c r="B13" t="s">
        <v>59</v>
      </c>
      <c r="C13" s="38" t="s">
        <v>66</v>
      </c>
      <c r="D13" t="s">
        <v>67</v>
      </c>
      <c r="E13" t="s">
        <v>285</v>
      </c>
      <c r="F13" s="15">
        <v>46384</v>
      </c>
      <c r="G13" s="16" t="s">
        <v>286</v>
      </c>
    </row>
    <row r="14" spans="1:7">
      <c r="A14" t="s">
        <v>95</v>
      </c>
      <c r="B14" t="s">
        <v>59</v>
      </c>
      <c r="C14" s="38" t="s">
        <v>29</v>
      </c>
      <c r="D14" t="s">
        <v>70</v>
      </c>
      <c r="E14" t="s">
        <v>287</v>
      </c>
      <c r="F14" s="15">
        <v>46182</v>
      </c>
      <c r="G14" s="16" t="s">
        <v>281</v>
      </c>
    </row>
    <row r="15" spans="1:7">
      <c r="A15" t="s">
        <v>21</v>
      </c>
      <c r="B15" t="s">
        <v>59</v>
      </c>
      <c r="C15" s="38" t="s">
        <v>43</v>
      </c>
      <c r="D15" t="s">
        <v>72</v>
      </c>
      <c r="E15" t="s">
        <v>288</v>
      </c>
      <c r="F15" s="15">
        <v>45953</v>
      </c>
      <c r="G15" s="16" t="s">
        <v>289</v>
      </c>
    </row>
    <row r="16" spans="1:7">
      <c r="A16" t="s">
        <v>73</v>
      </c>
      <c r="B16" t="s">
        <v>59</v>
      </c>
      <c r="C16" s="38" t="s">
        <v>31</v>
      </c>
      <c r="D16" t="s">
        <v>74</v>
      </c>
      <c r="E16" t="s">
        <v>290</v>
      </c>
      <c r="F16" s="15">
        <v>46217</v>
      </c>
      <c r="G16" s="16" t="s">
        <v>65</v>
      </c>
    </row>
    <row r="17" spans="1:7">
      <c r="A17" t="s">
        <v>75</v>
      </c>
      <c r="B17" t="s">
        <v>28</v>
      </c>
      <c r="C17" s="38" t="s">
        <v>76</v>
      </c>
      <c r="D17" t="s">
        <v>77</v>
      </c>
      <c r="E17" t="s">
        <v>65</v>
      </c>
      <c r="F17" s="15" t="s">
        <v>275</v>
      </c>
      <c r="G17" s="16" t="s">
        <v>280</v>
      </c>
    </row>
    <row r="18" spans="1:7">
      <c r="A18" t="s">
        <v>78</v>
      </c>
      <c r="B18" t="s">
        <v>42</v>
      </c>
      <c r="C18" s="38" t="s">
        <v>79</v>
      </c>
      <c r="D18" t="s">
        <v>80</v>
      </c>
      <c r="E18" t="s">
        <v>291</v>
      </c>
      <c r="F18" s="15">
        <v>45996</v>
      </c>
      <c r="G18" s="16" t="s">
        <v>280</v>
      </c>
    </row>
    <row r="19" spans="1:7">
      <c r="A19" t="s">
        <v>46</v>
      </c>
      <c r="B19" t="s">
        <v>42</v>
      </c>
      <c r="C19" s="38" t="s">
        <v>81</v>
      </c>
      <c r="D19" t="s">
        <v>83</v>
      </c>
      <c r="E19" t="s">
        <v>65</v>
      </c>
      <c r="F19" s="15" t="s">
        <v>275</v>
      </c>
      <c r="G19" s="16" t="s">
        <v>276</v>
      </c>
    </row>
    <row r="20" spans="1:7">
      <c r="A20" t="s">
        <v>85</v>
      </c>
      <c r="B20" t="s">
        <v>28</v>
      </c>
      <c r="C20" s="38" t="s">
        <v>81</v>
      </c>
      <c r="D20" t="s">
        <v>86</v>
      </c>
      <c r="E20" t="s">
        <v>65</v>
      </c>
      <c r="F20" s="15" t="s">
        <v>275</v>
      </c>
      <c r="G20" s="16" t="s">
        <v>280</v>
      </c>
    </row>
    <row r="21" spans="1:7">
      <c r="A21" t="s">
        <v>46</v>
      </c>
      <c r="B21" t="s">
        <v>63</v>
      </c>
      <c r="C21" s="38" t="s">
        <v>87</v>
      </c>
      <c r="D21" t="s">
        <v>88</v>
      </c>
      <c r="E21" t="s">
        <v>292</v>
      </c>
      <c r="F21" s="15">
        <v>46045</v>
      </c>
      <c r="G21" s="16" t="s">
        <v>286</v>
      </c>
    </row>
    <row r="22" spans="1:7">
      <c r="A22" t="s">
        <v>53</v>
      </c>
      <c r="B22" t="s">
        <v>264</v>
      </c>
      <c r="C22" s="38" t="s">
        <v>38</v>
      </c>
      <c r="D22" t="s">
        <v>35</v>
      </c>
      <c r="E22" t="s">
        <v>65</v>
      </c>
      <c r="F22" s="15" t="s">
        <v>275</v>
      </c>
      <c r="G22" s="16" t="s">
        <v>289</v>
      </c>
    </row>
    <row r="23" spans="1:7">
      <c r="A23" t="s">
        <v>27</v>
      </c>
      <c r="B23" t="s">
        <v>28</v>
      </c>
      <c r="C23" s="38" t="s">
        <v>38</v>
      </c>
      <c r="D23" t="s">
        <v>91</v>
      </c>
      <c r="E23" t="s">
        <v>293</v>
      </c>
      <c r="F23" s="15">
        <v>46181</v>
      </c>
      <c r="G23" s="16" t="s">
        <v>65</v>
      </c>
    </row>
    <row r="24" spans="1:7">
      <c r="A24" t="s">
        <v>73</v>
      </c>
      <c r="B24" t="s">
        <v>28</v>
      </c>
      <c r="C24" s="38" t="s">
        <v>43</v>
      </c>
      <c r="D24" t="s">
        <v>92</v>
      </c>
      <c r="E24" t="s">
        <v>65</v>
      </c>
      <c r="F24" s="15" t="s">
        <v>275</v>
      </c>
      <c r="G24" s="16" t="s">
        <v>286</v>
      </c>
    </row>
    <row r="25" spans="1:7">
      <c r="A25" t="s">
        <v>46</v>
      </c>
      <c r="B25" t="s">
        <v>23</v>
      </c>
      <c r="C25" s="38" t="s">
        <v>38</v>
      </c>
      <c r="D25" t="s">
        <v>94</v>
      </c>
      <c r="E25" t="s">
        <v>294</v>
      </c>
      <c r="F25" s="15">
        <v>46341</v>
      </c>
      <c r="G25" s="16" t="s">
        <v>65</v>
      </c>
    </row>
    <row r="26" spans="1:7">
      <c r="A26" t="s">
        <v>95</v>
      </c>
      <c r="B26" t="s">
        <v>59</v>
      </c>
      <c r="C26" s="38" t="s">
        <v>38</v>
      </c>
      <c r="D26" t="s">
        <v>96</v>
      </c>
      <c r="E26" t="s">
        <v>295</v>
      </c>
      <c r="F26" s="15">
        <v>46138</v>
      </c>
      <c r="G26" s="16" t="s">
        <v>281</v>
      </c>
    </row>
    <row r="27" spans="1:7">
      <c r="A27" t="s">
        <v>53</v>
      </c>
      <c r="B27" t="s">
        <v>59</v>
      </c>
      <c r="C27" s="38" t="s">
        <v>29</v>
      </c>
      <c r="D27" t="s">
        <v>99</v>
      </c>
      <c r="E27" t="s">
        <v>296</v>
      </c>
      <c r="F27" s="15">
        <v>46371</v>
      </c>
      <c r="G27" s="16" t="s">
        <v>278</v>
      </c>
    </row>
    <row r="28" spans="1:7">
      <c r="A28" t="s">
        <v>100</v>
      </c>
      <c r="B28" t="s">
        <v>59</v>
      </c>
      <c r="C28" s="38" t="s">
        <v>24</v>
      </c>
      <c r="D28" t="s">
        <v>101</v>
      </c>
      <c r="E28" t="s">
        <v>297</v>
      </c>
      <c r="F28" s="15">
        <v>46331</v>
      </c>
      <c r="G28" s="16" t="s">
        <v>281</v>
      </c>
    </row>
    <row r="29" spans="1:7">
      <c r="A29" t="s">
        <v>95</v>
      </c>
      <c r="B29" t="s">
        <v>28</v>
      </c>
      <c r="C29" s="38" t="s">
        <v>102</v>
      </c>
      <c r="D29" t="s">
        <v>103</v>
      </c>
      <c r="E29" t="s">
        <v>298</v>
      </c>
      <c r="F29" s="15">
        <v>45946</v>
      </c>
      <c r="G29" s="16" t="s">
        <v>286</v>
      </c>
    </row>
    <row r="30" spans="1:7">
      <c r="A30" t="s">
        <v>136</v>
      </c>
      <c r="B30" t="s">
        <v>42</v>
      </c>
      <c r="C30" s="38" t="s">
        <v>79</v>
      </c>
      <c r="D30" t="s">
        <v>106</v>
      </c>
      <c r="E30" t="s">
        <v>299</v>
      </c>
      <c r="F30" s="15">
        <v>46163</v>
      </c>
      <c r="G30" s="16" t="s">
        <v>278</v>
      </c>
    </row>
    <row r="31" spans="1:7">
      <c r="A31" t="s">
        <v>107</v>
      </c>
      <c r="B31" t="s">
        <v>63</v>
      </c>
      <c r="C31" s="38" t="s">
        <v>81</v>
      </c>
      <c r="D31" t="s">
        <v>108</v>
      </c>
      <c r="E31" t="s">
        <v>300</v>
      </c>
      <c r="F31" s="15">
        <v>45974</v>
      </c>
      <c r="G31" s="16" t="s">
        <v>286</v>
      </c>
    </row>
    <row r="32" spans="1:7">
      <c r="A32" t="s">
        <v>73</v>
      </c>
      <c r="B32" t="s">
        <v>59</v>
      </c>
      <c r="C32" s="38" t="s">
        <v>79</v>
      </c>
      <c r="D32" t="s">
        <v>109</v>
      </c>
      <c r="E32" t="s">
        <v>65</v>
      </c>
      <c r="F32" s="15" t="s">
        <v>275</v>
      </c>
      <c r="G32" s="16" t="s">
        <v>281</v>
      </c>
    </row>
    <row r="33" spans="1:7">
      <c r="A33" t="s">
        <v>45</v>
      </c>
      <c r="B33" t="s">
        <v>42</v>
      </c>
      <c r="C33" s="38" t="s">
        <v>79</v>
      </c>
      <c r="D33" t="s">
        <v>112</v>
      </c>
      <c r="E33" t="s">
        <v>301</v>
      </c>
      <c r="F33" s="15">
        <v>46226</v>
      </c>
      <c r="G33" s="16" t="s">
        <v>281</v>
      </c>
    </row>
    <row r="34" spans="1:7">
      <c r="A34" t="s">
        <v>32</v>
      </c>
      <c r="B34" t="s">
        <v>28</v>
      </c>
      <c r="C34" s="38" t="s">
        <v>24</v>
      </c>
      <c r="D34" t="s">
        <v>113</v>
      </c>
      <c r="E34" t="s">
        <v>302</v>
      </c>
      <c r="F34" s="15">
        <v>46247</v>
      </c>
      <c r="G34" s="16" t="s">
        <v>276</v>
      </c>
    </row>
    <row r="35" spans="1:7">
      <c r="A35" t="s">
        <v>62</v>
      </c>
      <c r="B35" t="s">
        <v>59</v>
      </c>
      <c r="C35" s="38" t="s">
        <v>31</v>
      </c>
      <c r="D35" t="s">
        <v>114</v>
      </c>
      <c r="E35" t="s">
        <v>65</v>
      </c>
      <c r="F35" s="15" t="s">
        <v>275</v>
      </c>
      <c r="G35" s="16" t="s">
        <v>281</v>
      </c>
    </row>
    <row r="36" spans="1:7">
      <c r="A36" t="s">
        <v>56</v>
      </c>
      <c r="B36" t="s">
        <v>110</v>
      </c>
      <c r="C36" s="38" t="s">
        <v>38</v>
      </c>
      <c r="D36" t="s">
        <v>115</v>
      </c>
      <c r="E36" t="s">
        <v>303</v>
      </c>
      <c r="F36" s="15">
        <v>46345</v>
      </c>
      <c r="G36" s="16" t="s">
        <v>280</v>
      </c>
    </row>
    <row r="37" spans="1:7">
      <c r="A37" t="s">
        <v>27</v>
      </c>
      <c r="B37" t="s">
        <v>23</v>
      </c>
      <c r="C37" s="38" t="s">
        <v>48</v>
      </c>
      <c r="D37" t="s">
        <v>117</v>
      </c>
      <c r="E37" t="s">
        <v>304</v>
      </c>
      <c r="F37" s="15">
        <v>46148</v>
      </c>
      <c r="G37" s="16" t="s">
        <v>289</v>
      </c>
    </row>
    <row r="38" spans="1:7">
      <c r="A38" t="s">
        <v>125</v>
      </c>
      <c r="B38" t="s">
        <v>28</v>
      </c>
      <c r="C38" s="38" t="s">
        <v>79</v>
      </c>
      <c r="D38" t="s">
        <v>118</v>
      </c>
      <c r="E38" t="s">
        <v>305</v>
      </c>
      <c r="F38" s="15">
        <v>45866</v>
      </c>
      <c r="G38" s="16" t="s">
        <v>278</v>
      </c>
    </row>
    <row r="39" spans="1:7">
      <c r="A39" t="s">
        <v>119</v>
      </c>
      <c r="B39" t="s">
        <v>47</v>
      </c>
      <c r="C39" s="38" t="s">
        <v>81</v>
      </c>
      <c r="D39" t="s">
        <v>120</v>
      </c>
      <c r="E39" t="s">
        <v>306</v>
      </c>
      <c r="F39" s="15">
        <v>46259</v>
      </c>
      <c r="G39" s="16" t="s">
        <v>281</v>
      </c>
    </row>
    <row r="40" spans="1:7">
      <c r="A40" t="s">
        <v>21</v>
      </c>
      <c r="B40" t="s">
        <v>59</v>
      </c>
      <c r="C40" s="38" t="s">
        <v>38</v>
      </c>
      <c r="D40" t="s">
        <v>121</v>
      </c>
      <c r="E40" t="s">
        <v>307</v>
      </c>
      <c r="F40" s="15">
        <v>45939</v>
      </c>
      <c r="G40" s="16" t="s">
        <v>65</v>
      </c>
    </row>
    <row r="41" spans="1:7">
      <c r="A41" t="s">
        <v>95</v>
      </c>
      <c r="B41" t="s">
        <v>59</v>
      </c>
      <c r="C41" s="38" t="s">
        <v>43</v>
      </c>
      <c r="D41" t="s">
        <v>122</v>
      </c>
      <c r="E41" t="s">
        <v>308</v>
      </c>
      <c r="F41" s="15">
        <v>45919</v>
      </c>
      <c r="G41" s="16" t="s">
        <v>276</v>
      </c>
    </row>
    <row r="42" spans="1:7">
      <c r="A42" t="s">
        <v>78</v>
      </c>
      <c r="B42" t="s">
        <v>47</v>
      </c>
      <c r="C42" s="38" t="s">
        <v>38</v>
      </c>
      <c r="D42" t="s">
        <v>65</v>
      </c>
      <c r="E42" t="s">
        <v>65</v>
      </c>
      <c r="F42" s="15" t="s">
        <v>275</v>
      </c>
      <c r="G42" s="16" t="s">
        <v>65</v>
      </c>
    </row>
    <row r="43" spans="1:7">
      <c r="A43" t="s">
        <v>58</v>
      </c>
      <c r="B43" t="s">
        <v>47</v>
      </c>
      <c r="C43" s="38" t="s">
        <v>79</v>
      </c>
      <c r="D43" t="s">
        <v>124</v>
      </c>
      <c r="E43" t="s">
        <v>309</v>
      </c>
      <c r="F43" s="15">
        <v>46173</v>
      </c>
      <c r="G43" s="16" t="s">
        <v>286</v>
      </c>
    </row>
    <row r="44" spans="1:7">
      <c r="A44" t="s">
        <v>125</v>
      </c>
      <c r="B44" t="s">
        <v>23</v>
      </c>
      <c r="C44" s="38" t="s">
        <v>24</v>
      </c>
      <c r="D44" t="s">
        <v>126</v>
      </c>
      <c r="E44" t="s">
        <v>310</v>
      </c>
      <c r="F44" s="15">
        <v>46266</v>
      </c>
      <c r="G44" s="16" t="s">
        <v>289</v>
      </c>
    </row>
    <row r="45" spans="1:7">
      <c r="A45" t="s">
        <v>142</v>
      </c>
      <c r="B45" t="s">
        <v>23</v>
      </c>
      <c r="C45" s="38" t="s">
        <v>31</v>
      </c>
      <c r="D45" t="s">
        <v>129</v>
      </c>
      <c r="E45" t="s">
        <v>311</v>
      </c>
      <c r="F45" s="15">
        <v>46276</v>
      </c>
      <c r="G45" s="16" t="s">
        <v>281</v>
      </c>
    </row>
    <row r="46" spans="1:7">
      <c r="A46" t="s">
        <v>21</v>
      </c>
      <c r="B46" t="s">
        <v>59</v>
      </c>
      <c r="C46" s="38" t="s">
        <v>31</v>
      </c>
      <c r="D46" t="s">
        <v>130</v>
      </c>
      <c r="E46" t="s">
        <v>312</v>
      </c>
      <c r="F46" s="15">
        <v>46021</v>
      </c>
      <c r="G46" s="16" t="s">
        <v>286</v>
      </c>
    </row>
    <row r="47" spans="1:7">
      <c r="A47" t="s">
        <v>21</v>
      </c>
      <c r="B47" t="s">
        <v>47</v>
      </c>
      <c r="C47" s="38" t="s">
        <v>79</v>
      </c>
      <c r="D47" t="s">
        <v>65</v>
      </c>
      <c r="E47" t="s">
        <v>65</v>
      </c>
      <c r="F47" s="15" t="s">
        <v>275</v>
      </c>
      <c r="G47" s="16" t="s">
        <v>65</v>
      </c>
    </row>
    <row r="48" spans="1:7">
      <c r="A48" t="s">
        <v>58</v>
      </c>
      <c r="B48" t="s">
        <v>42</v>
      </c>
      <c r="C48" s="38" t="s">
        <v>79</v>
      </c>
      <c r="D48" t="s">
        <v>132</v>
      </c>
      <c r="E48" t="s">
        <v>313</v>
      </c>
      <c r="F48" s="15">
        <v>46024</v>
      </c>
      <c r="G48" s="16" t="s">
        <v>289</v>
      </c>
    </row>
    <row r="49" spans="1:7">
      <c r="A49" t="s">
        <v>78</v>
      </c>
      <c r="B49" t="s">
        <v>59</v>
      </c>
      <c r="C49" s="38" t="s">
        <v>43</v>
      </c>
      <c r="D49" t="s">
        <v>133</v>
      </c>
      <c r="E49" t="s">
        <v>314</v>
      </c>
      <c r="F49" s="15">
        <v>46186</v>
      </c>
      <c r="G49" s="16" t="s">
        <v>278</v>
      </c>
    </row>
    <row r="50" spans="1:7">
      <c r="A50" t="s">
        <v>73</v>
      </c>
      <c r="B50" t="s">
        <v>28</v>
      </c>
      <c r="C50" s="38" t="s">
        <v>43</v>
      </c>
      <c r="D50" t="s">
        <v>114</v>
      </c>
      <c r="E50" t="s">
        <v>65</v>
      </c>
      <c r="F50" s="15" t="s">
        <v>275</v>
      </c>
      <c r="G50" s="16" t="s">
        <v>281</v>
      </c>
    </row>
    <row r="51" spans="1:7">
      <c r="A51" t="s">
        <v>62</v>
      </c>
      <c r="B51" t="s">
        <v>59</v>
      </c>
      <c r="C51" s="38" t="s">
        <v>31</v>
      </c>
      <c r="D51" t="s">
        <v>135</v>
      </c>
      <c r="E51" t="s">
        <v>315</v>
      </c>
      <c r="F51" s="15">
        <v>45883</v>
      </c>
      <c r="G51" s="16" t="s">
        <v>280</v>
      </c>
    </row>
    <row r="52" spans="1:7">
      <c r="A52" t="s">
        <v>136</v>
      </c>
      <c r="B52" t="s">
        <v>28</v>
      </c>
      <c r="C52" s="38" t="s">
        <v>65</v>
      </c>
      <c r="D52" t="s">
        <v>137</v>
      </c>
      <c r="E52" t="s">
        <v>316</v>
      </c>
      <c r="F52" s="15">
        <v>46162</v>
      </c>
      <c r="G52" s="16" t="s">
        <v>65</v>
      </c>
    </row>
    <row r="53" spans="1:7">
      <c r="A53" t="s">
        <v>95</v>
      </c>
      <c r="B53" t="s">
        <v>42</v>
      </c>
      <c r="C53" s="38" t="s">
        <v>38</v>
      </c>
      <c r="D53" t="s">
        <v>138</v>
      </c>
      <c r="E53" t="s">
        <v>317</v>
      </c>
      <c r="F53" s="15">
        <v>46178</v>
      </c>
      <c r="G53" s="16" t="s">
        <v>281</v>
      </c>
    </row>
    <row r="54" spans="1:7">
      <c r="A54" t="s">
        <v>139</v>
      </c>
      <c r="B54" t="s">
        <v>28</v>
      </c>
      <c r="C54" s="38" t="s">
        <v>24</v>
      </c>
      <c r="D54" t="s">
        <v>140</v>
      </c>
      <c r="E54" t="s">
        <v>318</v>
      </c>
      <c r="F54" s="15">
        <v>46073</v>
      </c>
      <c r="G54" s="16" t="s">
        <v>289</v>
      </c>
    </row>
    <row r="55" spans="1:7">
      <c r="A55" t="s">
        <v>142</v>
      </c>
      <c r="B55" t="s">
        <v>59</v>
      </c>
      <c r="C55" s="38" t="s">
        <v>24</v>
      </c>
      <c r="D55" t="s">
        <v>143</v>
      </c>
      <c r="E55" t="s">
        <v>319</v>
      </c>
      <c r="F55" s="15">
        <v>46356</v>
      </c>
      <c r="G55" s="16" t="s">
        <v>281</v>
      </c>
    </row>
    <row r="56" spans="1:7">
      <c r="A56" t="s">
        <v>139</v>
      </c>
      <c r="B56" t="s">
        <v>47</v>
      </c>
      <c r="C56" s="38" t="s">
        <v>31</v>
      </c>
      <c r="D56" t="s">
        <v>144</v>
      </c>
      <c r="E56" t="s">
        <v>65</v>
      </c>
      <c r="F56" s="15" t="s">
        <v>275</v>
      </c>
      <c r="G56" s="16" t="s">
        <v>286</v>
      </c>
    </row>
    <row r="57" spans="1:7">
      <c r="A57" t="s">
        <v>53</v>
      </c>
      <c r="B57" t="s">
        <v>47</v>
      </c>
      <c r="C57" s="38" t="s">
        <v>31</v>
      </c>
      <c r="D57" t="s">
        <v>146</v>
      </c>
      <c r="E57" t="s">
        <v>320</v>
      </c>
      <c r="F57" s="15">
        <v>46054</v>
      </c>
      <c r="G57" s="16" t="s">
        <v>280</v>
      </c>
    </row>
    <row r="58" spans="1:7">
      <c r="A58" t="s">
        <v>32</v>
      </c>
      <c r="B58" t="s">
        <v>42</v>
      </c>
      <c r="C58" s="38" t="s">
        <v>102</v>
      </c>
      <c r="D58" t="s">
        <v>147</v>
      </c>
      <c r="E58" t="s">
        <v>321</v>
      </c>
      <c r="F58" s="15">
        <v>46143</v>
      </c>
      <c r="G58" s="16" t="s">
        <v>281</v>
      </c>
    </row>
    <row r="59" spans="1:7">
      <c r="A59" t="s">
        <v>148</v>
      </c>
      <c r="B59" t="s">
        <v>42</v>
      </c>
      <c r="C59" s="38" t="s">
        <v>24</v>
      </c>
      <c r="D59" t="s">
        <v>149</v>
      </c>
      <c r="E59" t="s">
        <v>322</v>
      </c>
      <c r="F59" s="15">
        <v>46081</v>
      </c>
      <c r="G59" s="16" t="s">
        <v>278</v>
      </c>
    </row>
    <row r="60" spans="1:7">
      <c r="A60" t="s">
        <v>100</v>
      </c>
      <c r="B60" t="s">
        <v>264</v>
      </c>
      <c r="C60" s="38" t="s">
        <v>151</v>
      </c>
      <c r="D60" t="s">
        <v>152</v>
      </c>
      <c r="E60" t="s">
        <v>323</v>
      </c>
      <c r="F60" s="15">
        <v>46049</v>
      </c>
      <c r="G60" s="16" t="s">
        <v>276</v>
      </c>
    </row>
    <row r="61" spans="1:7">
      <c r="A61" t="s">
        <v>139</v>
      </c>
      <c r="B61" t="s">
        <v>47</v>
      </c>
      <c r="C61" s="38" t="s">
        <v>48</v>
      </c>
      <c r="D61" t="s">
        <v>153</v>
      </c>
      <c r="E61" t="s">
        <v>65</v>
      </c>
      <c r="F61" s="15" t="s">
        <v>275</v>
      </c>
      <c r="G61" s="16" t="s">
        <v>289</v>
      </c>
    </row>
    <row r="62" spans="1:7">
      <c r="A62" t="s">
        <v>116</v>
      </c>
      <c r="B62" t="s">
        <v>28</v>
      </c>
      <c r="C62" s="38" t="s">
        <v>87</v>
      </c>
      <c r="D62" t="s">
        <v>154</v>
      </c>
      <c r="E62" t="s">
        <v>312</v>
      </c>
      <c r="F62" s="15">
        <v>46021</v>
      </c>
      <c r="G62" s="16" t="s">
        <v>286</v>
      </c>
    </row>
    <row r="63" spans="1:7">
      <c r="A63" t="s">
        <v>62</v>
      </c>
      <c r="B63" t="s">
        <v>110</v>
      </c>
      <c r="C63" s="38" t="s">
        <v>155</v>
      </c>
      <c r="D63" t="s">
        <v>156</v>
      </c>
      <c r="E63" t="s">
        <v>324</v>
      </c>
      <c r="F63" s="15">
        <v>46027</v>
      </c>
      <c r="G63" s="16" t="s">
        <v>278</v>
      </c>
    </row>
    <row r="64" spans="1:7">
      <c r="A64" t="s">
        <v>107</v>
      </c>
      <c r="B64" t="s">
        <v>28</v>
      </c>
      <c r="C64" s="38" t="s">
        <v>31</v>
      </c>
      <c r="D64" t="s">
        <v>157</v>
      </c>
      <c r="E64" t="s">
        <v>65</v>
      </c>
      <c r="F64" s="15" t="s">
        <v>275</v>
      </c>
      <c r="G64" s="16" t="s">
        <v>286</v>
      </c>
    </row>
    <row r="65" spans="1:7">
      <c r="A65" t="s">
        <v>148</v>
      </c>
      <c r="B65" t="s">
        <v>23</v>
      </c>
      <c r="C65" s="38" t="s">
        <v>31</v>
      </c>
      <c r="D65" t="s">
        <v>160</v>
      </c>
      <c r="E65" t="s">
        <v>325</v>
      </c>
      <c r="F65" s="15">
        <v>46165</v>
      </c>
      <c r="G65" s="16" t="s">
        <v>276</v>
      </c>
    </row>
    <row r="66" spans="1:7">
      <c r="A66" t="s">
        <v>161</v>
      </c>
      <c r="B66" t="s">
        <v>42</v>
      </c>
      <c r="C66" s="38" t="s">
        <v>31</v>
      </c>
      <c r="D66" t="s">
        <v>162</v>
      </c>
      <c r="E66" t="s">
        <v>326</v>
      </c>
      <c r="F66" s="15">
        <v>46046</v>
      </c>
      <c r="G66" s="16" t="s">
        <v>281</v>
      </c>
    </row>
    <row r="67" spans="1:7">
      <c r="A67" t="s">
        <v>148</v>
      </c>
      <c r="B67" t="s">
        <v>59</v>
      </c>
      <c r="C67" s="38" t="s">
        <v>38</v>
      </c>
      <c r="D67" t="s">
        <v>163</v>
      </c>
      <c r="E67" t="s">
        <v>327</v>
      </c>
      <c r="F67" s="15">
        <v>46131</v>
      </c>
      <c r="G67" s="16" t="s">
        <v>278</v>
      </c>
    </row>
    <row r="68" spans="1:7">
      <c r="A68" t="s">
        <v>107</v>
      </c>
      <c r="B68" t="s">
        <v>59</v>
      </c>
      <c r="C68" s="38" t="s">
        <v>79</v>
      </c>
      <c r="D68" t="s">
        <v>164</v>
      </c>
      <c r="E68" t="s">
        <v>328</v>
      </c>
      <c r="F68" s="15">
        <v>46156</v>
      </c>
      <c r="G68" s="16" t="s">
        <v>289</v>
      </c>
    </row>
    <row r="69" spans="1:7">
      <c r="A69" t="s">
        <v>100</v>
      </c>
      <c r="B69" t="s">
        <v>47</v>
      </c>
      <c r="C69" s="38" t="s">
        <v>24</v>
      </c>
      <c r="D69" t="s">
        <v>166</v>
      </c>
      <c r="E69" t="s">
        <v>329</v>
      </c>
      <c r="F69" s="15">
        <v>46302</v>
      </c>
      <c r="G69" s="16" t="s">
        <v>289</v>
      </c>
    </row>
    <row r="70" spans="1:7">
      <c r="A70" t="s">
        <v>85</v>
      </c>
      <c r="B70" t="s">
        <v>42</v>
      </c>
      <c r="C70" s="38" t="s">
        <v>155</v>
      </c>
      <c r="D70" t="s">
        <v>168</v>
      </c>
      <c r="E70" t="s">
        <v>330</v>
      </c>
      <c r="F70" s="15">
        <v>45989</v>
      </c>
      <c r="G70" s="16" t="s">
        <v>278</v>
      </c>
    </row>
    <row r="71" spans="1:7">
      <c r="A71" t="s">
        <v>58</v>
      </c>
      <c r="B71" t="s">
        <v>47</v>
      </c>
      <c r="C71" s="38" t="s">
        <v>24</v>
      </c>
      <c r="D71" t="s">
        <v>169</v>
      </c>
      <c r="E71" t="s">
        <v>331</v>
      </c>
      <c r="F71" s="15">
        <v>46280</v>
      </c>
      <c r="G71" s="16" t="s">
        <v>289</v>
      </c>
    </row>
    <row r="72" spans="1:7">
      <c r="A72" t="s">
        <v>27</v>
      </c>
      <c r="B72" t="s">
        <v>28</v>
      </c>
      <c r="C72" s="38" t="s">
        <v>24</v>
      </c>
      <c r="D72" t="s">
        <v>170</v>
      </c>
      <c r="E72" t="s">
        <v>332</v>
      </c>
      <c r="F72" s="15">
        <v>46166</v>
      </c>
      <c r="G72" s="16" t="s">
        <v>280</v>
      </c>
    </row>
    <row r="73" spans="1:7">
      <c r="A73" t="s">
        <v>32</v>
      </c>
      <c r="B73" t="s">
        <v>110</v>
      </c>
      <c r="C73" s="38" t="s">
        <v>43</v>
      </c>
      <c r="D73" t="s">
        <v>172</v>
      </c>
      <c r="E73" t="s">
        <v>333</v>
      </c>
      <c r="F73" s="15">
        <v>45907</v>
      </c>
      <c r="G73" s="16" t="s">
        <v>278</v>
      </c>
    </row>
    <row r="74" spans="1:7">
      <c r="A74" t="s">
        <v>161</v>
      </c>
      <c r="B74" t="s">
        <v>28</v>
      </c>
      <c r="C74" s="38" t="s">
        <v>76</v>
      </c>
      <c r="D74" t="s">
        <v>173</v>
      </c>
      <c r="E74" t="s">
        <v>334</v>
      </c>
      <c r="F74" s="15">
        <v>46037</v>
      </c>
      <c r="G74" s="16" t="s">
        <v>286</v>
      </c>
    </row>
    <row r="75" spans="1:7">
      <c r="A75" t="s">
        <v>116</v>
      </c>
      <c r="B75" t="s">
        <v>47</v>
      </c>
      <c r="C75" s="38" t="s">
        <v>79</v>
      </c>
      <c r="D75">
        <v>0</v>
      </c>
      <c r="E75" t="s">
        <v>65</v>
      </c>
      <c r="F75" s="15" t="s">
        <v>275</v>
      </c>
      <c r="G75" s="16" t="s">
        <v>65</v>
      </c>
    </row>
    <row r="76" spans="1:7">
      <c r="A76" t="s">
        <v>53</v>
      </c>
      <c r="B76" t="s">
        <v>23</v>
      </c>
      <c r="C76" s="38" t="s">
        <v>64</v>
      </c>
      <c r="D76" t="s">
        <v>175</v>
      </c>
      <c r="E76" t="s">
        <v>335</v>
      </c>
      <c r="F76" s="15">
        <v>46202</v>
      </c>
      <c r="G76" s="16" t="s">
        <v>278</v>
      </c>
    </row>
    <row r="77" spans="1:7">
      <c r="A77" t="s">
        <v>53</v>
      </c>
      <c r="B77" t="s">
        <v>23</v>
      </c>
      <c r="C77" s="38" t="s">
        <v>76</v>
      </c>
      <c r="D77" t="s">
        <v>176</v>
      </c>
      <c r="E77" t="s">
        <v>336</v>
      </c>
      <c r="F77" s="15">
        <v>45941</v>
      </c>
      <c r="G77" s="16" t="s">
        <v>289</v>
      </c>
    </row>
    <row r="78" spans="1:7">
      <c r="A78" t="s">
        <v>148</v>
      </c>
      <c r="B78" t="s">
        <v>63</v>
      </c>
      <c r="C78" s="38" t="s">
        <v>24</v>
      </c>
      <c r="D78" t="s">
        <v>35</v>
      </c>
      <c r="E78" t="s">
        <v>65</v>
      </c>
      <c r="F78" s="15" t="s">
        <v>275</v>
      </c>
      <c r="G78" s="16" t="s">
        <v>289</v>
      </c>
    </row>
    <row r="79" spans="1:7">
      <c r="A79" t="s">
        <v>136</v>
      </c>
      <c r="B79" t="s">
        <v>47</v>
      </c>
      <c r="C79" s="38" t="s">
        <v>66</v>
      </c>
      <c r="D79" t="s">
        <v>177</v>
      </c>
      <c r="E79" t="s">
        <v>337</v>
      </c>
      <c r="F79" s="15">
        <v>45836</v>
      </c>
      <c r="G79" s="16" t="s">
        <v>65</v>
      </c>
    </row>
    <row r="80" spans="1:7">
      <c r="A80" t="s">
        <v>21</v>
      </c>
      <c r="B80" t="s">
        <v>42</v>
      </c>
      <c r="C80" s="38" t="s">
        <v>79</v>
      </c>
      <c r="D80" t="s">
        <v>179</v>
      </c>
      <c r="E80" t="s">
        <v>338</v>
      </c>
      <c r="F80" s="15">
        <v>45867</v>
      </c>
      <c r="G80" s="16" t="s">
        <v>289</v>
      </c>
    </row>
    <row r="81" spans="1:7">
      <c r="A81" t="s">
        <v>27</v>
      </c>
      <c r="B81" t="s">
        <v>47</v>
      </c>
      <c r="C81" s="38" t="s">
        <v>38</v>
      </c>
      <c r="D81" t="s">
        <v>180</v>
      </c>
      <c r="E81" t="s">
        <v>65</v>
      </c>
      <c r="F81" s="15" t="s">
        <v>275</v>
      </c>
      <c r="G81" s="16" t="s">
        <v>286</v>
      </c>
    </row>
    <row r="82" spans="1:7">
      <c r="A82" t="s">
        <v>21</v>
      </c>
      <c r="B82" t="s">
        <v>47</v>
      </c>
      <c r="C82" s="38" t="s">
        <v>31</v>
      </c>
      <c r="D82" t="s">
        <v>35</v>
      </c>
      <c r="E82" t="s">
        <v>65</v>
      </c>
      <c r="F82" s="15" t="s">
        <v>275</v>
      </c>
      <c r="G82" s="16" t="s">
        <v>289</v>
      </c>
    </row>
    <row r="83" spans="1:7">
      <c r="A83" t="s">
        <v>45</v>
      </c>
      <c r="B83" t="s">
        <v>28</v>
      </c>
      <c r="C83" s="38" t="s">
        <v>43</v>
      </c>
      <c r="D83" t="s">
        <v>55</v>
      </c>
      <c r="E83" t="s">
        <v>339</v>
      </c>
      <c r="F83" s="15">
        <v>45928</v>
      </c>
      <c r="G83" s="16" t="s">
        <v>278</v>
      </c>
    </row>
    <row r="84" spans="1:7">
      <c r="A84" t="s">
        <v>56</v>
      </c>
      <c r="B84" t="s">
        <v>63</v>
      </c>
      <c r="C84" s="38" t="s">
        <v>68</v>
      </c>
      <c r="D84" t="s">
        <v>71</v>
      </c>
      <c r="E84" t="s">
        <v>340</v>
      </c>
      <c r="F84" s="15">
        <v>45866</v>
      </c>
      <c r="G84" s="16" t="s">
        <v>286</v>
      </c>
    </row>
    <row r="85" spans="1:7">
      <c r="A85" t="s">
        <v>27</v>
      </c>
      <c r="B85" t="s">
        <v>28</v>
      </c>
      <c r="C85" s="38" t="s">
        <v>81</v>
      </c>
      <c r="D85" t="s">
        <v>84</v>
      </c>
      <c r="E85" t="s">
        <v>65</v>
      </c>
      <c r="F85" s="15" t="s">
        <v>275</v>
      </c>
      <c r="G85" s="16" t="s">
        <v>286</v>
      </c>
    </row>
    <row r="86" spans="1:7">
      <c r="A86" t="s">
        <v>73</v>
      </c>
      <c r="B86" t="s">
        <v>42</v>
      </c>
      <c r="C86" s="38" t="s">
        <v>29</v>
      </c>
      <c r="D86" t="s">
        <v>93</v>
      </c>
      <c r="E86" t="s">
        <v>341</v>
      </c>
      <c r="F86" s="15">
        <v>46314</v>
      </c>
      <c r="G86" s="16" t="s">
        <v>289</v>
      </c>
    </row>
    <row r="87" spans="1:7">
      <c r="A87" t="s">
        <v>142</v>
      </c>
      <c r="B87" t="s">
        <v>264</v>
      </c>
      <c r="C87" s="38" t="s">
        <v>24</v>
      </c>
      <c r="D87" t="s">
        <v>104</v>
      </c>
      <c r="E87" t="s">
        <v>342</v>
      </c>
      <c r="F87" s="15">
        <v>45869</v>
      </c>
      <c r="G87" s="16" t="s">
        <v>289</v>
      </c>
    </row>
    <row r="88" spans="1:7">
      <c r="A88" t="s">
        <v>46</v>
      </c>
      <c r="B88" t="s">
        <v>110</v>
      </c>
      <c r="C88" s="38" t="s">
        <v>79</v>
      </c>
      <c r="D88" t="s">
        <v>30</v>
      </c>
      <c r="E88" t="s">
        <v>65</v>
      </c>
      <c r="F88" s="15" t="s">
        <v>275</v>
      </c>
      <c r="G88" s="16" t="s">
        <v>276</v>
      </c>
    </row>
    <row r="89" spans="1:7">
      <c r="A89" t="s">
        <v>116</v>
      </c>
      <c r="B89" t="s">
        <v>183</v>
      </c>
      <c r="C89" s="38">
        <v>230</v>
      </c>
      <c r="D89" t="s">
        <v>184</v>
      </c>
      <c r="E89" t="s">
        <v>65</v>
      </c>
      <c r="F89" s="15" t="s">
        <v>275</v>
      </c>
      <c r="G89" s="16" t="s">
        <v>278</v>
      </c>
    </row>
    <row r="90" spans="1:7">
      <c r="A90" t="s">
        <v>75</v>
      </c>
      <c r="B90" t="s">
        <v>186</v>
      </c>
      <c r="C90" s="38">
        <v>170</v>
      </c>
      <c r="D90" t="s">
        <v>187</v>
      </c>
      <c r="E90" t="s">
        <v>343</v>
      </c>
      <c r="F90" s="15">
        <v>46127</v>
      </c>
      <c r="G90" s="16" t="s">
        <v>286</v>
      </c>
    </row>
    <row r="91" spans="1:7">
      <c r="A91" t="s">
        <v>131</v>
      </c>
      <c r="B91" t="s">
        <v>186</v>
      </c>
      <c r="C91" s="38">
        <v>420</v>
      </c>
      <c r="D91" t="s">
        <v>188</v>
      </c>
      <c r="E91" t="s">
        <v>344</v>
      </c>
      <c r="F91" s="15">
        <v>45877</v>
      </c>
      <c r="G91" s="16" t="s">
        <v>65</v>
      </c>
    </row>
    <row r="92" spans="1:7">
      <c r="A92" t="s">
        <v>21</v>
      </c>
      <c r="B92" t="s">
        <v>47</v>
      </c>
      <c r="C92" s="38" t="s">
        <v>31</v>
      </c>
      <c r="D92" t="s">
        <v>35</v>
      </c>
      <c r="E92" t="s">
        <v>65</v>
      </c>
      <c r="F92" s="15" t="s">
        <v>275</v>
      </c>
      <c r="G92" s="16" t="s">
        <v>289</v>
      </c>
    </row>
    <row r="93" spans="1:7">
      <c r="A93" t="s">
        <v>45</v>
      </c>
      <c r="B93" t="s">
        <v>28</v>
      </c>
      <c r="C93" s="38" t="s">
        <v>43</v>
      </c>
      <c r="D93" t="s">
        <v>55</v>
      </c>
      <c r="E93" t="s">
        <v>339</v>
      </c>
      <c r="F93" s="15">
        <v>45928</v>
      </c>
      <c r="G93" s="16" t="s">
        <v>278</v>
      </c>
    </row>
    <row r="94" spans="1:7">
      <c r="A94" t="s">
        <v>56</v>
      </c>
      <c r="B94" t="s">
        <v>63</v>
      </c>
      <c r="C94" s="38" t="s">
        <v>68</v>
      </c>
      <c r="D94" t="s">
        <v>71</v>
      </c>
      <c r="E94" t="s">
        <v>340</v>
      </c>
      <c r="F94" s="15">
        <v>45866</v>
      </c>
      <c r="G94" s="16" t="s">
        <v>286</v>
      </c>
    </row>
    <row r="95" spans="1:7">
      <c r="A95" t="s">
        <v>27</v>
      </c>
      <c r="B95" t="s">
        <v>28</v>
      </c>
      <c r="C95" s="38" t="s">
        <v>81</v>
      </c>
      <c r="D95" t="s">
        <v>84</v>
      </c>
      <c r="E95" t="s">
        <v>65</v>
      </c>
      <c r="F95" s="15" t="s">
        <v>275</v>
      </c>
      <c r="G95" s="16" t="s">
        <v>286</v>
      </c>
    </row>
    <row r="96" spans="1:7">
      <c r="A96" t="s">
        <v>73</v>
      </c>
      <c r="B96" t="s">
        <v>42</v>
      </c>
      <c r="C96" s="38" t="s">
        <v>29</v>
      </c>
      <c r="D96" t="s">
        <v>93</v>
      </c>
      <c r="E96" t="s">
        <v>341</v>
      </c>
      <c r="F96" s="15">
        <v>46314</v>
      </c>
      <c r="G96" s="16" t="s">
        <v>289</v>
      </c>
    </row>
    <row r="97" spans="1:7">
      <c r="A97" t="s">
        <v>142</v>
      </c>
      <c r="B97" t="s">
        <v>59</v>
      </c>
      <c r="C97" s="38" t="s">
        <v>24</v>
      </c>
      <c r="D97" t="s">
        <v>104</v>
      </c>
      <c r="E97" t="s">
        <v>342</v>
      </c>
      <c r="F97" s="15">
        <v>45869</v>
      </c>
      <c r="G97" s="16" t="s">
        <v>289</v>
      </c>
    </row>
    <row r="98" spans="1:7">
      <c r="A98" t="s">
        <v>46</v>
      </c>
      <c r="B98" t="s">
        <v>110</v>
      </c>
      <c r="C98" s="38" t="s">
        <v>79</v>
      </c>
      <c r="D98" t="s">
        <v>30</v>
      </c>
      <c r="E98" t="s">
        <v>65</v>
      </c>
      <c r="F98" s="15" t="s">
        <v>275</v>
      </c>
      <c r="G98" s="16" t="s">
        <v>276</v>
      </c>
    </row>
    <row r="99" spans="1:7">
      <c r="A99" t="s">
        <v>116</v>
      </c>
      <c r="B99" t="s">
        <v>47</v>
      </c>
      <c r="C99" s="38" t="s">
        <v>31</v>
      </c>
      <c r="D99" t="s">
        <v>84</v>
      </c>
      <c r="E99" t="s">
        <v>65</v>
      </c>
      <c r="F99" s="15" t="s">
        <v>275</v>
      </c>
      <c r="G99" s="16" t="s">
        <v>286</v>
      </c>
    </row>
    <row r="100" spans="1:7">
      <c r="A100" t="s">
        <v>75</v>
      </c>
      <c r="B100" t="s">
        <v>28</v>
      </c>
      <c r="C100" s="38" t="s">
        <v>81</v>
      </c>
      <c r="D100" t="s">
        <v>127</v>
      </c>
      <c r="E100" t="s">
        <v>345</v>
      </c>
      <c r="F100" s="15">
        <v>46126</v>
      </c>
      <c r="G100" s="16" t="s">
        <v>286</v>
      </c>
    </row>
    <row r="101" spans="1:7">
      <c r="A101" t="s">
        <v>131</v>
      </c>
      <c r="B101" t="s">
        <v>28</v>
      </c>
      <c r="C101" s="38" t="s">
        <v>65</v>
      </c>
      <c r="D101" t="s">
        <v>134</v>
      </c>
      <c r="E101" t="s">
        <v>346</v>
      </c>
      <c r="F101" s="15">
        <v>45878</v>
      </c>
      <c r="G101" s="16" t="s">
        <v>65</v>
      </c>
    </row>
    <row r="102" spans="1:7">
      <c r="A102" t="s">
        <v>58</v>
      </c>
      <c r="B102" t="s">
        <v>23</v>
      </c>
      <c r="C102" s="38" t="s">
        <v>79</v>
      </c>
      <c r="D102" t="s">
        <v>141</v>
      </c>
      <c r="E102" t="s">
        <v>347</v>
      </c>
      <c r="F102" s="15">
        <v>45850</v>
      </c>
      <c r="G102" s="16" t="s">
        <v>276</v>
      </c>
    </row>
    <row r="103" spans="1:7">
      <c r="A103" t="s">
        <v>56</v>
      </c>
      <c r="B103" t="s">
        <v>42</v>
      </c>
      <c r="C103" s="38" t="s">
        <v>79</v>
      </c>
      <c r="D103" t="s">
        <v>150</v>
      </c>
      <c r="E103" t="s">
        <v>348</v>
      </c>
      <c r="F103" s="15">
        <v>46070</v>
      </c>
      <c r="G103" s="16" t="s">
        <v>281</v>
      </c>
    </row>
    <row r="104" spans="1:7">
      <c r="A104" t="s">
        <v>32</v>
      </c>
      <c r="B104" t="s">
        <v>28</v>
      </c>
      <c r="C104" s="38" t="s">
        <v>65</v>
      </c>
      <c r="D104" t="s">
        <v>158</v>
      </c>
      <c r="E104" t="s">
        <v>349</v>
      </c>
      <c r="F104" s="15">
        <v>46058</v>
      </c>
      <c r="G104" s="16" t="s">
        <v>280</v>
      </c>
    </row>
    <row r="105" spans="1:7">
      <c r="A105" t="s">
        <v>75</v>
      </c>
      <c r="B105" t="s">
        <v>110</v>
      </c>
      <c r="C105" s="38" t="s">
        <v>24</v>
      </c>
      <c r="D105" t="s">
        <v>167</v>
      </c>
      <c r="E105" t="s">
        <v>350</v>
      </c>
      <c r="F105" s="15">
        <v>46191</v>
      </c>
      <c r="G105" s="16" t="s">
        <v>286</v>
      </c>
    </row>
    <row r="106" spans="1:7">
      <c r="A106" t="s">
        <v>27</v>
      </c>
      <c r="B106" t="s">
        <v>23</v>
      </c>
      <c r="C106" s="38" t="s">
        <v>38</v>
      </c>
      <c r="D106" t="s">
        <v>174</v>
      </c>
      <c r="E106" t="s">
        <v>351</v>
      </c>
      <c r="F106" s="15">
        <v>46222</v>
      </c>
      <c r="G106" s="16" t="s">
        <v>281</v>
      </c>
    </row>
    <row r="107" spans="1:7">
      <c r="A107" t="s">
        <v>78</v>
      </c>
      <c r="B107" t="s">
        <v>264</v>
      </c>
      <c r="C107" s="38" t="s">
        <v>81</v>
      </c>
      <c r="D107" t="s">
        <v>178</v>
      </c>
      <c r="E107" t="s">
        <v>65</v>
      </c>
      <c r="F107" s="15" t="s">
        <v>275</v>
      </c>
      <c r="G107" s="16" t="s">
        <v>278</v>
      </c>
    </row>
    <row r="108" spans="1:7">
      <c r="A108" t="s">
        <v>32</v>
      </c>
      <c r="B108" t="s">
        <v>23</v>
      </c>
      <c r="C108" s="38" t="s">
        <v>181</v>
      </c>
      <c r="D108" t="s">
        <v>182</v>
      </c>
      <c r="E108" t="s">
        <v>65</v>
      </c>
      <c r="F108" s="15" t="s">
        <v>275</v>
      </c>
      <c r="G108" s="16" t="s">
        <v>281</v>
      </c>
    </row>
    <row r="109" spans="1:7">
      <c r="A109" t="s">
        <v>58</v>
      </c>
      <c r="B109" t="s">
        <v>28</v>
      </c>
      <c r="C109" s="38" t="s">
        <v>155</v>
      </c>
      <c r="D109" t="s">
        <v>185</v>
      </c>
      <c r="E109" t="s">
        <v>352</v>
      </c>
      <c r="F109" s="15">
        <v>46007</v>
      </c>
      <c r="G109" s="16" t="s">
        <v>286</v>
      </c>
    </row>
    <row r="110" spans="1:7">
      <c r="A110" t="s">
        <v>139</v>
      </c>
      <c r="B110" t="s">
        <v>28</v>
      </c>
      <c r="C110" s="38" t="s">
        <v>66</v>
      </c>
      <c r="D110" t="s">
        <v>182</v>
      </c>
      <c r="E110" t="s">
        <v>65</v>
      </c>
      <c r="F110" s="15" t="s">
        <v>275</v>
      </c>
      <c r="G110" s="16" t="s">
        <v>281</v>
      </c>
    </row>
    <row r="111" spans="1:7">
      <c r="A111" t="s">
        <v>119</v>
      </c>
      <c r="B111" t="s">
        <v>47</v>
      </c>
      <c r="C111" s="38" t="s">
        <v>38</v>
      </c>
      <c r="D111" t="s">
        <v>189</v>
      </c>
      <c r="E111" t="s">
        <v>353</v>
      </c>
      <c r="F111" s="15">
        <v>46139</v>
      </c>
      <c r="G111" s="16" t="s">
        <v>276</v>
      </c>
    </row>
    <row r="112" spans="1:7">
      <c r="A112" t="s">
        <v>27</v>
      </c>
      <c r="B112" t="s">
        <v>110</v>
      </c>
      <c r="C112" s="38" t="s">
        <v>66</v>
      </c>
      <c r="D112" t="s">
        <v>30</v>
      </c>
      <c r="E112" t="s">
        <v>65</v>
      </c>
      <c r="F112" s="15" t="s">
        <v>275</v>
      </c>
      <c r="G112" s="16" t="s">
        <v>276</v>
      </c>
    </row>
    <row r="113" spans="1:7">
      <c r="A113" t="s">
        <v>148</v>
      </c>
      <c r="B113" t="s">
        <v>28</v>
      </c>
      <c r="C113" s="38" t="s">
        <v>81</v>
      </c>
      <c r="D113" t="s">
        <v>190</v>
      </c>
      <c r="E113" t="s">
        <v>354</v>
      </c>
      <c r="F113" s="15">
        <v>45953</v>
      </c>
      <c r="G113" s="16" t="s">
        <v>286</v>
      </c>
    </row>
    <row r="114" spans="1:7">
      <c r="A114" t="s">
        <v>131</v>
      </c>
      <c r="B114" t="s">
        <v>28</v>
      </c>
      <c r="C114" s="38" t="s">
        <v>181</v>
      </c>
      <c r="D114" t="s">
        <v>191</v>
      </c>
      <c r="E114" t="s">
        <v>355</v>
      </c>
      <c r="F114" s="15">
        <v>46016</v>
      </c>
      <c r="G114" s="16" t="s">
        <v>281</v>
      </c>
    </row>
    <row r="115" spans="1:7">
      <c r="A115" t="s">
        <v>100</v>
      </c>
      <c r="B115" t="s">
        <v>63</v>
      </c>
      <c r="C115" s="38" t="s">
        <v>79</v>
      </c>
      <c r="D115" t="s">
        <v>192</v>
      </c>
      <c r="E115" t="s">
        <v>356</v>
      </c>
      <c r="F115" s="15">
        <v>45848</v>
      </c>
      <c r="G115" s="16" t="s">
        <v>278</v>
      </c>
    </row>
    <row r="116" spans="1:7">
      <c r="A116" t="s">
        <v>85</v>
      </c>
      <c r="B116" t="s">
        <v>23</v>
      </c>
      <c r="C116" s="38" t="s">
        <v>43</v>
      </c>
      <c r="D116" t="s">
        <v>193</v>
      </c>
      <c r="E116" t="s">
        <v>357</v>
      </c>
      <c r="F116" s="15">
        <v>46347</v>
      </c>
      <c r="G116" s="16" t="s">
        <v>286</v>
      </c>
    </row>
    <row r="117" spans="1:7">
      <c r="A117" t="s">
        <v>148</v>
      </c>
      <c r="B117" t="s">
        <v>59</v>
      </c>
      <c r="C117" s="38" t="s">
        <v>64</v>
      </c>
      <c r="D117" t="s">
        <v>194</v>
      </c>
      <c r="E117" t="s">
        <v>358</v>
      </c>
      <c r="F117" s="15">
        <v>46104</v>
      </c>
      <c r="G117" s="16" t="s">
        <v>281</v>
      </c>
    </row>
    <row r="118" spans="1:7">
      <c r="A118" t="s">
        <v>95</v>
      </c>
      <c r="B118" t="s">
        <v>23</v>
      </c>
      <c r="C118" s="38" t="s">
        <v>66</v>
      </c>
      <c r="D118" t="s">
        <v>84</v>
      </c>
      <c r="E118" t="s">
        <v>65</v>
      </c>
      <c r="F118" s="15" t="s">
        <v>275</v>
      </c>
      <c r="G118" s="16" t="s">
        <v>286</v>
      </c>
    </row>
    <row r="119" spans="1:7">
      <c r="A119" t="s">
        <v>161</v>
      </c>
      <c r="B119" t="s">
        <v>28</v>
      </c>
      <c r="C119" s="38" t="s">
        <v>68</v>
      </c>
      <c r="D119" t="s">
        <v>195</v>
      </c>
      <c r="E119" t="s">
        <v>359</v>
      </c>
      <c r="F119" s="15">
        <v>46181</v>
      </c>
      <c r="G119" s="16" t="s">
        <v>280</v>
      </c>
    </row>
    <row r="120" spans="1:7">
      <c r="A120" t="s">
        <v>136</v>
      </c>
      <c r="B120" t="s">
        <v>23</v>
      </c>
      <c r="C120" s="38" t="s">
        <v>43</v>
      </c>
      <c r="D120" t="s">
        <v>196</v>
      </c>
      <c r="E120" t="s">
        <v>360</v>
      </c>
      <c r="F120" s="15">
        <v>46368</v>
      </c>
      <c r="G120" s="16" t="s">
        <v>289</v>
      </c>
    </row>
    <row r="121" spans="1:7">
      <c r="A121" t="s">
        <v>73</v>
      </c>
      <c r="B121" t="s">
        <v>28</v>
      </c>
      <c r="C121" s="38" t="s">
        <v>81</v>
      </c>
      <c r="D121" t="s">
        <v>197</v>
      </c>
      <c r="E121" t="s">
        <v>296</v>
      </c>
      <c r="F121" s="15">
        <v>46371</v>
      </c>
      <c r="G121" s="16" t="s">
        <v>281</v>
      </c>
    </row>
    <row r="122" spans="1:7">
      <c r="A122" t="s">
        <v>58</v>
      </c>
      <c r="B122" t="s">
        <v>42</v>
      </c>
      <c r="C122" s="38" t="s">
        <v>38</v>
      </c>
      <c r="D122" t="s">
        <v>84</v>
      </c>
      <c r="E122" t="s">
        <v>65</v>
      </c>
      <c r="F122" s="15" t="s">
        <v>275</v>
      </c>
      <c r="G122" s="16" t="s">
        <v>286</v>
      </c>
    </row>
    <row r="123" spans="1:7">
      <c r="A123" t="s">
        <v>85</v>
      </c>
      <c r="B123" t="s">
        <v>59</v>
      </c>
      <c r="C123" s="38" t="s">
        <v>24</v>
      </c>
      <c r="D123" t="s">
        <v>198</v>
      </c>
      <c r="E123" t="s">
        <v>361</v>
      </c>
      <c r="F123" s="15">
        <v>45973</v>
      </c>
      <c r="G123" s="16" t="s">
        <v>280</v>
      </c>
    </row>
    <row r="124" spans="1:7">
      <c r="A124" t="s">
        <v>58</v>
      </c>
      <c r="B124" t="s">
        <v>110</v>
      </c>
      <c r="C124" s="38" t="s">
        <v>38</v>
      </c>
      <c r="D124" t="s">
        <v>199</v>
      </c>
      <c r="E124" t="s">
        <v>362</v>
      </c>
      <c r="F124" s="15">
        <v>45968</v>
      </c>
      <c r="G124" s="16" t="s">
        <v>276</v>
      </c>
    </row>
    <row r="125" spans="1:7">
      <c r="A125" t="s">
        <v>73</v>
      </c>
      <c r="B125" t="s">
        <v>110</v>
      </c>
      <c r="C125" s="38" t="s">
        <v>38</v>
      </c>
      <c r="D125" t="s">
        <v>200</v>
      </c>
      <c r="E125" t="s">
        <v>65</v>
      </c>
      <c r="F125" s="15" t="s">
        <v>275</v>
      </c>
      <c r="G125" s="16" t="s">
        <v>280</v>
      </c>
    </row>
    <row r="126" spans="1:7">
      <c r="A126" t="s">
        <v>56</v>
      </c>
      <c r="B126" t="s">
        <v>23</v>
      </c>
      <c r="C126" s="38" t="s">
        <v>66</v>
      </c>
      <c r="D126" t="s">
        <v>180</v>
      </c>
      <c r="E126" t="s">
        <v>65</v>
      </c>
      <c r="F126" s="15" t="s">
        <v>275</v>
      </c>
      <c r="G126" s="16" t="s">
        <v>286</v>
      </c>
    </row>
    <row r="127" spans="1:7">
      <c r="A127" t="s">
        <v>45</v>
      </c>
      <c r="B127" t="s">
        <v>28</v>
      </c>
      <c r="C127" s="38" t="s">
        <v>155</v>
      </c>
      <c r="D127" t="s">
        <v>65</v>
      </c>
      <c r="E127" t="s">
        <v>65</v>
      </c>
      <c r="F127" s="15" t="s">
        <v>275</v>
      </c>
      <c r="G127" s="16" t="s">
        <v>65</v>
      </c>
    </row>
    <row r="128" spans="1:7">
      <c r="A128" t="s">
        <v>125</v>
      </c>
      <c r="B128" t="s">
        <v>59</v>
      </c>
      <c r="C128" s="38" t="s">
        <v>79</v>
      </c>
      <c r="D128" t="s">
        <v>202</v>
      </c>
      <c r="E128" t="s">
        <v>363</v>
      </c>
      <c r="F128" s="15">
        <v>46043</v>
      </c>
      <c r="G128" s="16" t="s">
        <v>278</v>
      </c>
    </row>
    <row r="129" spans="1:7">
      <c r="A129" t="s">
        <v>85</v>
      </c>
      <c r="B129" t="s">
        <v>23</v>
      </c>
      <c r="C129" s="38" t="s">
        <v>24</v>
      </c>
      <c r="D129" t="s">
        <v>203</v>
      </c>
      <c r="E129" t="s">
        <v>364</v>
      </c>
      <c r="F129" s="15">
        <v>46101</v>
      </c>
      <c r="G129" s="16" t="s">
        <v>280</v>
      </c>
    </row>
    <row r="130" spans="1:7">
      <c r="A130" t="s">
        <v>27</v>
      </c>
      <c r="B130" t="s">
        <v>63</v>
      </c>
      <c r="C130" s="38" t="s">
        <v>43</v>
      </c>
      <c r="D130" t="s">
        <v>204</v>
      </c>
      <c r="E130" t="s">
        <v>365</v>
      </c>
      <c r="F130" s="15">
        <v>46204</v>
      </c>
      <c r="G130" s="16" t="s">
        <v>281</v>
      </c>
    </row>
    <row r="131" spans="1:7">
      <c r="A131" t="s">
        <v>136</v>
      </c>
      <c r="B131" t="s">
        <v>47</v>
      </c>
      <c r="C131" s="38" t="s">
        <v>31</v>
      </c>
      <c r="D131" t="s">
        <v>200</v>
      </c>
      <c r="E131" t="s">
        <v>65</v>
      </c>
      <c r="F131" s="15" t="s">
        <v>275</v>
      </c>
      <c r="G131" s="16" t="s">
        <v>280</v>
      </c>
    </row>
    <row r="132" spans="1:7">
      <c r="A132" t="s">
        <v>78</v>
      </c>
      <c r="B132" t="s">
        <v>47</v>
      </c>
      <c r="C132" s="38" t="s">
        <v>24</v>
      </c>
      <c r="D132" t="s">
        <v>205</v>
      </c>
      <c r="E132" t="s">
        <v>366</v>
      </c>
      <c r="F132" s="15">
        <v>46012</v>
      </c>
      <c r="G132" s="16" t="s">
        <v>276</v>
      </c>
    </row>
    <row r="133" spans="1:7">
      <c r="A133" t="s">
        <v>32</v>
      </c>
      <c r="B133" t="s">
        <v>42</v>
      </c>
      <c r="C133" s="38" t="s">
        <v>79</v>
      </c>
      <c r="D133" t="s">
        <v>206</v>
      </c>
      <c r="E133" t="s">
        <v>367</v>
      </c>
      <c r="F133" s="15">
        <v>45812</v>
      </c>
      <c r="G133" s="16" t="s">
        <v>278</v>
      </c>
    </row>
    <row r="134" spans="1:7">
      <c r="A134" t="s">
        <v>136</v>
      </c>
      <c r="B134" t="s">
        <v>47</v>
      </c>
      <c r="C134" s="38" t="s">
        <v>79</v>
      </c>
      <c r="D134" t="s">
        <v>207</v>
      </c>
      <c r="E134" t="s">
        <v>368</v>
      </c>
      <c r="F134" s="15">
        <v>46361</v>
      </c>
      <c r="G134" s="16" t="s">
        <v>281</v>
      </c>
    </row>
    <row r="135" spans="1:7">
      <c r="A135" t="s">
        <v>139</v>
      </c>
      <c r="B135" t="s">
        <v>59</v>
      </c>
      <c r="C135" s="38" t="s">
        <v>81</v>
      </c>
      <c r="D135" t="s">
        <v>209</v>
      </c>
      <c r="E135" t="s">
        <v>369</v>
      </c>
      <c r="F135" s="15">
        <v>46351</v>
      </c>
      <c r="G135" s="16" t="s">
        <v>65</v>
      </c>
    </row>
    <row r="136" spans="1:7">
      <c r="A136" t="s">
        <v>136</v>
      </c>
      <c r="B136" t="s">
        <v>28</v>
      </c>
      <c r="C136" s="38" t="s">
        <v>43</v>
      </c>
      <c r="D136" t="s">
        <v>77</v>
      </c>
      <c r="E136" t="s">
        <v>65</v>
      </c>
      <c r="F136" s="15" t="s">
        <v>275</v>
      </c>
      <c r="G136" s="16" t="s">
        <v>280</v>
      </c>
    </row>
    <row r="137" spans="1:7">
      <c r="A137" t="s">
        <v>125</v>
      </c>
      <c r="B137" t="s">
        <v>47</v>
      </c>
      <c r="C137" s="38" t="s">
        <v>79</v>
      </c>
      <c r="D137" t="s">
        <v>109</v>
      </c>
      <c r="E137" t="s">
        <v>65</v>
      </c>
      <c r="F137" s="15" t="s">
        <v>275</v>
      </c>
      <c r="G137" s="16" t="s">
        <v>281</v>
      </c>
    </row>
    <row r="138" spans="1:7">
      <c r="A138" t="s">
        <v>58</v>
      </c>
      <c r="B138" t="s">
        <v>59</v>
      </c>
      <c r="C138" s="38" t="s">
        <v>79</v>
      </c>
      <c r="D138" t="s">
        <v>180</v>
      </c>
      <c r="E138" t="s">
        <v>65</v>
      </c>
      <c r="F138" s="15" t="s">
        <v>275</v>
      </c>
      <c r="G138" s="16" t="s">
        <v>286</v>
      </c>
    </row>
    <row r="139" spans="1:7">
      <c r="A139" t="s">
        <v>119</v>
      </c>
      <c r="B139" t="s">
        <v>47</v>
      </c>
      <c r="C139" s="38" t="s">
        <v>38</v>
      </c>
      <c r="D139" t="s">
        <v>211</v>
      </c>
      <c r="E139" t="s">
        <v>370</v>
      </c>
      <c r="F139" s="15">
        <v>46085</v>
      </c>
      <c r="G139" s="16" t="s">
        <v>281</v>
      </c>
    </row>
    <row r="140" spans="1:7">
      <c r="A140" t="s">
        <v>161</v>
      </c>
      <c r="B140" t="s">
        <v>59</v>
      </c>
      <c r="C140" s="38" t="s">
        <v>31</v>
      </c>
      <c r="D140" t="s">
        <v>65</v>
      </c>
      <c r="E140" t="s">
        <v>65</v>
      </c>
      <c r="F140" s="15" t="s">
        <v>275</v>
      </c>
      <c r="G140" s="16" t="s">
        <v>65</v>
      </c>
    </row>
    <row r="141" spans="1:7">
      <c r="A141" t="s">
        <v>73</v>
      </c>
      <c r="B141" t="s">
        <v>23</v>
      </c>
      <c r="C141" s="38" t="s">
        <v>79</v>
      </c>
      <c r="D141" t="s">
        <v>212</v>
      </c>
      <c r="E141" t="s">
        <v>371</v>
      </c>
      <c r="F141" s="15">
        <v>45835</v>
      </c>
      <c r="G141" s="16" t="s">
        <v>280</v>
      </c>
    </row>
    <row r="142" spans="1:7">
      <c r="A142" t="s">
        <v>78</v>
      </c>
      <c r="B142" t="s">
        <v>47</v>
      </c>
      <c r="C142" s="38" t="s">
        <v>24</v>
      </c>
      <c r="D142" t="s">
        <v>213</v>
      </c>
      <c r="E142" t="s">
        <v>372</v>
      </c>
      <c r="F142" s="15">
        <v>45824</v>
      </c>
      <c r="G142" s="16" t="s">
        <v>280</v>
      </c>
    </row>
    <row r="143" spans="1:7">
      <c r="A143" t="s">
        <v>116</v>
      </c>
      <c r="B143" t="s">
        <v>264</v>
      </c>
      <c r="C143" s="38" t="s">
        <v>24</v>
      </c>
      <c r="D143" t="s">
        <v>184</v>
      </c>
      <c r="E143" t="s">
        <v>65</v>
      </c>
      <c r="F143" s="15" t="s">
        <v>275</v>
      </c>
      <c r="G143" s="16" t="s">
        <v>278</v>
      </c>
    </row>
    <row r="144" spans="1:7">
      <c r="A144" t="s">
        <v>100</v>
      </c>
      <c r="B144" t="s">
        <v>42</v>
      </c>
      <c r="C144" s="38" t="s">
        <v>43</v>
      </c>
      <c r="D144" t="s">
        <v>214</v>
      </c>
      <c r="E144" t="s">
        <v>373</v>
      </c>
      <c r="F144" s="15">
        <v>45936</v>
      </c>
      <c r="G144" s="16" t="s">
        <v>276</v>
      </c>
    </row>
    <row r="145" spans="1:7">
      <c r="A145" t="s">
        <v>73</v>
      </c>
      <c r="B145" t="s">
        <v>63</v>
      </c>
      <c r="C145" s="38" t="s">
        <v>81</v>
      </c>
      <c r="D145" t="s">
        <v>215</v>
      </c>
      <c r="E145" t="s">
        <v>349</v>
      </c>
      <c r="F145" s="15">
        <v>46058</v>
      </c>
      <c r="G145" s="16" t="s">
        <v>280</v>
      </c>
    </row>
    <row r="146" spans="1:7">
      <c r="A146" t="s">
        <v>45</v>
      </c>
      <c r="B146" t="s">
        <v>110</v>
      </c>
      <c r="C146" s="38" t="s">
        <v>38</v>
      </c>
      <c r="D146" t="s">
        <v>216</v>
      </c>
      <c r="E146" t="s">
        <v>374</v>
      </c>
      <c r="F146" s="15">
        <v>45834</v>
      </c>
      <c r="G146" s="16" t="s">
        <v>65</v>
      </c>
    </row>
    <row r="147" spans="1:7">
      <c r="A147" t="s">
        <v>58</v>
      </c>
      <c r="B147" t="s">
        <v>28</v>
      </c>
      <c r="C147" s="38" t="s">
        <v>24</v>
      </c>
      <c r="D147" t="s">
        <v>217</v>
      </c>
      <c r="E147" t="s">
        <v>65</v>
      </c>
      <c r="F147" s="15" t="s">
        <v>275</v>
      </c>
      <c r="G147" s="16" t="s">
        <v>281</v>
      </c>
    </row>
    <row r="148" spans="1:7">
      <c r="A148" t="s">
        <v>56</v>
      </c>
      <c r="B148" t="s">
        <v>59</v>
      </c>
      <c r="C148" s="38" t="s">
        <v>31</v>
      </c>
      <c r="D148" t="s">
        <v>218</v>
      </c>
      <c r="E148" t="s">
        <v>375</v>
      </c>
      <c r="F148" s="15">
        <v>46159</v>
      </c>
      <c r="G148" s="16" t="s">
        <v>280</v>
      </c>
    </row>
    <row r="149" spans="1:7">
      <c r="A149" t="s">
        <v>161</v>
      </c>
      <c r="B149" t="s">
        <v>110</v>
      </c>
      <c r="C149" s="38" t="s">
        <v>102</v>
      </c>
      <c r="D149" t="s">
        <v>219</v>
      </c>
      <c r="E149" t="s">
        <v>376</v>
      </c>
      <c r="F149" s="15">
        <v>46323</v>
      </c>
      <c r="G149" s="16" t="s">
        <v>286</v>
      </c>
    </row>
    <row r="150" spans="1:7">
      <c r="A150" t="s">
        <v>75</v>
      </c>
      <c r="B150" t="s">
        <v>59</v>
      </c>
      <c r="C150" s="38" t="s">
        <v>79</v>
      </c>
      <c r="D150" t="s">
        <v>65</v>
      </c>
      <c r="E150" t="s">
        <v>65</v>
      </c>
      <c r="F150" s="15" t="s">
        <v>275</v>
      </c>
      <c r="G150" s="16" t="s">
        <v>65</v>
      </c>
    </row>
    <row r="151" spans="1:7">
      <c r="A151" t="s">
        <v>116</v>
      </c>
      <c r="B151" t="s">
        <v>63</v>
      </c>
      <c r="C151" s="38" t="s">
        <v>38</v>
      </c>
      <c r="D151" t="s">
        <v>220</v>
      </c>
      <c r="E151" t="s">
        <v>377</v>
      </c>
      <c r="F151" s="15">
        <v>45951</v>
      </c>
      <c r="G151" s="16" t="s">
        <v>278</v>
      </c>
    </row>
    <row r="152" spans="1:7">
      <c r="A152" t="s">
        <v>107</v>
      </c>
      <c r="B152" t="s">
        <v>28</v>
      </c>
      <c r="C152" s="38" t="s">
        <v>81</v>
      </c>
      <c r="D152" t="s">
        <v>92</v>
      </c>
      <c r="E152" t="s">
        <v>65</v>
      </c>
      <c r="F152" s="15" t="s">
        <v>275</v>
      </c>
      <c r="G152" s="16" t="s">
        <v>286</v>
      </c>
    </row>
    <row r="153" spans="1:7">
      <c r="A153" t="s">
        <v>56</v>
      </c>
      <c r="B153" t="s">
        <v>47</v>
      </c>
      <c r="C153" s="38" t="s">
        <v>31</v>
      </c>
      <c r="D153" t="s">
        <v>221</v>
      </c>
      <c r="E153" t="s">
        <v>378</v>
      </c>
      <c r="F153" s="15">
        <v>46021</v>
      </c>
      <c r="G153" s="16" t="s">
        <v>281</v>
      </c>
    </row>
    <row r="154" spans="1:7">
      <c r="A154" t="s">
        <v>56</v>
      </c>
      <c r="B154" t="s">
        <v>42</v>
      </c>
      <c r="C154" s="38" t="s">
        <v>79</v>
      </c>
      <c r="D154" t="s">
        <v>222</v>
      </c>
      <c r="E154" t="s">
        <v>379</v>
      </c>
      <c r="F154" s="15">
        <v>45852</v>
      </c>
      <c r="G154" s="16" t="s">
        <v>286</v>
      </c>
    </row>
    <row r="155" spans="1:7">
      <c r="A155" t="s">
        <v>56</v>
      </c>
      <c r="B155" t="s">
        <v>264</v>
      </c>
      <c r="C155" s="38" t="s">
        <v>87</v>
      </c>
      <c r="D155" t="s">
        <v>114</v>
      </c>
      <c r="E155" t="s">
        <v>65</v>
      </c>
      <c r="F155" s="15" t="s">
        <v>275</v>
      </c>
      <c r="G155" s="16" t="s">
        <v>281</v>
      </c>
    </row>
    <row r="156" spans="1:7">
      <c r="A156" t="s">
        <v>32</v>
      </c>
      <c r="B156" t="s">
        <v>47</v>
      </c>
      <c r="C156" s="38" t="s">
        <v>68</v>
      </c>
      <c r="D156" t="s">
        <v>223</v>
      </c>
      <c r="E156" t="s">
        <v>380</v>
      </c>
      <c r="F156" s="15">
        <v>46198</v>
      </c>
      <c r="G156" s="16" t="s">
        <v>280</v>
      </c>
    </row>
    <row r="157" spans="1:7">
      <c r="A157" t="s">
        <v>131</v>
      </c>
      <c r="B157" t="s">
        <v>47</v>
      </c>
      <c r="C157" s="38" t="s">
        <v>79</v>
      </c>
      <c r="D157" t="s">
        <v>224</v>
      </c>
      <c r="E157" t="s">
        <v>381</v>
      </c>
      <c r="F157" s="15">
        <v>46189</v>
      </c>
      <c r="G157" s="16" t="s">
        <v>276</v>
      </c>
    </row>
    <row r="158" spans="1:7">
      <c r="A158" t="s">
        <v>95</v>
      </c>
      <c r="B158" t="s">
        <v>23</v>
      </c>
      <c r="C158" s="38" t="s">
        <v>79</v>
      </c>
      <c r="D158" t="s">
        <v>225</v>
      </c>
      <c r="E158" t="s">
        <v>382</v>
      </c>
      <c r="F158" s="15">
        <v>46075</v>
      </c>
      <c r="G158" s="16" t="s">
        <v>65</v>
      </c>
    </row>
    <row r="159" spans="1:7">
      <c r="A159" t="s">
        <v>139</v>
      </c>
      <c r="B159" t="s">
        <v>63</v>
      </c>
      <c r="C159" s="38" t="s">
        <v>38</v>
      </c>
      <c r="D159" t="s">
        <v>226</v>
      </c>
      <c r="E159" t="s">
        <v>383</v>
      </c>
      <c r="F159" s="15">
        <v>46303</v>
      </c>
      <c r="G159" s="16" t="s">
        <v>278</v>
      </c>
    </row>
    <row r="160" spans="1:7">
      <c r="A160" t="s">
        <v>75</v>
      </c>
      <c r="B160" t="s">
        <v>63</v>
      </c>
      <c r="C160" s="38" t="s">
        <v>81</v>
      </c>
      <c r="D160" t="s">
        <v>227</v>
      </c>
      <c r="E160" t="s">
        <v>384</v>
      </c>
      <c r="F160" s="15">
        <v>46318</v>
      </c>
      <c r="G160" s="16" t="s">
        <v>286</v>
      </c>
    </row>
    <row r="161" spans="1:7">
      <c r="A161" t="s">
        <v>27</v>
      </c>
      <c r="B161" t="s">
        <v>23</v>
      </c>
      <c r="C161" s="38" t="s">
        <v>31</v>
      </c>
      <c r="D161" t="s">
        <v>228</v>
      </c>
      <c r="E161" t="s">
        <v>385</v>
      </c>
      <c r="F161" s="15">
        <v>45935</v>
      </c>
      <c r="G161" s="16" t="s">
        <v>281</v>
      </c>
    </row>
    <row r="162" spans="1:7">
      <c r="A162" t="s">
        <v>62</v>
      </c>
      <c r="B162" t="s">
        <v>28</v>
      </c>
      <c r="C162" s="38" t="s">
        <v>48</v>
      </c>
      <c r="D162" t="s">
        <v>229</v>
      </c>
      <c r="E162" t="s">
        <v>386</v>
      </c>
      <c r="F162" s="15">
        <v>46176</v>
      </c>
      <c r="G162" s="16" t="s">
        <v>278</v>
      </c>
    </row>
    <row r="163" spans="1:7">
      <c r="A163" t="s">
        <v>107</v>
      </c>
      <c r="B163" t="s">
        <v>42</v>
      </c>
      <c r="C163" s="38" t="s">
        <v>155</v>
      </c>
      <c r="D163" t="s">
        <v>230</v>
      </c>
      <c r="E163" t="s">
        <v>387</v>
      </c>
      <c r="F163" s="15">
        <v>45923</v>
      </c>
      <c r="G163" s="16" t="s">
        <v>276</v>
      </c>
    </row>
    <row r="164" spans="1:7">
      <c r="A164" t="s">
        <v>139</v>
      </c>
      <c r="B164" t="s">
        <v>23</v>
      </c>
      <c r="C164" s="38" t="s">
        <v>87</v>
      </c>
      <c r="D164" t="s">
        <v>30</v>
      </c>
      <c r="E164" t="s">
        <v>65</v>
      </c>
      <c r="F164" s="15" t="s">
        <v>275</v>
      </c>
      <c r="G164" s="16" t="s">
        <v>276</v>
      </c>
    </row>
    <row r="165" spans="1:7">
      <c r="A165" t="s">
        <v>100</v>
      </c>
      <c r="B165" t="s">
        <v>28</v>
      </c>
      <c r="C165" s="38" t="s">
        <v>31</v>
      </c>
      <c r="D165" t="s">
        <v>231</v>
      </c>
      <c r="E165" t="s">
        <v>388</v>
      </c>
      <c r="F165" s="15">
        <v>46149</v>
      </c>
      <c r="G165" s="16" t="s">
        <v>280</v>
      </c>
    </row>
    <row r="166" spans="1:7">
      <c r="A166" t="s">
        <v>148</v>
      </c>
      <c r="B166" t="s">
        <v>47</v>
      </c>
      <c r="C166" s="38" t="s">
        <v>87</v>
      </c>
      <c r="D166" t="s">
        <v>232</v>
      </c>
      <c r="E166" t="s">
        <v>389</v>
      </c>
      <c r="F166" s="15">
        <v>46153</v>
      </c>
      <c r="G166" s="16" t="s">
        <v>65</v>
      </c>
    </row>
    <row r="167" spans="1:7">
      <c r="A167" t="s">
        <v>75</v>
      </c>
      <c r="B167" t="s">
        <v>28</v>
      </c>
      <c r="C167" s="38" t="s">
        <v>24</v>
      </c>
      <c r="D167" t="s">
        <v>49</v>
      </c>
      <c r="E167" t="s">
        <v>65</v>
      </c>
      <c r="F167" s="15" t="s">
        <v>275</v>
      </c>
      <c r="G167" s="16" t="s">
        <v>281</v>
      </c>
    </row>
    <row r="168" spans="1:7">
      <c r="A168" t="s">
        <v>136</v>
      </c>
      <c r="B168" t="s">
        <v>59</v>
      </c>
      <c r="C168" s="38" t="s">
        <v>38</v>
      </c>
      <c r="D168" t="s">
        <v>233</v>
      </c>
      <c r="E168" t="s">
        <v>65</v>
      </c>
      <c r="F168" s="15" t="s">
        <v>275</v>
      </c>
      <c r="G168" s="16" t="s">
        <v>278</v>
      </c>
    </row>
    <row r="169" spans="1:7">
      <c r="A169" t="s">
        <v>53</v>
      </c>
      <c r="B169" t="s">
        <v>59</v>
      </c>
      <c r="C169" s="38" t="s">
        <v>24</v>
      </c>
      <c r="D169" t="s">
        <v>234</v>
      </c>
      <c r="E169" t="s">
        <v>324</v>
      </c>
      <c r="F169" s="15">
        <v>46027</v>
      </c>
      <c r="G169" s="16" t="s">
        <v>286</v>
      </c>
    </row>
    <row r="170" spans="1:7">
      <c r="A170" t="s">
        <v>46</v>
      </c>
      <c r="B170" t="s">
        <v>47</v>
      </c>
      <c r="C170" s="38" t="s">
        <v>79</v>
      </c>
      <c r="D170" t="s">
        <v>65</v>
      </c>
      <c r="E170" t="s">
        <v>65</v>
      </c>
      <c r="F170" s="15" t="s">
        <v>275</v>
      </c>
      <c r="G170" s="16" t="s">
        <v>65</v>
      </c>
    </row>
    <row r="171" spans="1:7">
      <c r="A171" t="s">
        <v>27</v>
      </c>
      <c r="B171" t="s">
        <v>59</v>
      </c>
      <c r="C171" s="38" t="s">
        <v>31</v>
      </c>
      <c r="D171" t="s">
        <v>235</v>
      </c>
      <c r="E171" t="s">
        <v>324</v>
      </c>
      <c r="F171" s="15">
        <v>46027</v>
      </c>
      <c r="G171" s="16" t="s">
        <v>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.ORG</dc:creator>
  <cp:keywords/>
  <dc:description/>
  <cp:lastModifiedBy>vipul sourabh</cp:lastModifiedBy>
  <cp:revision/>
  <dcterms:created xsi:type="dcterms:W3CDTF">2025-02-27T20:15:12Z</dcterms:created>
  <dcterms:modified xsi:type="dcterms:W3CDTF">2026-07-25T11:00:55Z</dcterms:modified>
  <cp:category/>
  <cp:contentStatus/>
</cp:coreProperties>
</file>